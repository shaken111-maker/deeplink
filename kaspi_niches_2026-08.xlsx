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разделам" sheetId="1" state="visible" r:id="rId1"/>
    <sheet name="Все ниши" sheetId="2" state="visible" r:id="rId2"/>
  </sheets>
  <definedNames>
    <definedName name="_xlnm._FilterDatabase" localSheetId="1" hidden="1">'Все ниши'!$A$1:$O$2267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9" customWidth="1" min="3" max="3"/>
    <col width="14" customWidth="1" min="4" max="4"/>
    <col width="8" customWidth="1" min="5" max="5"/>
    <col width="14" customWidth="1" min="6" max="6"/>
  </cols>
  <sheetData>
    <row r="1">
      <c r="A1" s="1" t="inlineStr">
        <is>
          <t>Раздел</t>
        </is>
      </c>
      <c r="B1" s="1" t="inlineStr">
        <is>
          <t>Оборот, ₸</t>
        </is>
      </c>
      <c r="C1" s="1" t="inlineStr">
        <is>
          <t>Доля</t>
        </is>
      </c>
      <c r="D1" s="1" t="inlineStr">
        <is>
          <t>Заказы, шт</t>
        </is>
      </c>
      <c r="E1" s="1" t="inlineStr">
        <is>
          <t>Ниш</t>
        </is>
      </c>
      <c r="F1" s="1" t="inlineStr">
        <is>
          <t>Средний чек, ₸</t>
        </is>
      </c>
    </row>
    <row r="2">
      <c r="A2" s="2" t="inlineStr">
        <is>
          <t>Телефоны и гаджеты</t>
        </is>
      </c>
      <c r="B2" s="3">
        <f>SUMIFS('Все ниши'!$E$2:$E$2267,'Все ниши'!$C$2:$C$2267,A2)</f>
        <v/>
      </c>
      <c r="C2" s="4">
        <f>B2/SUM($B$2:$B$20)</f>
        <v/>
      </c>
      <c r="D2" s="3">
        <f>SUMIFS('Все ниши'!$F$2:$F$2267,'Все ниши'!$C$2:$C$2267,A2)</f>
        <v/>
      </c>
      <c r="E2" s="3">
        <f>COUNTIF('Все ниши'!$C$2:$C$2267,A2)</f>
        <v/>
      </c>
      <c r="F2" s="3">
        <f>IFERROR(B2/D2,0)</f>
        <v/>
      </c>
    </row>
    <row r="3">
      <c r="A3" s="2" t="inlineStr">
        <is>
          <t>Бытовая техника</t>
        </is>
      </c>
      <c r="B3" s="3">
        <f>SUMIFS('Все ниши'!$E$2:$E$2267,'Все ниши'!$C$2:$C$2267,A3)</f>
        <v/>
      </c>
      <c r="C3" s="4">
        <f>B3/SUM($B$2:$B$20)</f>
        <v/>
      </c>
      <c r="D3" s="3">
        <f>SUMIFS('Все ниши'!$F$2:$F$2267,'Все ниши'!$C$2:$C$2267,A3)</f>
        <v/>
      </c>
      <c r="E3" s="3">
        <f>COUNTIF('Все ниши'!$C$2:$C$2267,A3)</f>
        <v/>
      </c>
      <c r="F3" s="3">
        <f>IFERROR(B3/D3,0)</f>
        <v/>
      </c>
    </row>
    <row r="4">
      <c r="A4" s="2" t="inlineStr">
        <is>
          <t>Мебель</t>
        </is>
      </c>
      <c r="B4" s="3">
        <f>SUMIFS('Все ниши'!$E$2:$E$2267,'Все ниши'!$C$2:$C$2267,A4)</f>
        <v/>
      </c>
      <c r="C4" s="4">
        <f>B4/SUM($B$2:$B$20)</f>
        <v/>
      </c>
      <c r="D4" s="3">
        <f>SUMIFS('Все ниши'!$F$2:$F$2267,'Все ниши'!$C$2:$C$2267,A4)</f>
        <v/>
      </c>
      <c r="E4" s="3">
        <f>COUNTIF('Все ниши'!$C$2:$C$2267,A4)</f>
        <v/>
      </c>
      <c r="F4" s="3">
        <f>IFERROR(B4/D4,0)</f>
        <v/>
      </c>
    </row>
    <row r="5">
      <c r="A5" s="2" t="inlineStr">
        <is>
          <t>Красота и здоровье</t>
        </is>
      </c>
      <c r="B5" s="3">
        <f>SUMIFS('Все ниши'!$E$2:$E$2267,'Все ниши'!$C$2:$C$2267,A5)</f>
        <v/>
      </c>
      <c r="C5" s="4">
        <f>B5/SUM($B$2:$B$20)</f>
        <v/>
      </c>
      <c r="D5" s="3">
        <f>SUMIFS('Все ниши'!$F$2:$F$2267,'Все ниши'!$C$2:$C$2267,A5)</f>
        <v/>
      </c>
      <c r="E5" s="3">
        <f>COUNTIF('Все ниши'!$C$2:$C$2267,A5)</f>
        <v/>
      </c>
      <c r="F5" s="3">
        <f>IFERROR(B5/D5,0)</f>
        <v/>
      </c>
    </row>
    <row r="6">
      <c r="A6" s="2" t="inlineStr">
        <is>
          <t>Товары для дома и дачи</t>
        </is>
      </c>
      <c r="B6" s="3">
        <f>SUMIFS('Все ниши'!$E$2:$E$2267,'Все ниши'!$C$2:$C$2267,A6)</f>
        <v/>
      </c>
      <c r="C6" s="4">
        <f>B6/SUM($B$2:$B$20)</f>
        <v/>
      </c>
      <c r="D6" s="3">
        <f>SUMIFS('Все ниши'!$F$2:$F$2267,'Все ниши'!$C$2:$C$2267,A6)</f>
        <v/>
      </c>
      <c r="E6" s="3">
        <f>COUNTIF('Все ниши'!$C$2:$C$2267,A6)</f>
        <v/>
      </c>
      <c r="F6" s="3">
        <f>IFERROR(B6/D6,0)</f>
        <v/>
      </c>
    </row>
    <row r="7">
      <c r="A7" s="2" t="inlineStr">
        <is>
          <t>Компьютеры</t>
        </is>
      </c>
      <c r="B7" s="3">
        <f>SUMIFS('Все ниши'!$E$2:$E$2267,'Все ниши'!$C$2:$C$2267,A7)</f>
        <v/>
      </c>
      <c r="C7" s="4">
        <f>B7/SUM($B$2:$B$20)</f>
        <v/>
      </c>
      <c r="D7" s="3">
        <f>SUMIFS('Все ниши'!$F$2:$F$2267,'Все ниши'!$C$2:$C$2267,A7)</f>
        <v/>
      </c>
      <c r="E7" s="3">
        <f>COUNTIF('Все ниши'!$C$2:$C$2267,A7)</f>
        <v/>
      </c>
      <c r="F7" s="3">
        <f>IFERROR(B7/D7,0)</f>
        <v/>
      </c>
    </row>
    <row r="8">
      <c r="A8" s="2" t="inlineStr">
        <is>
          <t>Автотовары</t>
        </is>
      </c>
      <c r="B8" s="3">
        <f>SUMIFS('Все ниши'!$E$2:$E$2267,'Все ниши'!$C$2:$C$2267,A8)</f>
        <v/>
      </c>
      <c r="C8" s="4">
        <f>B8/SUM($B$2:$B$20)</f>
        <v/>
      </c>
      <c r="D8" s="3">
        <f>SUMIFS('Все ниши'!$F$2:$F$2267,'Все ниши'!$C$2:$C$2267,A8)</f>
        <v/>
      </c>
      <c r="E8" s="3">
        <f>COUNTIF('Все ниши'!$C$2:$C$2267,A8)</f>
        <v/>
      </c>
      <c r="F8" s="3">
        <f>IFERROR(B8/D8,0)</f>
        <v/>
      </c>
    </row>
    <row r="9">
      <c r="A9" s="2" t="inlineStr">
        <is>
          <t>Аптека</t>
        </is>
      </c>
      <c r="B9" s="3">
        <f>SUMIFS('Все ниши'!$E$2:$E$2267,'Все ниши'!$C$2:$C$2267,A9)</f>
        <v/>
      </c>
      <c r="C9" s="4">
        <f>B9/SUM($B$2:$B$20)</f>
        <v/>
      </c>
      <c r="D9" s="3">
        <f>SUMIFS('Все ниши'!$F$2:$F$2267,'Все ниши'!$C$2:$C$2267,A9)</f>
        <v/>
      </c>
      <c r="E9" s="3">
        <f>COUNTIF('Все ниши'!$C$2:$C$2267,A9)</f>
        <v/>
      </c>
      <c r="F9" s="3">
        <f>IFERROR(B9/D9,0)</f>
        <v/>
      </c>
    </row>
    <row r="10">
      <c r="A10" s="2" t="inlineStr">
        <is>
          <t>ТВ, Аудио, Видео</t>
        </is>
      </c>
      <c r="B10" s="3">
        <f>SUMIFS('Все ниши'!$E$2:$E$2267,'Все ниши'!$C$2:$C$2267,A10)</f>
        <v/>
      </c>
      <c r="C10" s="4">
        <f>B10/SUM($B$2:$B$20)</f>
        <v/>
      </c>
      <c r="D10" s="3">
        <f>SUMIFS('Все ниши'!$F$2:$F$2267,'Все ниши'!$C$2:$C$2267,A10)</f>
        <v/>
      </c>
      <c r="E10" s="3">
        <f>COUNTIF('Все ниши'!$C$2:$C$2267,A10)</f>
        <v/>
      </c>
      <c r="F10" s="3">
        <f>IFERROR(B10/D10,0)</f>
        <v/>
      </c>
    </row>
    <row r="11">
      <c r="A11" s="2" t="inlineStr">
        <is>
          <t>Строительство, ремонт</t>
        </is>
      </c>
      <c r="B11" s="3">
        <f>SUMIFS('Все ниши'!$E$2:$E$2267,'Все ниши'!$C$2:$C$2267,A11)</f>
        <v/>
      </c>
      <c r="C11" s="4">
        <f>B11/SUM($B$2:$B$20)</f>
        <v/>
      </c>
      <c r="D11" s="3">
        <f>SUMIFS('Все ниши'!$F$2:$F$2267,'Все ниши'!$C$2:$C$2267,A11)</f>
        <v/>
      </c>
      <c r="E11" s="3">
        <f>COUNTIF('Все ниши'!$C$2:$C$2267,A11)</f>
        <v/>
      </c>
      <c r="F11" s="3">
        <f>IFERROR(B11/D11,0)</f>
        <v/>
      </c>
    </row>
    <row r="12">
      <c r="A12" s="2" t="inlineStr">
        <is>
          <t>Спорт, туризм</t>
        </is>
      </c>
      <c r="B12" s="3">
        <f>SUMIFS('Все ниши'!$E$2:$E$2267,'Все ниши'!$C$2:$C$2267,A12)</f>
        <v/>
      </c>
      <c r="C12" s="4">
        <f>B12/SUM($B$2:$B$20)</f>
        <v/>
      </c>
      <c r="D12" s="3">
        <f>SUMIFS('Все ниши'!$F$2:$F$2267,'Все ниши'!$C$2:$C$2267,A12)</f>
        <v/>
      </c>
      <c r="E12" s="3">
        <f>COUNTIF('Все ниши'!$C$2:$C$2267,A12)</f>
        <v/>
      </c>
      <c r="F12" s="3">
        <f>IFERROR(B12/D12,0)</f>
        <v/>
      </c>
    </row>
    <row r="13">
      <c r="A13" s="2" t="inlineStr">
        <is>
          <t>Украшения</t>
        </is>
      </c>
      <c r="B13" s="3">
        <f>SUMIFS('Все ниши'!$E$2:$E$2267,'Все ниши'!$C$2:$C$2267,A13)</f>
        <v/>
      </c>
      <c r="C13" s="4">
        <f>B13/SUM($B$2:$B$20)</f>
        <v/>
      </c>
      <c r="D13" s="3">
        <f>SUMIFS('Все ниши'!$F$2:$F$2267,'Все ниши'!$C$2:$C$2267,A13)</f>
        <v/>
      </c>
      <c r="E13" s="3">
        <f>COUNTIF('Все ниши'!$C$2:$C$2267,A13)</f>
        <v/>
      </c>
      <c r="F13" s="3">
        <f>IFERROR(B13/D13,0)</f>
        <v/>
      </c>
    </row>
    <row r="14">
      <c r="A14" s="2" t="inlineStr">
        <is>
          <t>Одежда</t>
        </is>
      </c>
      <c r="B14" s="3">
        <f>SUMIFS('Все ниши'!$E$2:$E$2267,'Все ниши'!$C$2:$C$2267,A14)</f>
        <v/>
      </c>
      <c r="C14" s="4">
        <f>B14/SUM($B$2:$B$20)</f>
        <v/>
      </c>
      <c r="D14" s="3">
        <f>SUMIFS('Все ниши'!$F$2:$F$2267,'Все ниши'!$C$2:$C$2267,A14)</f>
        <v/>
      </c>
      <c r="E14" s="3">
        <f>COUNTIF('Все ниши'!$C$2:$C$2267,A14)</f>
        <v/>
      </c>
      <c r="F14" s="3">
        <f>IFERROR(B14/D14,0)</f>
        <v/>
      </c>
    </row>
    <row r="15">
      <c r="A15" s="2" t="inlineStr">
        <is>
          <t>Детские товары</t>
        </is>
      </c>
      <c r="B15" s="3">
        <f>SUMIFS('Все ниши'!$E$2:$E$2267,'Все ниши'!$C$2:$C$2267,A15)</f>
        <v/>
      </c>
      <c r="C15" s="4">
        <f>B15/SUM($B$2:$B$20)</f>
        <v/>
      </c>
      <c r="D15" s="3">
        <f>SUMIFS('Все ниши'!$F$2:$F$2267,'Все ниши'!$C$2:$C$2267,A15)</f>
        <v/>
      </c>
      <c r="E15" s="3">
        <f>COUNTIF('Все ниши'!$C$2:$C$2267,A15)</f>
        <v/>
      </c>
      <c r="F15" s="3">
        <f>IFERROR(B15/D15,0)</f>
        <v/>
      </c>
    </row>
    <row r="16">
      <c r="A16" s="2" t="inlineStr">
        <is>
          <t>Аксессуары</t>
        </is>
      </c>
      <c r="B16" s="3">
        <f>SUMIFS('Все ниши'!$E$2:$E$2267,'Все ниши'!$C$2:$C$2267,A16)</f>
        <v/>
      </c>
      <c r="C16" s="4">
        <f>B16/SUM($B$2:$B$20)</f>
        <v/>
      </c>
      <c r="D16" s="3">
        <f>SUMIFS('Все ниши'!$F$2:$F$2267,'Все ниши'!$C$2:$C$2267,A16)</f>
        <v/>
      </c>
      <c r="E16" s="3">
        <f>COUNTIF('Все ниши'!$C$2:$C$2267,A16)</f>
        <v/>
      </c>
      <c r="F16" s="3">
        <f>IFERROR(B16/D16,0)</f>
        <v/>
      </c>
    </row>
    <row r="17">
      <c r="A17" s="2" t="inlineStr">
        <is>
          <t>Досуг, книги</t>
        </is>
      </c>
      <c r="B17" s="3">
        <f>SUMIFS('Все ниши'!$E$2:$E$2267,'Все ниши'!$C$2:$C$2267,A17)</f>
        <v/>
      </c>
      <c r="C17" s="4">
        <f>B17/SUM($B$2:$B$20)</f>
        <v/>
      </c>
      <c r="D17" s="3">
        <f>SUMIFS('Все ниши'!$F$2:$F$2267,'Все ниши'!$C$2:$C$2267,A17)</f>
        <v/>
      </c>
      <c r="E17" s="3">
        <f>COUNTIF('Все ниши'!$C$2:$C$2267,A17)</f>
        <v/>
      </c>
      <c r="F17" s="3">
        <f>IFERROR(B17/D17,0)</f>
        <v/>
      </c>
    </row>
    <row r="18">
      <c r="A18" s="2" t="inlineStr">
        <is>
          <t>Обувь</t>
        </is>
      </c>
      <c r="B18" s="3">
        <f>SUMIFS('Все ниши'!$E$2:$E$2267,'Все ниши'!$C$2:$C$2267,A18)</f>
        <v/>
      </c>
      <c r="C18" s="4">
        <f>B18/SUM($B$2:$B$20)</f>
        <v/>
      </c>
      <c r="D18" s="3">
        <f>SUMIFS('Все ниши'!$F$2:$F$2267,'Все ниши'!$C$2:$C$2267,A18)</f>
        <v/>
      </c>
      <c r="E18" s="3">
        <f>COUNTIF('Все ниши'!$C$2:$C$2267,A18)</f>
        <v/>
      </c>
      <c r="F18" s="3">
        <f>IFERROR(B18/D18,0)</f>
        <v/>
      </c>
    </row>
    <row r="19">
      <c r="A19" s="2" t="inlineStr">
        <is>
          <t>Товары для животных</t>
        </is>
      </c>
      <c r="B19" s="3">
        <f>SUMIFS('Все ниши'!$E$2:$E$2267,'Все ниши'!$C$2:$C$2267,A19)</f>
        <v/>
      </c>
      <c r="C19" s="4">
        <f>B19/SUM($B$2:$B$20)</f>
        <v/>
      </c>
      <c r="D19" s="3">
        <f>SUMIFS('Все ниши'!$F$2:$F$2267,'Все ниши'!$C$2:$C$2267,A19)</f>
        <v/>
      </c>
      <c r="E19" s="3">
        <f>COUNTIF('Все ниши'!$C$2:$C$2267,A19)</f>
        <v/>
      </c>
      <c r="F19" s="3">
        <f>IFERROR(B19/D19,0)</f>
        <v/>
      </c>
    </row>
    <row r="20">
      <c r="A20" s="2" t="inlineStr">
        <is>
          <t>Канцелярские товары</t>
        </is>
      </c>
      <c r="B20" s="3">
        <f>SUMIFS('Все ниши'!$E$2:$E$2267,'Все ниши'!$C$2:$C$2267,A20)</f>
        <v/>
      </c>
      <c r="C20" s="4">
        <f>B20/SUM($B$2:$B$20)</f>
        <v/>
      </c>
      <c r="D20" s="3">
        <f>SUMIFS('Все ниши'!$F$2:$F$2267,'Все ниши'!$C$2:$C$2267,A20)</f>
        <v/>
      </c>
      <c r="E20" s="3">
        <f>COUNTIF('Все ниши'!$C$2:$C$2267,A20)</f>
        <v/>
      </c>
      <c r="F20" s="3">
        <f>IFERROR(B20/D20,0)</f>
        <v/>
      </c>
    </row>
    <row r="21">
      <c r="A21" s="5" t="inlineStr">
        <is>
          <t>ИТОГО</t>
        </is>
      </c>
      <c r="B21" s="6">
        <f>SUM(B2:B20)</f>
        <v/>
      </c>
      <c r="C21" s="7">
        <f>SUM(C2:C20)</f>
        <v/>
      </c>
      <c r="D21" s="6">
        <f>SUM(D2:D20)</f>
        <v/>
      </c>
      <c r="E21" s="6">
        <f>SUM(E2:E20)</f>
        <v/>
      </c>
      <c r="F21" s="6">
        <f>IFERROR(B21/D21,0)</f>
        <v/>
      </c>
    </row>
    <row r="23">
      <c r="A23" s="8" t="inlineStr">
        <is>
          <t>Источник: RedStat (аналитика Kaspi.kz), период — август 2026 (календарный месяц), метрика — выручка (sale_amount). Все суммы в тенге.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24" customWidth="1" min="3" max="3"/>
    <col width="60" customWidth="1" min="4" max="4"/>
    <col width="18" customWidth="1" min="5" max="5"/>
    <col width="12" customWidth="1" min="6" max="6"/>
    <col width="14" customWidth="1" min="7" max="7"/>
    <col width="9" customWidth="1" min="8" max="8"/>
    <col width="9" customWidth="1" min="9" max="9"/>
    <col width="16" customWidth="1" min="10" max="10"/>
    <col width="10" customWidth="1" min="11" max="11"/>
    <col width="10" customWidth="1" min="12" max="12"/>
    <col width="18" customWidth="1" min="13" max="13"/>
    <col width="45" customWidth="1" min="14" max="14"/>
    <col width="45" customWidth="1" min="15" max="15"/>
  </cols>
  <sheetData>
    <row r="1">
      <c r="A1" s="9" t="inlineStr">
        <is>
          <t>№</t>
        </is>
      </c>
      <c r="B1" s="9" t="inlineStr">
        <is>
          <t>Ниша</t>
        </is>
      </c>
      <c r="C1" s="9" t="inlineStr">
        <is>
          <t>Раздел</t>
        </is>
      </c>
      <c r="D1" s="9" t="inlineStr">
        <is>
          <t>Путь в каталоге</t>
        </is>
      </c>
      <c r="E1" s="9" t="inlineStr">
        <is>
          <t>Оборот, ₸</t>
        </is>
      </c>
      <c r="F1" s="9" t="inlineStr">
        <is>
          <t>Заказы, шт</t>
        </is>
      </c>
      <c r="G1" s="9" t="inlineStr">
        <is>
          <t>Средний чек, ₸</t>
        </is>
      </c>
      <c r="H1" s="9" t="inlineStr">
        <is>
          <t>SKU, шт</t>
        </is>
      </c>
      <c r="I1" s="9" t="inlineStr">
        <is>
          <t>Брендов</t>
        </is>
      </c>
      <c r="J1" s="9" t="inlineStr">
        <is>
          <t>Выручка на SKU, ₸</t>
        </is>
      </c>
      <c r="K1" s="9" t="inlineStr">
        <is>
          <t>Доля рынка</t>
        </is>
      </c>
      <c r="L1" s="9" t="inlineStr">
        <is>
          <t>Накопл. доля</t>
        </is>
      </c>
      <c r="M1" s="9" t="inlineStr">
        <is>
          <t>ID ниши</t>
        </is>
      </c>
      <c r="N1" s="9" t="inlineStr">
        <is>
          <t>RedStat</t>
        </is>
      </c>
      <c r="O1" s="9" t="inlineStr">
        <is>
          <t>Kaspi</t>
        </is>
      </c>
    </row>
    <row r="2">
      <c r="A2" s="2" t="n">
        <v>1</v>
      </c>
      <c r="B2" s="2" t="inlineStr">
        <is>
          <t>Смартфоны</t>
        </is>
      </c>
      <c r="C2" s="2" t="inlineStr">
        <is>
          <t>Телефоны и гаджеты</t>
        </is>
      </c>
      <c r="D2" s="2" t="inlineStr">
        <is>
          <t>Телефоны и гаджеты → Смартфоны</t>
        </is>
      </c>
      <c r="E2" s="3" t="n">
        <v>40740351810</v>
      </c>
      <c r="F2" s="3" t="n">
        <v>110088</v>
      </c>
      <c r="G2" s="3">
        <f>IFERROR(E2/F2,0)</f>
        <v/>
      </c>
      <c r="H2" s="3" t="n">
        <v>3302</v>
      </c>
      <c r="I2" s="2" t="n">
        <v>36</v>
      </c>
      <c r="J2" s="3">
        <f>IFERROR(E2/H2,0)</f>
        <v/>
      </c>
      <c r="K2" s="10">
        <f>E2/'По разделам'!$B$21</f>
        <v/>
      </c>
      <c r="L2" s="4">
        <f>K2</f>
        <v/>
      </c>
      <c r="M2" s="2" t="inlineStr">
        <is>
          <t>00003</t>
        </is>
      </c>
      <c r="N2" s="2" t="inlineStr">
        <is>
          <t>https://app.redstat.kz/niche/00003?event_date=2026-08-01</t>
        </is>
      </c>
      <c r="O2" s="2" t="inlineStr">
        <is>
          <t>https://kaspi.kz/shop/c/smartphones/</t>
        </is>
      </c>
    </row>
    <row r="3">
      <c r="A3" s="2" t="n">
        <v>2</v>
      </c>
      <c r="B3" s="2" t="inlineStr">
        <is>
          <t>Витамины и БАД</t>
        </is>
      </c>
      <c r="C3" s="2" t="inlineStr">
        <is>
          <t>Аптека</t>
        </is>
      </c>
      <c r="D3" s="2" t="inlineStr">
        <is>
          <t>Аптека → Витамины и БАД</t>
        </is>
      </c>
      <c r="E3" s="3" t="n">
        <v>9516905073</v>
      </c>
      <c r="F3" s="3" t="n">
        <v>1381320</v>
      </c>
      <c r="G3" s="3">
        <f>IFERROR(E3/F3,0)</f>
        <v/>
      </c>
      <c r="H3" s="3" t="n">
        <v>18879</v>
      </c>
      <c r="I3" s="2" t="n">
        <v>1795</v>
      </c>
      <c r="J3" s="3">
        <f>IFERROR(E3/H3,0)</f>
        <v/>
      </c>
      <c r="K3" s="10">
        <f>E3/'По разделам'!$B$21</f>
        <v/>
      </c>
      <c r="L3" s="4">
        <f>L2+K3</f>
        <v/>
      </c>
      <c r="M3" s="2" t="inlineStr">
        <is>
          <t>04550</t>
        </is>
      </c>
      <c r="N3" s="2" t="inlineStr">
        <is>
          <t>https://app.redstat.kz/niche/04550?event_date=2026-08-01</t>
        </is>
      </c>
      <c r="O3" s="2" t="inlineStr">
        <is>
          <t>https://kaspi.kz/shop/c/vitamins/</t>
        </is>
      </c>
    </row>
    <row r="4">
      <c r="A4" s="2" t="n">
        <v>3</v>
      </c>
      <c r="B4" s="2" t="inlineStr">
        <is>
          <t>Ноутбуки</t>
        </is>
      </c>
      <c r="C4" s="2" t="inlineStr">
        <is>
          <t>Компьютеры</t>
        </is>
      </c>
      <c r="D4" s="2" t="inlineStr">
        <is>
          <t>Компьютеры → Ноутбуки и аксессуары → Ноутбуки</t>
        </is>
      </c>
      <c r="E4" s="3" t="n">
        <v>5965719185</v>
      </c>
      <c r="F4" s="3" t="n">
        <v>16459</v>
      </c>
      <c r="G4" s="3">
        <f>IFERROR(E4/F4,0)</f>
        <v/>
      </c>
      <c r="H4" s="3" t="n">
        <v>1811</v>
      </c>
      <c r="I4" s="2" t="n">
        <v>78</v>
      </c>
      <c r="J4" s="3">
        <f>IFERROR(E4/H4,0)</f>
        <v/>
      </c>
      <c r="K4" s="10">
        <f>E4/'По разделам'!$B$21</f>
        <v/>
      </c>
      <c r="L4" s="4">
        <f>L3+K4</f>
        <v/>
      </c>
      <c r="M4" s="2" t="inlineStr">
        <is>
          <t>00588</t>
        </is>
      </c>
      <c r="N4" s="2" t="inlineStr">
        <is>
          <t>https://app.redstat.kz/niche/00588?event_date=2026-08-01</t>
        </is>
      </c>
      <c r="O4" s="2" t="inlineStr">
        <is>
          <t>https://kaspi.kz/shop/c/notebooks/</t>
        </is>
      </c>
    </row>
    <row r="5">
      <c r="A5" s="2" t="n">
        <v>4</v>
      </c>
      <c r="B5" s="2" t="inlineStr">
        <is>
          <t>Холодильники</t>
        </is>
      </c>
      <c r="C5" s="2" t="inlineStr">
        <is>
          <t>Бытовая техника</t>
        </is>
      </c>
      <c r="D5" s="2" t="inlineStr">
        <is>
          <t>Бытовая техника → Крупная техника для дома → Холодильники</t>
        </is>
      </c>
      <c r="E5" s="3" t="n">
        <v>3728770671</v>
      </c>
      <c r="F5" s="3" t="n">
        <v>17448</v>
      </c>
      <c r="G5" s="3">
        <f>IFERROR(E5/F5,0)</f>
        <v/>
      </c>
      <c r="H5" s="3" t="n">
        <v>1187</v>
      </c>
      <c r="I5" s="2" t="n">
        <v>88</v>
      </c>
      <c r="J5" s="3">
        <f>IFERROR(E5/H5,0)</f>
        <v/>
      </c>
      <c r="K5" s="10">
        <f>E5/'По разделам'!$B$21</f>
        <v/>
      </c>
      <c r="L5" s="4">
        <f>L4+K5</f>
        <v/>
      </c>
      <c r="M5" s="2" t="inlineStr">
        <is>
          <t>00025</t>
        </is>
      </c>
      <c r="N5" s="2" t="inlineStr">
        <is>
          <t>https://app.redstat.kz/niche/00025?event_date=2026-08-01</t>
        </is>
      </c>
      <c r="O5" s="2" t="inlineStr">
        <is>
          <t>https://kaspi.kz/shop/c/refrigerators/</t>
        </is>
      </c>
    </row>
    <row r="6">
      <c r="A6" s="2" t="n">
        <v>5</v>
      </c>
      <c r="B6" s="2" t="inlineStr">
        <is>
          <t>Стиральные машины</t>
        </is>
      </c>
      <c r="C6" s="2" t="inlineStr">
        <is>
          <t>Бытовая техника</t>
        </is>
      </c>
      <c r="D6" s="2" t="inlineStr">
        <is>
          <t>Бытовая техника → Крупная техника для дома → Стиральные машины</t>
        </is>
      </c>
      <c r="E6" s="3" t="n">
        <v>3472279970</v>
      </c>
      <c r="F6" s="3" t="n">
        <v>20601</v>
      </c>
      <c r="G6" s="3">
        <f>IFERROR(E6/F6,0)</f>
        <v/>
      </c>
      <c r="H6" s="3" t="n">
        <v>939</v>
      </c>
      <c r="I6" s="2" t="n">
        <v>99</v>
      </c>
      <c r="J6" s="3">
        <f>IFERROR(E6/H6,0)</f>
        <v/>
      </c>
      <c r="K6" s="10">
        <f>E6/'По разделам'!$B$21</f>
        <v/>
      </c>
      <c r="L6" s="4">
        <f>L5+K6</f>
        <v/>
      </c>
      <c r="M6" s="2" t="inlineStr">
        <is>
          <t>00035</t>
        </is>
      </c>
      <c r="N6" s="2" t="inlineStr">
        <is>
          <t>https://app.redstat.kz/niche/00035?event_date=2026-08-01</t>
        </is>
      </c>
      <c r="O6" s="2" t="inlineStr">
        <is>
          <t>https://kaspi.kz/shop/c/washers/</t>
        </is>
      </c>
    </row>
    <row r="7">
      <c r="A7" s="2" t="n">
        <v>6</v>
      </c>
      <c r="B7" s="2" t="inlineStr">
        <is>
          <t>Шины для легковых и внедорожных автомобилей</t>
        </is>
      </c>
      <c r="C7" s="2" t="inlineStr">
        <is>
          <t>Автотовары</t>
        </is>
      </c>
      <c r="D7" s="2" t="inlineStr">
        <is>
          <t>Автотовары → Шины → Шины для легковых и внедорожных автомобилей</t>
        </is>
      </c>
      <c r="E7" s="3" t="n">
        <v>3323820614</v>
      </c>
      <c r="F7" s="3" t="n">
        <v>28278</v>
      </c>
      <c r="G7" s="3">
        <f>IFERROR(E7/F7,0)</f>
        <v/>
      </c>
      <c r="H7" s="3" t="n">
        <v>8227</v>
      </c>
      <c r="I7" s="2" t="n">
        <v>209</v>
      </c>
      <c r="J7" s="3">
        <f>IFERROR(E7/H7,0)</f>
        <v/>
      </c>
      <c r="K7" s="10">
        <f>E7/'По разделам'!$B$21</f>
        <v/>
      </c>
      <c r="L7" s="4">
        <f>L6+K7</f>
        <v/>
      </c>
      <c r="M7" s="2" t="inlineStr">
        <is>
          <t>02640</t>
        </is>
      </c>
      <c r="N7" s="2" t="inlineStr">
        <is>
          <t>https://app.redstat.kz/niche/02640?event_date=2026-08-01</t>
        </is>
      </c>
      <c r="O7" s="2" t="inlineStr">
        <is>
          <t>https://kaspi.kz/shop/c/passenger%20car%20tires/</t>
        </is>
      </c>
    </row>
    <row r="8">
      <c r="A8" s="2" t="n">
        <v>7</v>
      </c>
      <c r="B8" s="2" t="inlineStr">
        <is>
          <t>Пылесосы</t>
        </is>
      </c>
      <c r="C8" s="2" t="inlineStr">
        <is>
          <t>Бытовая техника</t>
        </is>
      </c>
      <c r="D8" s="2" t="inlineStr">
        <is>
          <t>Бытовая техника → Малая техника для дома → Пылесосы</t>
        </is>
      </c>
      <c r="E8" s="3" t="n">
        <v>2473506910</v>
      </c>
      <c r="F8" s="3" t="n">
        <v>98084</v>
      </c>
      <c r="G8" s="3">
        <f>IFERROR(E8/F8,0)</f>
        <v/>
      </c>
      <c r="H8" s="3" t="n">
        <v>1937</v>
      </c>
      <c r="I8" s="2" t="n">
        <v>429</v>
      </c>
      <c r="J8" s="3">
        <f>IFERROR(E8/H8,0)</f>
        <v/>
      </c>
      <c r="K8" s="10">
        <f>E8/'По разделам'!$B$21</f>
        <v/>
      </c>
      <c r="L8" s="4">
        <f>L7+K8</f>
        <v/>
      </c>
      <c r="M8" s="2" t="inlineStr">
        <is>
          <t>00036</t>
        </is>
      </c>
      <c r="N8" s="2" t="inlineStr">
        <is>
          <t>https://app.redstat.kz/niche/00036?event_date=2026-08-01</t>
        </is>
      </c>
      <c r="O8" s="2" t="inlineStr">
        <is>
          <t>https://kaspi.kz/shop/c/vacuum%20cleaners/</t>
        </is>
      </c>
    </row>
    <row r="9">
      <c r="A9" s="2" t="n">
        <v>8</v>
      </c>
      <c r="B9" s="2" t="inlineStr">
        <is>
          <t>Телевизоры</t>
        </is>
      </c>
      <c r="C9" s="2" t="inlineStr">
        <is>
          <t>ТВ, Аудио, Видео</t>
        </is>
      </c>
      <c r="D9" s="2" t="inlineStr">
        <is>
          <t>ТВ, Аудио, Видео → Телевизоры</t>
        </is>
      </c>
      <c r="E9" s="3" t="n">
        <v>2343539408</v>
      </c>
      <c r="F9" s="3" t="n">
        <v>12873</v>
      </c>
      <c r="G9" s="3">
        <f>IFERROR(E9/F9,0)</f>
        <v/>
      </c>
      <c r="H9" s="3" t="n">
        <v>900</v>
      </c>
      <c r="I9" s="2" t="n">
        <v>91</v>
      </c>
      <c r="J9" s="3">
        <f>IFERROR(E9/H9,0)</f>
        <v/>
      </c>
      <c r="K9" s="10">
        <f>E9/'По разделам'!$B$21</f>
        <v/>
      </c>
      <c r="L9" s="4">
        <f>L8+K9</f>
        <v/>
      </c>
      <c r="M9" s="2" t="inlineStr">
        <is>
          <t>05374</t>
        </is>
      </c>
      <c r="N9" s="2" t="inlineStr">
        <is>
          <t>https://app.redstat.kz/niche/05374?event_date=2026-08-01</t>
        </is>
      </c>
      <c r="O9" s="2" t="inlineStr">
        <is>
          <t>https://kaspi.kz/shop/c/tvs/</t>
        </is>
      </c>
    </row>
    <row r="10">
      <c r="A10" s="2" t="n">
        <v>9</v>
      </c>
      <c r="B10" s="2" t="inlineStr">
        <is>
          <t>Диваны и комплекты мягкой мебели</t>
        </is>
      </c>
      <c r="C10" s="2" t="inlineStr">
        <is>
          <t>Мебель</t>
        </is>
      </c>
      <c r="D10" s="2" t="inlineStr">
        <is>
          <t>Мебель → Гостиная → Диваны и комплекты мягкой мебели</t>
        </is>
      </c>
      <c r="E10" s="3" t="n">
        <v>2287100456</v>
      </c>
      <c r="F10" s="3" t="n">
        <v>18456</v>
      </c>
      <c r="G10" s="3">
        <f>IFERROR(E10/F10,0)</f>
        <v/>
      </c>
      <c r="H10" s="3" t="n">
        <v>2718</v>
      </c>
      <c r="I10" s="2" t="n">
        <v>268</v>
      </c>
      <c r="J10" s="3">
        <f>IFERROR(E10/H10,0)</f>
        <v/>
      </c>
      <c r="K10" s="10">
        <f>E10/'По разделам'!$B$21</f>
        <v/>
      </c>
      <c r="L10" s="4">
        <f>L9+K10</f>
        <v/>
      </c>
      <c r="M10" s="2" t="inlineStr">
        <is>
          <t>00562</t>
        </is>
      </c>
      <c r="N10" s="2" t="inlineStr">
        <is>
          <t>https://app.redstat.kz/niche/00562?event_date=2026-08-01</t>
        </is>
      </c>
      <c r="O10" s="2" t="inlineStr">
        <is>
          <t>https://kaspi.kz/shop/c/sofas/</t>
        </is>
      </c>
    </row>
    <row r="11">
      <c r="A11" s="2" t="n">
        <v>10</v>
      </c>
      <c r="B11" s="2" t="inlineStr">
        <is>
          <t>Планшеты</t>
        </is>
      </c>
      <c r="C11" s="2" t="inlineStr">
        <is>
          <t>Компьютеры</t>
        </is>
      </c>
      <c r="D11" s="2" t="inlineStr">
        <is>
          <t>Компьютеры → Планшеты и аксессуары → Планшеты</t>
        </is>
      </c>
      <c r="E11" s="3" t="n">
        <v>2036218563</v>
      </c>
      <c r="F11" s="3" t="n">
        <v>12214</v>
      </c>
      <c r="G11" s="3">
        <f>IFERROR(E11/F11,0)</f>
        <v/>
      </c>
      <c r="H11" s="3" t="n">
        <v>844</v>
      </c>
      <c r="I11" s="2" t="n">
        <v>92</v>
      </c>
      <c r="J11" s="3">
        <f>IFERROR(E11/H11,0)</f>
        <v/>
      </c>
      <c r="K11" s="10">
        <f>E11/'По разделам'!$B$21</f>
        <v/>
      </c>
      <c r="L11" s="4">
        <f>L10+K11</f>
        <v/>
      </c>
      <c r="M11" s="2" t="inlineStr">
        <is>
          <t>01325</t>
        </is>
      </c>
      <c r="N11" s="2" t="inlineStr">
        <is>
          <t>https://app.redstat.kz/niche/01325?event_date=2026-08-01</t>
        </is>
      </c>
      <c r="O11" s="2" t="inlineStr">
        <is>
          <t>https://kaspi.kz/shop/c/tablets/</t>
        </is>
      </c>
    </row>
    <row r="12">
      <c r="A12" s="2" t="n">
        <v>11</v>
      </c>
      <c r="B12" s="2" t="inlineStr">
        <is>
          <t>Шкафы для одежды</t>
        </is>
      </c>
      <c r="C12" s="2" t="inlineStr">
        <is>
          <t>Мебель</t>
        </is>
      </c>
      <c r="D12" s="2" t="inlineStr">
        <is>
          <t>Мебель → Спальня → Шкафы для одежды</t>
        </is>
      </c>
      <c r="E12" s="3" t="n">
        <v>1981417411</v>
      </c>
      <c r="F12" s="3" t="n">
        <v>19254</v>
      </c>
      <c r="G12" s="3">
        <f>IFERROR(E12/F12,0)</f>
        <v/>
      </c>
      <c r="H12" s="3" t="n">
        <v>2694</v>
      </c>
      <c r="I12" s="2" t="n">
        <v>243</v>
      </c>
      <c r="J12" s="3">
        <f>IFERROR(E12/H12,0)</f>
        <v/>
      </c>
      <c r="K12" s="10">
        <f>E12/'По разделам'!$B$21</f>
        <v/>
      </c>
      <c r="L12" s="4">
        <f>L11+K12</f>
        <v/>
      </c>
      <c r="M12" s="2" t="inlineStr">
        <is>
          <t>00316</t>
        </is>
      </c>
      <c r="N12" s="2" t="inlineStr">
        <is>
          <t>https://app.redstat.kz/niche/00316?event_date=2026-08-01</t>
        </is>
      </c>
      <c r="O12" s="2" t="inlineStr">
        <is>
          <t>https://kaspi.kz/shop/c/wardrobes/</t>
        </is>
      </c>
    </row>
    <row r="13">
      <c r="A13" s="2" t="n">
        <v>12</v>
      </c>
      <c r="B13" s="2" t="inlineStr">
        <is>
          <t>Морозильники</t>
        </is>
      </c>
      <c r="C13" s="2" t="inlineStr">
        <is>
          <t>Бытовая техника</t>
        </is>
      </c>
      <c r="D13" s="2" t="inlineStr">
        <is>
          <t>Бытовая техника → Крупная техника для дома → Морозильники</t>
        </is>
      </c>
      <c r="E13" s="3" t="n">
        <v>1815575249</v>
      </c>
      <c r="F13" s="3" t="n">
        <v>13648</v>
      </c>
      <c r="G13" s="3">
        <f>IFERROR(E13/F13,0)</f>
        <v/>
      </c>
      <c r="H13" s="3" t="n">
        <v>652</v>
      </c>
      <c r="I13" s="2" t="n">
        <v>81</v>
      </c>
      <c r="J13" s="3">
        <f>IFERROR(E13/H13,0)</f>
        <v/>
      </c>
      <c r="K13" s="10">
        <f>E13/'По разделам'!$B$21</f>
        <v/>
      </c>
      <c r="L13" s="4">
        <f>L12+K13</f>
        <v/>
      </c>
      <c r="M13" s="2" t="inlineStr">
        <is>
          <t>00026</t>
        </is>
      </c>
      <c r="N13" s="2" t="inlineStr">
        <is>
          <t>https://app.redstat.kz/niche/00026?event_date=2026-08-01</t>
        </is>
      </c>
      <c r="O13" s="2" t="inlineStr">
        <is>
          <t>https://kaspi.kz/shop/c/freezers/</t>
        </is>
      </c>
    </row>
    <row r="14">
      <c r="A14" s="2" t="n">
        <v>13</v>
      </c>
      <c r="B14" s="2" t="inlineStr">
        <is>
          <t>Кондиционеры</t>
        </is>
      </c>
      <c r="C14" s="2" t="inlineStr">
        <is>
          <t>Бытовая техника</t>
        </is>
      </c>
      <c r="D14" s="2" t="inlineStr">
        <is>
          <t>Бытовая техника → Климатическая техника → Кондиционеры</t>
        </is>
      </c>
      <c r="E14" s="3" t="n">
        <v>1794465081</v>
      </c>
      <c r="F14" s="3" t="n">
        <v>9994</v>
      </c>
      <c r="G14" s="3">
        <f>IFERROR(E14/F14,0)</f>
        <v/>
      </c>
      <c r="H14" s="3" t="n">
        <v>848</v>
      </c>
      <c r="I14" s="2" t="n">
        <v>99</v>
      </c>
      <c r="J14" s="3">
        <f>IFERROR(E14/H14,0)</f>
        <v/>
      </c>
      <c r="K14" s="10">
        <f>E14/'По разделам'!$B$21</f>
        <v/>
      </c>
      <c r="L14" s="4">
        <f>L13+K14</f>
        <v/>
      </c>
      <c r="M14" s="2" t="inlineStr">
        <is>
          <t>00047</t>
        </is>
      </c>
      <c r="N14" s="2" t="inlineStr">
        <is>
          <t>https://app.redstat.kz/niche/00047?event_date=2026-08-01</t>
        </is>
      </c>
      <c r="O14" s="2" t="inlineStr">
        <is>
          <t>https://kaspi.kz/shop/c/air%20conditioners/</t>
        </is>
      </c>
    </row>
    <row r="15">
      <c r="A15" s="2" t="n">
        <v>14</v>
      </c>
      <c r="B15" s="2" t="inlineStr">
        <is>
          <t>Кремы и сыворотки</t>
        </is>
      </c>
      <c r="C15" s="2" t="inlineStr">
        <is>
          <t>Красота и здоровье</t>
        </is>
      </c>
      <c r="D15" s="2" t="inlineStr">
        <is>
          <t>Красота и здоровье → Уход за лицом → Кремы и сыворотки</t>
        </is>
      </c>
      <c r="E15" s="3" t="n">
        <v>1689118226</v>
      </c>
      <c r="F15" s="3" t="n">
        <v>271781</v>
      </c>
      <c r="G15" s="3">
        <f>IFERROR(E15/F15,0)</f>
        <v/>
      </c>
      <c r="H15" s="3" t="n">
        <v>11315</v>
      </c>
      <c r="I15" s="2" t="n">
        <v>1324</v>
      </c>
      <c r="J15" s="3">
        <f>IFERROR(E15/H15,0)</f>
        <v/>
      </c>
      <c r="K15" s="10">
        <f>E15/'По разделам'!$B$21</f>
        <v/>
      </c>
      <c r="L15" s="4">
        <f>L14+K15</f>
        <v/>
      </c>
      <c r="M15" s="2" t="inlineStr">
        <is>
          <t>03261</t>
        </is>
      </c>
      <c r="N15" s="2" t="inlineStr">
        <is>
          <t>https://app.redstat.kz/niche/03261?event_date=2026-08-01</t>
        </is>
      </c>
      <c r="O15" s="2" t="inlineStr">
        <is>
          <t>https://kaspi.kz/shop/c/creams/</t>
        </is>
      </c>
    </row>
    <row r="16">
      <c r="A16" s="2" t="n">
        <v>15</v>
      </c>
      <c r="B16" s="2" t="inlineStr">
        <is>
          <t>Смарт-часы</t>
        </is>
      </c>
      <c r="C16" s="2" t="inlineStr">
        <is>
          <t>Телефоны и гаджеты</t>
        </is>
      </c>
      <c r="D16" s="2" t="inlineStr">
        <is>
          <t>Телефоны и гаджеты → Смарт-часы</t>
        </is>
      </c>
      <c r="E16" s="3" t="n">
        <v>1608348745</v>
      </c>
      <c r="F16" s="3" t="n">
        <v>25826</v>
      </c>
      <c r="G16" s="3">
        <f>IFERROR(E16/F16,0)</f>
        <v/>
      </c>
      <c r="H16" s="3" t="n">
        <v>1450</v>
      </c>
      <c r="I16" s="2" t="n">
        <v>195</v>
      </c>
      <c r="J16" s="3">
        <f>IFERROR(E16/H16,0)</f>
        <v/>
      </c>
      <c r="K16" s="10">
        <f>E16/'По разделам'!$B$21</f>
        <v/>
      </c>
      <c r="L16" s="4">
        <f>L15+K16</f>
        <v/>
      </c>
      <c r="M16" s="2" t="inlineStr">
        <is>
          <t>00044</t>
        </is>
      </c>
      <c r="N16" s="2" t="inlineStr">
        <is>
          <t>https://app.redstat.kz/niche/00044?event_date=2026-08-01</t>
        </is>
      </c>
      <c r="O16" s="2" t="inlineStr">
        <is>
          <t>https://kaspi.kz/shop/c/smart%20watches/</t>
        </is>
      </c>
    </row>
    <row r="17">
      <c r="A17" s="2" t="n">
        <v>16</v>
      </c>
      <c r="B17" s="2" t="inlineStr">
        <is>
          <t>Наушники</t>
        </is>
      </c>
      <c r="C17" s="2" t="inlineStr">
        <is>
          <t>ТВ, Аудио, Видео</t>
        </is>
      </c>
      <c r="D17" s="2" t="inlineStr">
        <is>
          <t>ТВ, Аудио, Видео → Наушники</t>
        </is>
      </c>
      <c r="E17" s="3" t="n">
        <v>1561288419</v>
      </c>
      <c r="F17" s="3" t="n">
        <v>108980</v>
      </c>
      <c r="G17" s="3">
        <f>IFERROR(E17/F17,0)</f>
        <v/>
      </c>
      <c r="H17" s="3" t="n">
        <v>3995</v>
      </c>
      <c r="I17" s="2" t="n">
        <v>509</v>
      </c>
      <c r="J17" s="3">
        <f>IFERROR(E17/H17,0)</f>
        <v/>
      </c>
      <c r="K17" s="10">
        <f>E17/'По разделам'!$B$21</f>
        <v/>
      </c>
      <c r="L17" s="4">
        <f>L16+K17</f>
        <v/>
      </c>
      <c r="M17" s="2" t="inlineStr">
        <is>
          <t>05375</t>
        </is>
      </c>
      <c r="N17" s="2" t="inlineStr">
        <is>
          <t>https://app.redstat.kz/niche/05375?event_date=2026-08-01</t>
        </is>
      </c>
      <c r="O17" s="2" t="inlineStr">
        <is>
          <t>https://kaspi.kz/shop/c/headphones/</t>
        </is>
      </c>
    </row>
    <row r="18">
      <c r="A18" s="2" t="n">
        <v>17</v>
      </c>
      <c r="B18" s="2" t="inlineStr">
        <is>
          <t>Кровати</t>
        </is>
      </c>
      <c r="C18" s="2" t="inlineStr">
        <is>
          <t>Мебель</t>
        </is>
      </c>
      <c r="D18" s="2" t="inlineStr">
        <is>
          <t>Мебель → Спальня → Кровати</t>
        </is>
      </c>
      <c r="E18" s="3" t="n">
        <v>1532017355</v>
      </c>
      <c r="F18" s="3" t="n">
        <v>16967</v>
      </c>
      <c r="G18" s="3">
        <f>IFERROR(E18/F18,0)</f>
        <v/>
      </c>
      <c r="H18" s="3" t="n">
        <v>2061</v>
      </c>
      <c r="I18" s="2" t="n">
        <v>195</v>
      </c>
      <c r="J18" s="3">
        <f>IFERROR(E18/H18,0)</f>
        <v/>
      </c>
      <c r="K18" s="10">
        <f>E18/'По разделам'!$B$21</f>
        <v/>
      </c>
      <c r="L18" s="4">
        <f>L17+K18</f>
        <v/>
      </c>
      <c r="M18" s="2" t="inlineStr">
        <is>
          <t>00242</t>
        </is>
      </c>
      <c r="N18" s="2" t="inlineStr">
        <is>
          <t>https://app.redstat.kz/niche/00242?event_date=2026-08-01</t>
        </is>
      </c>
      <c r="O18" s="2" t="inlineStr">
        <is>
          <t>https://kaspi.kz/shop/c/beds/</t>
        </is>
      </c>
    </row>
    <row r="19">
      <c r="A19" s="2" t="n">
        <v>18</v>
      </c>
      <c r="B19" s="2" t="inlineStr">
        <is>
          <t>Парфюмерия</t>
        </is>
      </c>
      <c r="C19" s="2" t="inlineStr">
        <is>
          <t>Красота и здоровье</t>
        </is>
      </c>
      <c r="D19" s="2" t="inlineStr">
        <is>
          <t>Красота и здоровье → Парфюмерия</t>
        </is>
      </c>
      <c r="E19" s="3" t="n">
        <v>1359807981</v>
      </c>
      <c r="F19" s="3" t="n">
        <v>122812</v>
      </c>
      <c r="G19" s="3">
        <f>IFERROR(E19/F19,0)</f>
        <v/>
      </c>
      <c r="H19" s="3" t="n">
        <v>11822</v>
      </c>
      <c r="I19" s="2" t="n">
        <v>755</v>
      </c>
      <c r="J19" s="3">
        <f>IFERROR(E19/H19,0)</f>
        <v/>
      </c>
      <c r="K19" s="10">
        <f>E19/'По разделам'!$B$21</f>
        <v/>
      </c>
      <c r="L19" s="4">
        <f>L18+K19</f>
        <v/>
      </c>
      <c r="M19" s="2" t="inlineStr">
        <is>
          <t>00563</t>
        </is>
      </c>
      <c r="N19" s="2" t="inlineStr">
        <is>
          <t>https://app.redstat.kz/niche/00563?event_date=2026-08-01</t>
        </is>
      </c>
      <c r="O19" s="2" t="inlineStr">
        <is>
          <t>https://kaspi.kz/shop/c/perfumes/</t>
        </is>
      </c>
    </row>
    <row r="20">
      <c r="A20" s="2" t="n">
        <v>19</v>
      </c>
      <c r="B20" s="2" t="inlineStr">
        <is>
          <t>Печи и грили</t>
        </is>
      </c>
      <c r="C20" s="2" t="inlineStr">
        <is>
          <t>Бытовая техника</t>
        </is>
      </c>
      <c r="D20" s="2" t="inlineStr">
        <is>
          <t>Бытовая техника → Мелкая техника для кухни → Печи и грили → Печи и грили</t>
        </is>
      </c>
      <c r="E20" s="3" t="n">
        <v>1287669658</v>
      </c>
      <c r="F20" s="3" t="n">
        <v>44994</v>
      </c>
      <c r="G20" s="3">
        <f>IFERROR(E20/F20,0)</f>
        <v/>
      </c>
      <c r="H20" s="3" t="n">
        <v>1774</v>
      </c>
      <c r="I20" s="2" t="n">
        <v>369</v>
      </c>
      <c r="J20" s="3">
        <f>IFERROR(E20/H20,0)</f>
        <v/>
      </c>
      <c r="K20" s="10">
        <f>E20/'По разделам'!$B$21</f>
        <v/>
      </c>
      <c r="L20" s="4">
        <f>L19+K20</f>
        <v/>
      </c>
      <c r="M20" s="2" t="inlineStr">
        <is>
          <t>q86fab4ff138e681</t>
        </is>
      </c>
      <c r="N20" s="2" t="inlineStr">
        <is>
          <t>https://app.redstat.kz/niche/q86fab4ff138e681?event_date=2026-08-01</t>
        </is>
      </c>
      <c r="O20" s="2" t="inlineStr"/>
    </row>
    <row r="21">
      <c r="A21" s="2" t="n">
        <v>20</v>
      </c>
      <c r="B21" s="2" t="inlineStr">
        <is>
          <t>Системные блоки</t>
        </is>
      </c>
      <c r="C21" s="2" t="inlineStr">
        <is>
          <t>Компьютеры</t>
        </is>
      </c>
      <c r="D21" s="2" t="inlineStr">
        <is>
          <t>Компьютеры → Настольные компьютеры → Системные блоки</t>
        </is>
      </c>
      <c r="E21" s="3" t="n">
        <v>1098686317</v>
      </c>
      <c r="F21" s="3" t="n">
        <v>2136</v>
      </c>
      <c r="G21" s="3">
        <f>IFERROR(E21/F21,0)</f>
        <v/>
      </c>
      <c r="H21" s="3" t="n">
        <v>600</v>
      </c>
      <c r="I21" s="2" t="n">
        <v>96</v>
      </c>
      <c r="J21" s="3">
        <f>IFERROR(E21/H21,0)</f>
        <v/>
      </c>
      <c r="K21" s="10">
        <f>E21/'По разделам'!$B$21</f>
        <v/>
      </c>
      <c r="L21" s="4">
        <f>L20+K21</f>
        <v/>
      </c>
      <c r="M21" s="2" t="inlineStr">
        <is>
          <t>05403</t>
        </is>
      </c>
      <c r="N21" s="2" t="inlineStr">
        <is>
          <t>https://app.redstat.kz/niche/05403?event_date=2026-08-01</t>
        </is>
      </c>
      <c r="O21" s="2" t="inlineStr">
        <is>
          <t>https://kaspi.kz/shop/c/desktops/</t>
        </is>
      </c>
    </row>
    <row r="22">
      <c r="A22" s="2" t="n">
        <v>21</v>
      </c>
      <c r="B22" s="2" t="inlineStr">
        <is>
          <t>Садовая техника</t>
        </is>
      </c>
      <c r="C22" s="2" t="inlineStr">
        <is>
          <t>Товары для дома и дачи</t>
        </is>
      </c>
      <c r="D22" s="2" t="inlineStr">
        <is>
          <t>Товары для дома и дачи → Дача, сад и огород → Садовая техника → Садовая техника</t>
        </is>
      </c>
      <c r="E22" s="3" t="n">
        <v>1028872096</v>
      </c>
      <c r="F22" s="3" t="n">
        <v>23419</v>
      </c>
      <c r="G22" s="3">
        <f>IFERROR(E22/F22,0)</f>
        <v/>
      </c>
      <c r="H22" s="3" t="n">
        <v>3893</v>
      </c>
      <c r="I22" s="2" t="n">
        <v>448</v>
      </c>
      <c r="J22" s="3">
        <f>IFERROR(E22/H22,0)</f>
        <v/>
      </c>
      <c r="K22" s="10">
        <f>E22/'По разделам'!$B$21</f>
        <v/>
      </c>
      <c r="L22" s="4">
        <f>L21+K22</f>
        <v/>
      </c>
      <c r="M22" s="2" t="inlineStr">
        <is>
          <t>qb71a7a07068894e</t>
        </is>
      </c>
      <c r="N22" s="2" t="inlineStr">
        <is>
          <t>https://app.redstat.kz/niche/qb71a7a07068894e?event_date=2026-08-01</t>
        </is>
      </c>
      <c r="O22" s="2" t="inlineStr"/>
    </row>
    <row r="23">
      <c r="A23" s="2" t="n">
        <v>22</v>
      </c>
      <c r="B23" s="2" t="inlineStr">
        <is>
          <t>Кольца ювелирные</t>
        </is>
      </c>
      <c r="C23" s="2" t="inlineStr">
        <is>
          <t>Украшения</t>
        </is>
      </c>
      <c r="D23" s="2" t="inlineStr">
        <is>
          <t>Украшения → Кольца → Кольца ювелирные</t>
        </is>
      </c>
      <c r="E23" s="3" t="n">
        <v>1013930477</v>
      </c>
      <c r="F23" s="3" t="n">
        <v>23440</v>
      </c>
      <c r="G23" s="3">
        <f>IFERROR(E23/F23,0)</f>
        <v/>
      </c>
      <c r="H23" s="3" t="n">
        <v>6629</v>
      </c>
      <c r="I23" s="2" t="n">
        <v>497</v>
      </c>
      <c r="J23" s="3">
        <f>IFERROR(E23/H23,0)</f>
        <v/>
      </c>
      <c r="K23" s="10">
        <f>E23/'По разделам'!$B$21</f>
        <v/>
      </c>
      <c r="L23" s="4">
        <f>L22+K23</f>
        <v/>
      </c>
      <c r="M23" s="2" t="inlineStr">
        <is>
          <t>00743</t>
        </is>
      </c>
      <c r="N23" s="2" t="inlineStr">
        <is>
          <t>https://app.redstat.kz/niche/00743?event_date=2026-08-01</t>
        </is>
      </c>
      <c r="O23" s="2" t="inlineStr">
        <is>
          <t>https://kaspi.kz/shop/c/rings/</t>
        </is>
      </c>
    </row>
    <row r="24">
      <c r="A24" s="2" t="n">
        <v>23</v>
      </c>
      <c r="B24" s="2" t="inlineStr">
        <is>
          <t>Комплекты ювелирных украшений</t>
        </is>
      </c>
      <c r="C24" s="2" t="inlineStr">
        <is>
          <t>Украшения</t>
        </is>
      </c>
      <c r="D24" s="2" t="inlineStr">
        <is>
          <t>Украшения → Комплекты украшений → Комплекты ювелирных украшений</t>
        </is>
      </c>
      <c r="E24" s="3" t="n">
        <v>994048454</v>
      </c>
      <c r="F24" s="3" t="n">
        <v>10855</v>
      </c>
      <c r="G24" s="3">
        <f>IFERROR(E24/F24,0)</f>
        <v/>
      </c>
      <c r="H24" s="3" t="n">
        <v>1838</v>
      </c>
      <c r="I24" s="2" t="n">
        <v>361</v>
      </c>
      <c r="J24" s="3">
        <f>IFERROR(E24/H24,0)</f>
        <v/>
      </c>
      <c r="K24" s="10">
        <f>E24/'По разделам'!$B$21</f>
        <v/>
      </c>
      <c r="L24" s="4">
        <f>L23+K24</f>
        <v/>
      </c>
      <c r="M24" s="2" t="inlineStr">
        <is>
          <t>01246</t>
        </is>
      </c>
      <c r="N24" s="2" t="inlineStr">
        <is>
          <t>https://app.redstat.kz/niche/01246?event_date=2026-08-01</t>
        </is>
      </c>
      <c r="O24" s="2" t="inlineStr">
        <is>
          <t>https://kaspi.kz/shop/c/jewelry%20sets/</t>
        </is>
      </c>
    </row>
    <row r="25">
      <c r="A25" s="2" t="n">
        <v>24</v>
      </c>
      <c r="B25" s="2" t="inlineStr">
        <is>
          <t>Посуда для приготовления</t>
        </is>
      </c>
      <c r="C25" s="2" t="inlineStr">
        <is>
          <t>Товары для дома и дачи</t>
        </is>
      </c>
      <c r="D25" s="2" t="inlineStr">
        <is>
          <t>Товары для дома и дачи → Посуда и принадлежности → Посуда для приготовления → Посуда для приготовления</t>
        </is>
      </c>
      <c r="E25" s="3" t="n">
        <v>974719576</v>
      </c>
      <c r="F25" s="3" t="n">
        <v>88120</v>
      </c>
      <c r="G25" s="3">
        <f>IFERROR(E25/F25,0)</f>
        <v/>
      </c>
      <c r="H25" s="3" t="n">
        <v>8566</v>
      </c>
      <c r="I25" s="2" t="n">
        <v>653</v>
      </c>
      <c r="J25" s="3">
        <f>IFERROR(E25/H25,0)</f>
        <v/>
      </c>
      <c r="K25" s="10">
        <f>E25/'По разделам'!$B$21</f>
        <v/>
      </c>
      <c r="L25" s="4">
        <f>L24+K25</f>
        <v/>
      </c>
      <c r="M25" s="2" t="inlineStr">
        <is>
          <t>qd8920d58c7de0d8</t>
        </is>
      </c>
      <c r="N25" s="2" t="inlineStr">
        <is>
          <t>https://app.redstat.kz/niche/qd8920d58c7de0d8?event_date=2026-08-01</t>
        </is>
      </c>
      <c r="O25" s="2" t="inlineStr"/>
    </row>
    <row r="26">
      <c r="A26" s="2" t="n">
        <v>25</v>
      </c>
      <c r="B26" s="2" t="inlineStr">
        <is>
          <t>Матрасы</t>
        </is>
      </c>
      <c r="C26" s="2" t="inlineStr">
        <is>
          <t>Мебель</t>
        </is>
      </c>
      <c r="D26" s="2" t="inlineStr">
        <is>
          <t>Мебель → Спальня → Матрасы</t>
        </is>
      </c>
      <c r="E26" s="3" t="n">
        <v>955552735</v>
      </c>
      <c r="F26" s="3" t="n">
        <v>18113</v>
      </c>
      <c r="G26" s="3">
        <f>IFERROR(E26/F26,0)</f>
        <v/>
      </c>
      <c r="H26" s="3" t="n">
        <v>3302</v>
      </c>
      <c r="I26" s="2" t="n">
        <v>221</v>
      </c>
      <c r="J26" s="3">
        <f>IFERROR(E26/H26,0)</f>
        <v/>
      </c>
      <c r="K26" s="10">
        <f>E26/'По разделам'!$B$21</f>
        <v/>
      </c>
      <c r="L26" s="4">
        <f>L25+K26</f>
        <v/>
      </c>
      <c r="M26" s="2" t="inlineStr">
        <is>
          <t>00317</t>
        </is>
      </c>
      <c r="N26" s="2" t="inlineStr">
        <is>
          <t>https://app.redstat.kz/niche/00317?event_date=2026-08-01</t>
        </is>
      </c>
      <c r="O26" s="2" t="inlineStr">
        <is>
          <t>https://kaspi.kz/shop/c/bedroom%20mattresses/</t>
        </is>
      </c>
    </row>
    <row r="27">
      <c r="A27" s="2" t="n">
        <v>26</v>
      </c>
      <c r="B27" s="2" t="inlineStr">
        <is>
          <t>Серьги ювелирные</t>
        </is>
      </c>
      <c r="C27" s="2" t="inlineStr">
        <is>
          <t>Украшения</t>
        </is>
      </c>
      <c r="D27" s="2" t="inlineStr">
        <is>
          <t>Украшения → Серьги → Серьги ювелирные</t>
        </is>
      </c>
      <c r="E27" s="3" t="n">
        <v>954633475</v>
      </c>
      <c r="F27" s="3" t="n">
        <v>25069</v>
      </c>
      <c r="G27" s="3">
        <f>IFERROR(E27/F27,0)</f>
        <v/>
      </c>
      <c r="H27" s="3" t="n">
        <v>5310</v>
      </c>
      <c r="I27" s="2" t="n">
        <v>481</v>
      </c>
      <c r="J27" s="3">
        <f>IFERROR(E27/H27,0)</f>
        <v/>
      </c>
      <c r="K27" s="10">
        <f>E27/'По разделам'!$B$21</f>
        <v/>
      </c>
      <c r="L27" s="4">
        <f>L26+K27</f>
        <v/>
      </c>
      <c r="M27" s="2" t="inlineStr">
        <is>
          <t>00744</t>
        </is>
      </c>
      <c r="N27" s="2" t="inlineStr">
        <is>
          <t>https://app.redstat.kz/niche/00744?event_date=2026-08-01</t>
        </is>
      </c>
      <c r="O27" s="2" t="inlineStr">
        <is>
          <t>https://kaspi.kz/shop/c/earrings/</t>
        </is>
      </c>
    </row>
    <row r="28">
      <c r="A28" s="2" t="n">
        <v>27</v>
      </c>
      <c r="B28" s="2" t="inlineStr">
        <is>
          <t>Шины для грузового транспорта и спецтехники</t>
        </is>
      </c>
      <c r="C28" s="2" t="inlineStr">
        <is>
          <t>Автотовары</t>
        </is>
      </c>
      <c r="D28" s="2" t="inlineStr">
        <is>
          <t>Автотовары → Шины → Шины для грузового транспорта и спецтехники</t>
        </is>
      </c>
      <c r="E28" s="3" t="n">
        <v>952049889</v>
      </c>
      <c r="F28" s="3" t="n">
        <v>2729</v>
      </c>
      <c r="G28" s="3">
        <f>IFERROR(E28/F28,0)</f>
        <v/>
      </c>
      <c r="H28" s="3" t="n">
        <v>887</v>
      </c>
      <c r="I28" s="2" t="n">
        <v>110</v>
      </c>
      <c r="J28" s="3">
        <f>IFERROR(E28/H28,0)</f>
        <v/>
      </c>
      <c r="K28" s="10">
        <f>E28/'По разделам'!$B$21</f>
        <v/>
      </c>
      <c r="L28" s="4">
        <f>L27+K28</f>
        <v/>
      </c>
      <c r="M28" s="2" t="inlineStr">
        <is>
          <t>02634</t>
        </is>
      </c>
      <c r="N28" s="2" t="inlineStr">
        <is>
          <t>https://app.redstat.kz/niche/02634?event_date=2026-08-01</t>
        </is>
      </c>
      <c r="O28" s="2" t="inlineStr">
        <is>
          <t>https://kaspi.kz/shop/c/heavy%20duty%20tires/</t>
        </is>
      </c>
    </row>
    <row r="29">
      <c r="A29" s="2" t="n">
        <v>28</v>
      </c>
      <c r="B29" s="2" t="inlineStr">
        <is>
          <t>Прочая кухонная техника</t>
        </is>
      </c>
      <c r="C29" s="2" t="inlineStr">
        <is>
          <t>Бытовая техника</t>
        </is>
      </c>
      <c r="D29" s="2" t="inlineStr">
        <is>
          <t>Бытовая техника → Мелкая техника для кухни → Прочая кухонная техника → Прочая кухонная техника</t>
        </is>
      </c>
      <c r="E29" s="3" t="n">
        <v>917853483</v>
      </c>
      <c r="F29" s="3" t="n">
        <v>31743</v>
      </c>
      <c r="G29" s="3">
        <f>IFERROR(E29/F29,0)</f>
        <v/>
      </c>
      <c r="H29" s="3" t="n">
        <v>1952</v>
      </c>
      <c r="I29" s="2" t="n">
        <v>476</v>
      </c>
      <c r="J29" s="3">
        <f>IFERROR(E29/H29,0)</f>
        <v/>
      </c>
      <c r="K29" s="10">
        <f>E29/'По разделам'!$B$21</f>
        <v/>
      </c>
      <c r="L29" s="4">
        <f>L28+K29</f>
        <v/>
      </c>
      <c r="M29" s="2" t="inlineStr">
        <is>
          <t>qd9b3ff4ab6368a3</t>
        </is>
      </c>
      <c r="N29" s="2" t="inlineStr">
        <is>
          <t>https://app.redstat.kz/niche/qd9b3ff4ab6368a3?event_date=2026-08-01</t>
        </is>
      </c>
      <c r="O29" s="2" t="inlineStr"/>
    </row>
    <row r="30">
      <c r="A30" s="2" t="n">
        <v>29</v>
      </c>
      <c r="B30" s="2" t="inlineStr">
        <is>
          <t>Цепи ювелирные</t>
        </is>
      </c>
      <c r="C30" s="2" t="inlineStr">
        <is>
          <t>Украшения</t>
        </is>
      </c>
      <c r="D30" s="2" t="inlineStr">
        <is>
          <t>Украшения → Цепи → Цепи ювелирные</t>
        </is>
      </c>
      <c r="E30" s="3" t="n">
        <v>887209104</v>
      </c>
      <c r="F30" s="3" t="n">
        <v>13442</v>
      </c>
      <c r="G30" s="3">
        <f>IFERROR(E30/F30,0)</f>
        <v/>
      </c>
      <c r="H30" s="3" t="n">
        <v>1979</v>
      </c>
      <c r="I30" s="2" t="n">
        <v>285</v>
      </c>
      <c r="J30" s="3">
        <f>IFERROR(E30/H30,0)</f>
        <v/>
      </c>
      <c r="K30" s="10">
        <f>E30/'По разделам'!$B$21</f>
        <v/>
      </c>
      <c r="L30" s="4">
        <f>L29+K30</f>
        <v/>
      </c>
      <c r="M30" s="2" t="inlineStr">
        <is>
          <t>01753</t>
        </is>
      </c>
      <c r="N30" s="2" t="inlineStr">
        <is>
          <t>https://app.redstat.kz/niche/01753?event_date=2026-08-01</t>
        </is>
      </c>
      <c r="O30" s="2" t="inlineStr">
        <is>
          <t>https://kaspi.kz/shop/c/necklaces/</t>
        </is>
      </c>
    </row>
    <row r="31">
      <c r="A31" s="2" t="n">
        <v>30</v>
      </c>
      <c r="B31" s="2" t="inlineStr">
        <is>
          <t>Отопительные котлы</t>
        </is>
      </c>
      <c r="C31" s="2" t="inlineStr">
        <is>
          <t>Бытовая техника</t>
        </is>
      </c>
      <c r="D31" s="2" t="inlineStr">
        <is>
          <t>Бытовая техника → Отопительные котлы</t>
        </is>
      </c>
      <c r="E31" s="3" t="n">
        <v>850050389</v>
      </c>
      <c r="F31" s="3" t="n">
        <v>3103</v>
      </c>
      <c r="G31" s="3">
        <f>IFERROR(E31/F31,0)</f>
        <v/>
      </c>
      <c r="H31" s="3" t="n">
        <v>748</v>
      </c>
      <c r="I31" s="2" t="n">
        <v>121</v>
      </c>
      <c r="J31" s="3">
        <f>IFERROR(E31/H31,0)</f>
        <v/>
      </c>
      <c r="K31" s="10">
        <f>E31/'По разделам'!$B$21</f>
        <v/>
      </c>
      <c r="L31" s="4">
        <f>L30+K31</f>
        <v/>
      </c>
      <c r="M31" s="2" t="inlineStr">
        <is>
          <t>00103</t>
        </is>
      </c>
      <c r="N31" s="2" t="inlineStr">
        <is>
          <t>https://app.redstat.kz/niche/00103?event_date=2026-08-01</t>
        </is>
      </c>
      <c r="O31" s="2" t="inlineStr">
        <is>
          <t>https://kaspi.kz/shop/c/boilers/</t>
        </is>
      </c>
    </row>
    <row r="32">
      <c r="A32" s="2" t="n">
        <v>31</v>
      </c>
      <c r="B32" s="2" t="inlineStr">
        <is>
          <t>Обеденные группы</t>
        </is>
      </c>
      <c r="C32" s="2" t="inlineStr">
        <is>
          <t>Мебель</t>
        </is>
      </c>
      <c r="D32" s="2" t="inlineStr">
        <is>
          <t>Мебель → Кухня → Обеденные группы</t>
        </is>
      </c>
      <c r="E32" s="3" t="n">
        <v>832802690</v>
      </c>
      <c r="F32" s="3" t="n">
        <v>7545</v>
      </c>
      <c r="G32" s="3">
        <f>IFERROR(E32/F32,0)</f>
        <v/>
      </c>
      <c r="H32" s="3" t="n">
        <v>879</v>
      </c>
      <c r="I32" s="2" t="n">
        <v>106</v>
      </c>
      <c r="J32" s="3">
        <f>IFERROR(E32/H32,0)</f>
        <v/>
      </c>
      <c r="K32" s="10">
        <f>E32/'По разделам'!$B$21</f>
        <v/>
      </c>
      <c r="L32" s="4">
        <f>L31+K32</f>
        <v/>
      </c>
      <c r="M32" s="2" t="inlineStr">
        <is>
          <t>05356</t>
        </is>
      </c>
      <c r="N32" s="2" t="inlineStr">
        <is>
          <t>https://app.redstat.kz/niche/05356?event_date=2026-08-01</t>
        </is>
      </c>
      <c r="O32" s="2" t="inlineStr">
        <is>
          <t>https://kaspi.kz/shop/c/dining%20sets/</t>
        </is>
      </c>
    </row>
    <row r="33">
      <c r="A33" s="2" t="n">
        <v>32</v>
      </c>
      <c r="B33" s="2" t="inlineStr">
        <is>
          <t>Принтеры и МФУ</t>
        </is>
      </c>
      <c r="C33" s="2" t="inlineStr">
        <is>
          <t>Компьютеры</t>
        </is>
      </c>
      <c r="D33" s="2" t="inlineStr">
        <is>
          <t>Компьютеры → Оргтехника и расходные материалы → Принтеры и МФУ</t>
        </is>
      </c>
      <c r="E33" s="3" t="n">
        <v>822123414</v>
      </c>
      <c r="F33" s="3" t="n">
        <v>8129</v>
      </c>
      <c r="G33" s="3">
        <f>IFERROR(E33/F33,0)</f>
        <v/>
      </c>
      <c r="H33" s="3" t="n">
        <v>259</v>
      </c>
      <c r="I33" s="2" t="n">
        <v>14</v>
      </c>
      <c r="J33" s="3">
        <f>IFERROR(E33/H33,0)</f>
        <v/>
      </c>
      <c r="K33" s="10">
        <f>E33/'По разделам'!$B$21</f>
        <v/>
      </c>
      <c r="L33" s="4">
        <f>L32+K33</f>
        <v/>
      </c>
      <c r="M33" s="2" t="inlineStr">
        <is>
          <t>02930</t>
        </is>
      </c>
      <c r="N33" s="2" t="inlineStr">
        <is>
          <t>https://app.redstat.kz/niche/02930?event_date=2026-08-01</t>
        </is>
      </c>
      <c r="O33" s="2" t="inlineStr">
        <is>
          <t>https://kaspi.kz/shop/c/mf%20printers/</t>
        </is>
      </c>
    </row>
    <row r="34">
      <c r="A34" s="2" t="n">
        <v>33</v>
      </c>
      <c r="B34" s="2" t="inlineStr">
        <is>
          <t>Уход и гигиена малыша</t>
        </is>
      </c>
      <c r="C34" s="2" t="inlineStr">
        <is>
          <t>Детские товары</t>
        </is>
      </c>
      <c r="D34" s="2" t="inlineStr">
        <is>
          <t>Детские товары → Для малыша и мамы → Уход и гигиена малыша → Уход и гигиена малыша</t>
        </is>
      </c>
      <c r="E34" s="3" t="n">
        <v>800773333</v>
      </c>
      <c r="F34" s="3" t="n">
        <v>146334</v>
      </c>
      <c r="G34" s="3">
        <f>IFERROR(E34/F34,0)</f>
        <v/>
      </c>
      <c r="H34" s="3" t="n">
        <v>4254</v>
      </c>
      <c r="I34" s="2" t="n">
        <v>549</v>
      </c>
      <c r="J34" s="3">
        <f>IFERROR(E34/H34,0)</f>
        <v/>
      </c>
      <c r="K34" s="10">
        <f>E34/'По разделам'!$B$21</f>
        <v/>
      </c>
      <c r="L34" s="4">
        <f>L33+K34</f>
        <v/>
      </c>
      <c r="M34" s="2" t="inlineStr">
        <is>
          <t>qcd099c503c60396</t>
        </is>
      </c>
      <c r="N34" s="2" t="inlineStr">
        <is>
          <t>https://app.redstat.kz/niche/qcd099c503c60396?event_date=2026-08-01</t>
        </is>
      </c>
      <c r="O34" s="2" t="inlineStr"/>
    </row>
    <row r="35">
      <c r="A35" s="2" t="n">
        <v>34</v>
      </c>
      <c r="B35" s="2" t="inlineStr">
        <is>
          <t>Кухонные комбайны и мясорубки</t>
        </is>
      </c>
      <c r="C35" s="2" t="inlineStr">
        <is>
          <t>Бытовая техника</t>
        </is>
      </c>
      <c r="D35" s="2" t="inlineStr">
        <is>
          <t>Бытовая техника → Мелкая техника для кухни → Кухонные комбайны и мясорубки → Кухонные комбайны и мясорубки</t>
        </is>
      </c>
      <c r="E35" s="3" t="n">
        <v>798796434</v>
      </c>
      <c r="F35" s="3" t="n">
        <v>14868</v>
      </c>
      <c r="G35" s="3">
        <f>IFERROR(E35/F35,0)</f>
        <v/>
      </c>
      <c r="H35" s="3" t="n">
        <v>742</v>
      </c>
      <c r="I35" s="2" t="n">
        <v>256</v>
      </c>
      <c r="J35" s="3">
        <f>IFERROR(E35/H35,0)</f>
        <v/>
      </c>
      <c r="K35" s="10">
        <f>E35/'По разделам'!$B$21</f>
        <v/>
      </c>
      <c r="L35" s="4">
        <f>L34+K35</f>
        <v/>
      </c>
      <c r="M35" s="2" t="inlineStr">
        <is>
          <t>qd834b46d8028604</t>
        </is>
      </c>
      <c r="N35" s="2" t="inlineStr">
        <is>
          <t>https://app.redstat.kz/niche/qd834b46d8028604?event_date=2026-08-01</t>
        </is>
      </c>
      <c r="O35" s="2" t="inlineStr"/>
    </row>
    <row r="36">
      <c r="A36" s="2" t="n">
        <v>35</v>
      </c>
      <c r="B36" s="2" t="inlineStr">
        <is>
          <t>Духовые шкафы</t>
        </is>
      </c>
      <c r="C36" s="2" t="inlineStr">
        <is>
          <t>Бытовая техника</t>
        </is>
      </c>
      <c r="D36" s="2" t="inlineStr">
        <is>
          <t>Бытовая техника → Крупная техника для дома → Духовые шкафы</t>
        </is>
      </c>
      <c r="E36" s="3" t="n">
        <v>781589566</v>
      </c>
      <c r="F36" s="3" t="n">
        <v>4242</v>
      </c>
      <c r="G36" s="3">
        <f>IFERROR(E36/F36,0)</f>
        <v/>
      </c>
      <c r="H36" s="3" t="n">
        <v>578</v>
      </c>
      <c r="I36" s="2" t="n">
        <v>59</v>
      </c>
      <c r="J36" s="3">
        <f>IFERROR(E36/H36,0)</f>
        <v/>
      </c>
      <c r="K36" s="10">
        <f>E36/'По разделам'!$B$21</f>
        <v/>
      </c>
      <c r="L36" s="4">
        <f>L35+K36</f>
        <v/>
      </c>
      <c r="M36" s="2" t="inlineStr">
        <is>
          <t>00023</t>
        </is>
      </c>
      <c r="N36" s="2" t="inlineStr">
        <is>
          <t>https://app.redstat.kz/niche/00023?event_date=2026-08-01</t>
        </is>
      </c>
      <c r="O36" s="2" t="inlineStr">
        <is>
          <t>https://kaspi.kz/shop/c/ovens/</t>
        </is>
      </c>
    </row>
    <row r="37">
      <c r="A37" s="2" t="n">
        <v>36</v>
      </c>
      <c r="B37" s="2" t="inlineStr">
        <is>
          <t>Компьютерные и письменные столы</t>
        </is>
      </c>
      <c r="C37" s="2" t="inlineStr">
        <is>
          <t>Мебель</t>
        </is>
      </c>
      <c r="D37" s="2" t="inlineStr">
        <is>
          <t>Мебель → Офис и кабинет → Компьютерные и письменные столы</t>
        </is>
      </c>
      <c r="E37" s="3" t="n">
        <v>768924023</v>
      </c>
      <c r="F37" s="3" t="n">
        <v>23078</v>
      </c>
      <c r="G37" s="3">
        <f>IFERROR(E37/F37,0)</f>
        <v/>
      </c>
      <c r="H37" s="3" t="n">
        <v>1446</v>
      </c>
      <c r="I37" s="2" t="n">
        <v>208</v>
      </c>
      <c r="J37" s="3">
        <f>IFERROR(E37/H37,0)</f>
        <v/>
      </c>
      <c r="K37" s="10">
        <f>E37/'По разделам'!$B$21</f>
        <v/>
      </c>
      <c r="L37" s="4">
        <f>L36+K37</f>
        <v/>
      </c>
      <c r="M37" s="2" t="inlineStr">
        <is>
          <t>05353</t>
        </is>
      </c>
      <c r="N37" s="2" t="inlineStr">
        <is>
          <t>https://app.redstat.kz/niche/05353?event_date=2026-08-01</t>
        </is>
      </c>
      <c r="O37" s="2" t="inlineStr">
        <is>
          <t>https://kaspi.kz/shop/c/computer%20desks/</t>
        </is>
      </c>
    </row>
    <row r="38">
      <c r="A38" s="2" t="n">
        <v>37</v>
      </c>
      <c r="B38" s="2" t="inlineStr">
        <is>
          <t>Наборы косметики</t>
        </is>
      </c>
      <c r="C38" s="2" t="inlineStr">
        <is>
          <t>Красота и здоровье</t>
        </is>
      </c>
      <c r="D38" s="2" t="inlineStr">
        <is>
          <t>Красота и здоровье → Наборы косметики</t>
        </is>
      </c>
      <c r="E38" s="3" t="n">
        <v>733174940</v>
      </c>
      <c r="F38" s="3" t="n">
        <v>72382</v>
      </c>
      <c r="G38" s="3">
        <f>IFERROR(E38/F38,0)</f>
        <v/>
      </c>
      <c r="H38" s="3" t="n">
        <v>3742</v>
      </c>
      <c r="I38" s="2" t="n">
        <v>602</v>
      </c>
      <c r="J38" s="3">
        <f>IFERROR(E38/H38,0)</f>
        <v/>
      </c>
      <c r="K38" s="10">
        <f>E38/'По разделам'!$B$21</f>
        <v/>
      </c>
      <c r="L38" s="4">
        <f>L37+K38</f>
        <v/>
      </c>
      <c r="M38" s="2" t="inlineStr">
        <is>
          <t>07146</t>
        </is>
      </c>
      <c r="N38" s="2" t="inlineStr">
        <is>
          <t>https://app.redstat.kz/niche/07146?event_date=2026-08-01</t>
        </is>
      </c>
      <c r="O38" s="2" t="inlineStr">
        <is>
          <t>https://kaspi.kz/shop/c/cosmetics%20sets/</t>
        </is>
      </c>
    </row>
    <row r="39">
      <c r="A39" s="2" t="n">
        <v>38</v>
      </c>
      <c r="B39" s="2" t="inlineStr">
        <is>
          <t>Сумки</t>
        </is>
      </c>
      <c r="C39" s="2" t="inlineStr">
        <is>
          <t>Аксессуары</t>
        </is>
      </c>
      <c r="D39" s="2" t="inlineStr">
        <is>
          <t>Аксессуары → Сумки, чемоданы, кошельки → Сумки</t>
        </is>
      </c>
      <c r="E39" s="3" t="n">
        <v>725232276</v>
      </c>
      <c r="F39" s="3" t="n">
        <v>158611</v>
      </c>
      <c r="G39" s="3">
        <f>IFERROR(E39/F39,0)</f>
        <v/>
      </c>
      <c r="H39" s="3" t="n">
        <v>8285</v>
      </c>
      <c r="I39" s="2" t="n">
        <v>817</v>
      </c>
      <c r="J39" s="3">
        <f>IFERROR(E39/H39,0)</f>
        <v/>
      </c>
      <c r="K39" s="10">
        <f>E39/'По разделам'!$B$21</f>
        <v/>
      </c>
      <c r="L39" s="4">
        <f>L38+K39</f>
        <v/>
      </c>
      <c r="M39" s="2" t="inlineStr">
        <is>
          <t>01770</t>
        </is>
      </c>
      <c r="N39" s="2" t="inlineStr">
        <is>
          <t>https://app.redstat.kz/niche/01770?event_date=2026-08-01</t>
        </is>
      </c>
      <c r="O39" s="2" t="inlineStr">
        <is>
          <t>https://kaspi.kz/shop/c/fashion%20handbags/</t>
        </is>
      </c>
    </row>
    <row r="40">
      <c r="A40" s="2" t="n">
        <v>39</v>
      </c>
      <c r="B40" s="2" t="inlineStr">
        <is>
          <t>Столовая посуда</t>
        </is>
      </c>
      <c r="C40" s="2" t="inlineStr">
        <is>
          <t>Товары для дома и дачи</t>
        </is>
      </c>
      <c r="D40" s="2" t="inlineStr">
        <is>
          <t>Товары для дома и дачи → Посуда и принадлежности → Столовая посуда → Столовая посуда</t>
        </is>
      </c>
      <c r="E40" s="3" t="n">
        <v>707606915</v>
      </c>
      <c r="F40" s="3" t="n">
        <v>64517</v>
      </c>
      <c r="G40" s="3">
        <f>IFERROR(E40/F40,0)</f>
        <v/>
      </c>
      <c r="H40" s="3" t="n">
        <v>9768</v>
      </c>
      <c r="I40" s="2" t="n">
        <v>736</v>
      </c>
      <c r="J40" s="3">
        <f>IFERROR(E40/H40,0)</f>
        <v/>
      </c>
      <c r="K40" s="10">
        <f>E40/'По разделам'!$B$21</f>
        <v/>
      </c>
      <c r="L40" s="4">
        <f>L39+K40</f>
        <v/>
      </c>
      <c r="M40" s="2" t="inlineStr">
        <is>
          <t>q374f64c9f962207</t>
        </is>
      </c>
      <c r="N40" s="2" t="inlineStr">
        <is>
          <t>https://app.redstat.kz/niche/q374f64c9f962207?event_date=2026-08-01</t>
        </is>
      </c>
      <c r="O40" s="2" t="inlineStr"/>
    </row>
    <row r="41">
      <c r="A41" s="2" t="n">
        <v>40</v>
      </c>
      <c r="B41" s="2" t="inlineStr">
        <is>
          <t>Электроинструменты</t>
        </is>
      </c>
      <c r="C41" s="2" t="inlineStr">
        <is>
          <t>Строительство, ремонт</t>
        </is>
      </c>
      <c r="D41" s="2" t="inlineStr">
        <is>
          <t>Строительство, ремонт → Инструменты → Электроинструменты → Электроинструменты</t>
        </is>
      </c>
      <c r="E41" s="3" t="n">
        <v>684444805</v>
      </c>
      <c r="F41" s="3" t="n">
        <v>23319</v>
      </c>
      <c r="G41" s="3">
        <f>IFERROR(E41/F41,0)</f>
        <v/>
      </c>
      <c r="H41" s="3" t="n">
        <v>3050</v>
      </c>
      <c r="I41" s="2" t="n">
        <v>376</v>
      </c>
      <c r="J41" s="3">
        <f>IFERROR(E41/H41,0)</f>
        <v/>
      </c>
      <c r="K41" s="10">
        <f>E41/'По разделам'!$B$21</f>
        <v/>
      </c>
      <c r="L41" s="4">
        <f>L40+K41</f>
        <v/>
      </c>
      <c r="M41" s="2" t="inlineStr">
        <is>
          <t>q42b272690abdb84</t>
        </is>
      </c>
      <c r="N41" s="2" t="inlineStr">
        <is>
          <t>https://app.redstat.kz/niche/q42b272690abdb84?event_date=2026-08-01</t>
        </is>
      </c>
      <c r="O41" s="2" t="inlineStr"/>
    </row>
    <row r="42">
      <c r="A42" s="2" t="n">
        <v>41</v>
      </c>
      <c r="B42" s="2" t="inlineStr">
        <is>
          <t>Водонагреватели</t>
        </is>
      </c>
      <c r="C42" s="2" t="inlineStr">
        <is>
          <t>Бытовая техника</t>
        </is>
      </c>
      <c r="D42" s="2" t="inlineStr">
        <is>
          <t>Бытовая техника → Климатическая техника → Водонагреватели</t>
        </is>
      </c>
      <c r="E42" s="3" t="n">
        <v>682517851</v>
      </c>
      <c r="F42" s="3" t="n">
        <v>11629</v>
      </c>
      <c r="G42" s="3">
        <f>IFERROR(E42/F42,0)</f>
        <v/>
      </c>
      <c r="H42" s="3" t="n">
        <v>844</v>
      </c>
      <c r="I42" s="2" t="n">
        <v>102</v>
      </c>
      <c r="J42" s="3">
        <f>IFERROR(E42/H42,0)</f>
        <v/>
      </c>
      <c r="K42" s="10">
        <f>E42/'По разделам'!$B$21</f>
        <v/>
      </c>
      <c r="L42" s="4">
        <f>L41+K42</f>
        <v/>
      </c>
      <c r="M42" s="2" t="inlineStr">
        <is>
          <t>00040</t>
        </is>
      </c>
      <c r="N42" s="2" t="inlineStr">
        <is>
          <t>https://app.redstat.kz/niche/00040?event_date=2026-08-01</t>
        </is>
      </c>
      <c r="O42" s="2" t="inlineStr">
        <is>
          <t>https://kaspi.kz/shop/c/water%20heaters/</t>
        </is>
      </c>
    </row>
    <row r="43">
      <c r="A43" s="2" t="n">
        <v>42</v>
      </c>
      <c r="B43" s="2" t="inlineStr">
        <is>
          <t>Кухонные гарнитуры</t>
        </is>
      </c>
      <c r="C43" s="2" t="inlineStr">
        <is>
          <t>Мебель</t>
        </is>
      </c>
      <c r="D43" s="2" t="inlineStr">
        <is>
          <t>Мебель → Кухня → Кухонные гарнитуры</t>
        </is>
      </c>
      <c r="E43" s="3" t="n">
        <v>680827067</v>
      </c>
      <c r="F43" s="3" t="n">
        <v>4353</v>
      </c>
      <c r="G43" s="3">
        <f>IFERROR(E43/F43,0)</f>
        <v/>
      </c>
      <c r="H43" s="3" t="n">
        <v>716</v>
      </c>
      <c r="I43" s="2" t="n">
        <v>94</v>
      </c>
      <c r="J43" s="3">
        <f>IFERROR(E43/H43,0)</f>
        <v/>
      </c>
      <c r="K43" s="10">
        <f>E43/'По разделам'!$B$21</f>
        <v/>
      </c>
      <c r="L43" s="4">
        <f>L42+K43</f>
        <v/>
      </c>
      <c r="M43" s="2" t="inlineStr">
        <is>
          <t>00772</t>
        </is>
      </c>
      <c r="N43" s="2" t="inlineStr">
        <is>
          <t>https://app.redstat.kz/niche/00772?event_date=2026-08-01</t>
        </is>
      </c>
      <c r="O43" s="2" t="inlineStr">
        <is>
          <t>https://kaspi.kz/shop/c/kitchen%20sets/</t>
        </is>
      </c>
    </row>
    <row r="44">
      <c r="A44" s="2" t="n">
        <v>43</v>
      </c>
      <c r="B44" s="2" t="inlineStr">
        <is>
          <t>Фены</t>
        </is>
      </c>
      <c r="C44" s="2" t="inlineStr">
        <is>
          <t>Красота и здоровье</t>
        </is>
      </c>
      <c r="D44" s="2" t="inlineStr">
        <is>
          <t>Красота и здоровье → Техника и оборудование для красоты → Фены</t>
        </is>
      </c>
      <c r="E44" s="3" t="n">
        <v>672219305</v>
      </c>
      <c r="F44" s="3" t="n">
        <v>31097</v>
      </c>
      <c r="G44" s="3">
        <f>IFERROR(E44/F44,0)</f>
        <v/>
      </c>
      <c r="H44" s="3" t="n">
        <v>1734</v>
      </c>
      <c r="I44" s="2" t="n">
        <v>410</v>
      </c>
      <c r="J44" s="3">
        <f>IFERROR(E44/H44,0)</f>
        <v/>
      </c>
      <c r="K44" s="10">
        <f>E44/'По разделам'!$B$21</f>
        <v/>
      </c>
      <c r="L44" s="4">
        <f>L43+K44</f>
        <v/>
      </c>
      <c r="M44" s="2" t="inlineStr">
        <is>
          <t>06220</t>
        </is>
      </c>
      <c r="N44" s="2" t="inlineStr">
        <is>
          <t>https://app.redstat.kz/niche/06220?event_date=2026-08-01</t>
        </is>
      </c>
      <c r="O44" s="2" t="inlineStr">
        <is>
          <t>https://kaspi.kz/shop/c/hair%20dryers/</t>
        </is>
      </c>
    </row>
    <row r="45">
      <c r="A45" s="2" t="n">
        <v>44</v>
      </c>
      <c r="B45" s="2" t="inlineStr">
        <is>
          <t>Браслеты ювелирные</t>
        </is>
      </c>
      <c r="C45" s="2" t="inlineStr">
        <is>
          <t>Украшения</t>
        </is>
      </c>
      <c r="D45" s="2" t="inlineStr">
        <is>
          <t>Украшения → Браслеты → Браслеты ювелирные</t>
        </is>
      </c>
      <c r="E45" s="3" t="n">
        <v>670303778</v>
      </c>
      <c r="F45" s="3" t="n">
        <v>14878</v>
      </c>
      <c r="G45" s="3">
        <f>IFERROR(E45/F45,0)</f>
        <v/>
      </c>
      <c r="H45" s="3" t="n">
        <v>2532</v>
      </c>
      <c r="I45" s="2" t="n">
        <v>399</v>
      </c>
      <c r="J45" s="3">
        <f>IFERROR(E45/H45,0)</f>
        <v/>
      </c>
      <c r="K45" s="10">
        <f>E45/'По разделам'!$B$21</f>
        <v/>
      </c>
      <c r="L45" s="4">
        <f>L44+K45</f>
        <v/>
      </c>
      <c r="M45" s="2" t="inlineStr">
        <is>
          <t>00746</t>
        </is>
      </c>
      <c r="N45" s="2" t="inlineStr">
        <is>
          <t>https://app.redstat.kz/niche/00746?event_date=2026-08-01</t>
        </is>
      </c>
      <c r="O45" s="2" t="inlineStr">
        <is>
          <t>https://kaspi.kz/shop/c/bracelets/</t>
        </is>
      </c>
    </row>
    <row r="46">
      <c r="A46" s="2" t="n">
        <v>45</v>
      </c>
      <c r="B46" s="2" t="inlineStr">
        <is>
          <t>Учебники и пособия</t>
        </is>
      </c>
      <c r="C46" s="2" t="inlineStr">
        <is>
          <t>Досуг, книги</t>
        </is>
      </c>
      <c r="D46" s="2" t="inlineStr">
        <is>
          <t>Досуг, книги → Книги → Учебники и пособия</t>
        </is>
      </c>
      <c r="E46" s="3" t="n">
        <v>663600678</v>
      </c>
      <c r="F46" s="3" t="n">
        <v>215503</v>
      </c>
      <c r="G46" s="3">
        <f>IFERROR(E46/F46,0)</f>
        <v/>
      </c>
      <c r="H46" s="3" t="n">
        <v>5636</v>
      </c>
      <c r="I46" s="2" t="n">
        <v>218</v>
      </c>
      <c r="J46" s="3">
        <f>IFERROR(E46/H46,0)</f>
        <v/>
      </c>
      <c r="K46" s="10">
        <f>E46/'По разделам'!$B$21</f>
        <v/>
      </c>
      <c r="L46" s="4">
        <f>L45+K46</f>
        <v/>
      </c>
      <c r="M46" s="2" t="inlineStr">
        <is>
          <t>00931</t>
        </is>
      </c>
      <c r="N46" s="2" t="inlineStr">
        <is>
          <t>https://app.redstat.kz/niche/00931?event_date=2026-08-01</t>
        </is>
      </c>
      <c r="O46" s="2" t="inlineStr">
        <is>
          <t>https://kaspi.kz/shop/c/schoolbooks%20and%20study%20guides/</t>
        </is>
      </c>
    </row>
    <row r="47">
      <c r="A47" s="2" t="n">
        <v>46</v>
      </c>
      <c r="B47" s="2" t="inlineStr">
        <is>
          <t>Игровые приставки</t>
        </is>
      </c>
      <c r="C47" s="2" t="inlineStr">
        <is>
          <t>ТВ, Аудио, Видео</t>
        </is>
      </c>
      <c r="D47" s="2" t="inlineStr">
        <is>
          <t>ТВ, Аудио, Видео → Развлечения → Игровые приставки</t>
        </is>
      </c>
      <c r="E47" s="3" t="n">
        <v>663160328</v>
      </c>
      <c r="F47" s="3" t="n">
        <v>4439</v>
      </c>
      <c r="G47" s="3">
        <f>IFERROR(E47/F47,0)</f>
        <v/>
      </c>
      <c r="H47" s="3" t="n">
        <v>262</v>
      </c>
      <c r="I47" s="2" t="n">
        <v>35</v>
      </c>
      <c r="J47" s="3">
        <f>IFERROR(E47/H47,0)</f>
        <v/>
      </c>
      <c r="K47" s="10">
        <f>E47/'По разделам'!$B$21</f>
        <v/>
      </c>
      <c r="L47" s="4">
        <f>L46+K47</f>
        <v/>
      </c>
      <c r="M47" s="2" t="inlineStr">
        <is>
          <t>00156</t>
        </is>
      </c>
      <c r="N47" s="2" t="inlineStr">
        <is>
          <t>https://app.redstat.kz/niche/00156?event_date=2026-08-01</t>
        </is>
      </c>
      <c r="O47" s="2" t="inlineStr">
        <is>
          <t>https://kaspi.kz/shop/c/game%20consoles/</t>
        </is>
      </c>
    </row>
    <row r="48">
      <c r="A48" s="2" t="n">
        <v>47</v>
      </c>
      <c r="B48" s="2" t="inlineStr">
        <is>
          <t>Тональные средства</t>
        </is>
      </c>
      <c r="C48" s="2" t="inlineStr">
        <is>
          <t>Красота и здоровье</t>
        </is>
      </c>
      <c r="D48" s="2" t="inlineStr">
        <is>
          <t>Красота и здоровье → Декоративная косметика → Тональные средства</t>
        </is>
      </c>
      <c r="E48" s="3" t="n">
        <v>642694202</v>
      </c>
      <c r="F48" s="3" t="n">
        <v>123665</v>
      </c>
      <c r="G48" s="3">
        <f>IFERROR(E48/F48,0)</f>
        <v/>
      </c>
      <c r="H48" s="3" t="n">
        <v>2909</v>
      </c>
      <c r="I48" s="2" t="n">
        <v>343</v>
      </c>
      <c r="J48" s="3">
        <f>IFERROR(E48/H48,0)</f>
        <v/>
      </c>
      <c r="K48" s="10">
        <f>E48/'По разделам'!$B$21</f>
        <v/>
      </c>
      <c r="L48" s="4">
        <f>L47+K48</f>
        <v/>
      </c>
      <c r="M48" s="2" t="inlineStr">
        <is>
          <t>04995</t>
        </is>
      </c>
      <c r="N48" s="2" t="inlineStr">
        <is>
          <t>https://app.redstat.kz/niche/04995?event_date=2026-08-01</t>
        </is>
      </c>
      <c r="O48" s="2" t="inlineStr">
        <is>
          <t>https://kaspi.kz/shop/c/foundation/</t>
        </is>
      </c>
    </row>
    <row r="49">
      <c r="A49" s="2" t="n">
        <v>48</v>
      </c>
      <c r="B49" s="2" t="inlineStr">
        <is>
          <t>Стулья</t>
        </is>
      </c>
      <c r="C49" s="2" t="inlineStr">
        <is>
          <t>Мебель</t>
        </is>
      </c>
      <c r="D49" s="2" t="inlineStr">
        <is>
          <t>Мебель → Кухня → Стулья</t>
        </is>
      </c>
      <c r="E49" s="3" t="n">
        <v>641684356</v>
      </c>
      <c r="F49" s="3" t="n">
        <v>19867</v>
      </c>
      <c r="G49" s="3">
        <f>IFERROR(E49/F49,0)</f>
        <v/>
      </c>
      <c r="H49" s="3" t="n">
        <v>2005</v>
      </c>
      <c r="I49" s="2" t="n">
        <v>234</v>
      </c>
      <c r="J49" s="3">
        <f>IFERROR(E49/H49,0)</f>
        <v/>
      </c>
      <c r="K49" s="10">
        <f>E49/'По разделам'!$B$21</f>
        <v/>
      </c>
      <c r="L49" s="4">
        <f>L48+K49</f>
        <v/>
      </c>
      <c r="M49" s="2" t="inlineStr">
        <is>
          <t>05342</t>
        </is>
      </c>
      <c r="N49" s="2" t="inlineStr">
        <is>
          <t>https://app.redstat.kz/niche/05342?event_date=2026-08-01</t>
        </is>
      </c>
      <c r="O49" s="2" t="inlineStr">
        <is>
          <t>https://kaspi.kz/shop/c/kitchen%20chairs/</t>
        </is>
      </c>
    </row>
    <row r="50">
      <c r="A50" s="2" t="n">
        <v>49</v>
      </c>
      <c r="B50" s="2" t="inlineStr">
        <is>
          <t>Посудомоечные машины</t>
        </is>
      </c>
      <c r="C50" s="2" t="inlineStr">
        <is>
          <t>Бытовая техника</t>
        </is>
      </c>
      <c r="D50" s="2" t="inlineStr">
        <is>
          <t>Бытовая техника → Крупная техника для дома → Посудомоечные машины</t>
        </is>
      </c>
      <c r="E50" s="3" t="n">
        <v>639254341</v>
      </c>
      <c r="F50" s="3" t="n">
        <v>3046</v>
      </c>
      <c r="G50" s="3">
        <f>IFERROR(E50/F50,0)</f>
        <v/>
      </c>
      <c r="H50" s="3" t="n">
        <v>296</v>
      </c>
      <c r="I50" s="2" t="n">
        <v>45</v>
      </c>
      <c r="J50" s="3">
        <f>IFERROR(E50/H50,0)</f>
        <v/>
      </c>
      <c r="K50" s="10">
        <f>E50/'По разделам'!$B$21</f>
        <v/>
      </c>
      <c r="L50" s="4">
        <f>L49+K50</f>
        <v/>
      </c>
      <c r="M50" s="2" t="inlineStr">
        <is>
          <t>00051</t>
        </is>
      </c>
      <c r="N50" s="2" t="inlineStr">
        <is>
          <t>https://app.redstat.kz/niche/00051?event_date=2026-08-01</t>
        </is>
      </c>
      <c r="O50" s="2" t="inlineStr">
        <is>
          <t>https://kaspi.kz/shop/c/dishwashers/</t>
        </is>
      </c>
    </row>
    <row r="51">
      <c r="A51" s="2" t="n">
        <v>50</v>
      </c>
      <c r="B51" s="2" t="inlineStr">
        <is>
          <t>Мужские кроссовки и кеды</t>
        </is>
      </c>
      <c r="C51" s="2" t="inlineStr">
        <is>
          <t>Обувь</t>
        </is>
      </c>
      <c r="D51" s="2" t="inlineStr">
        <is>
          <t>Обувь → Мужская обувь → Мужские кроссовки и кеды</t>
        </is>
      </c>
      <c r="E51" s="3" t="n">
        <v>630160742</v>
      </c>
      <c r="F51" s="3" t="n">
        <v>23968</v>
      </c>
      <c r="G51" s="3">
        <f>IFERROR(E51/F51,0)</f>
        <v/>
      </c>
      <c r="H51" s="3" t="n">
        <v>12808</v>
      </c>
      <c r="I51" s="2" t="n">
        <v>446</v>
      </c>
      <c r="J51" s="3">
        <f>IFERROR(E51/H51,0)</f>
        <v/>
      </c>
      <c r="K51" s="10">
        <f>E51/'По разделам'!$B$21</f>
        <v/>
      </c>
      <c r="L51" s="4">
        <f>L50+K51</f>
        <v/>
      </c>
      <c r="M51" s="2" t="inlineStr">
        <is>
          <t>02419</t>
        </is>
      </c>
      <c r="N51" s="2" t="inlineStr">
        <is>
          <t>https://app.redstat.kz/niche/02419?event_date=2026-08-01</t>
        </is>
      </c>
      <c r="O51" s="2" t="inlineStr">
        <is>
          <t>https://kaspi.kz/shop/c/men%20trainers/</t>
        </is>
      </c>
    </row>
    <row r="52">
      <c r="A52" s="2" t="n">
        <v>51</v>
      </c>
      <c r="B52" s="2" t="inlineStr">
        <is>
          <t>Обеденные столы</t>
        </is>
      </c>
      <c r="C52" s="2" t="inlineStr">
        <is>
          <t>Мебель</t>
        </is>
      </c>
      <c r="D52" s="2" t="inlineStr">
        <is>
          <t>Мебель → Кухня → Обеденные столы</t>
        </is>
      </c>
      <c r="E52" s="3" t="n">
        <v>622489680</v>
      </c>
      <c r="F52" s="3" t="n">
        <v>12652</v>
      </c>
      <c r="G52" s="3">
        <f>IFERROR(E52/F52,0)</f>
        <v/>
      </c>
      <c r="H52" s="3" t="n">
        <v>1872</v>
      </c>
      <c r="I52" s="2" t="n">
        <v>211</v>
      </c>
      <c r="J52" s="3">
        <f>IFERROR(E52/H52,0)</f>
        <v/>
      </c>
      <c r="K52" s="10">
        <f>E52/'По разделам'!$B$21</f>
        <v/>
      </c>
      <c r="L52" s="4">
        <f>L51+K52</f>
        <v/>
      </c>
      <c r="M52" s="2" t="inlineStr">
        <is>
          <t>05340</t>
        </is>
      </c>
      <c r="N52" s="2" t="inlineStr">
        <is>
          <t>https://app.redstat.kz/niche/05340?event_date=2026-08-01</t>
        </is>
      </c>
      <c r="O52" s="2" t="inlineStr">
        <is>
          <t>https://kaspi.kz/shop/c/dinner%20tables/</t>
        </is>
      </c>
    </row>
    <row r="53">
      <c r="A53" s="2" t="n">
        <v>52</v>
      </c>
      <c r="B53" s="2" t="inlineStr">
        <is>
          <t>Компьютерные и офисные кресла</t>
        </is>
      </c>
      <c r="C53" s="2" t="inlineStr">
        <is>
          <t>Мебель</t>
        </is>
      </c>
      <c r="D53" s="2" t="inlineStr">
        <is>
          <t>Мебель → Офис и кабинет → Компьютерные и офисные кресла</t>
        </is>
      </c>
      <c r="E53" s="3" t="n">
        <v>615161723</v>
      </c>
      <c r="F53" s="3" t="n">
        <v>30206</v>
      </c>
      <c r="G53" s="3">
        <f>IFERROR(E53/F53,0)</f>
        <v/>
      </c>
      <c r="H53" s="3" t="n">
        <v>1422</v>
      </c>
      <c r="I53" s="2" t="n">
        <v>151</v>
      </c>
      <c r="J53" s="3">
        <f>IFERROR(E53/H53,0)</f>
        <v/>
      </c>
      <c r="K53" s="10">
        <f>E53/'По разделам'!$B$21</f>
        <v/>
      </c>
      <c r="L53" s="4">
        <f>L52+K53</f>
        <v/>
      </c>
      <c r="M53" s="2" t="inlineStr">
        <is>
          <t>05376</t>
        </is>
      </c>
      <c r="N53" s="2" t="inlineStr">
        <is>
          <t>https://app.redstat.kz/niche/05376?event_date=2026-08-01</t>
        </is>
      </c>
      <c r="O53" s="2" t="inlineStr">
        <is>
          <t>https://kaspi.kz/shop/c/desk%20chairs/</t>
        </is>
      </c>
    </row>
    <row r="54">
      <c r="A54" s="2" t="n">
        <v>53</v>
      </c>
      <c r="B54" s="2" t="inlineStr">
        <is>
          <t>Роботы-пылесосы</t>
        </is>
      </c>
      <c r="C54" s="2" t="inlineStr">
        <is>
          <t>Бытовая техника</t>
        </is>
      </c>
      <c r="D54" s="2" t="inlineStr">
        <is>
          <t>Бытовая техника → Малая техника для дома → Роботы-пылесосы</t>
        </is>
      </c>
      <c r="E54" s="3" t="n">
        <v>608001674</v>
      </c>
      <c r="F54" s="3" t="n">
        <v>3301</v>
      </c>
      <c r="G54" s="3">
        <f>IFERROR(E54/F54,0)</f>
        <v/>
      </c>
      <c r="H54" s="3" t="n">
        <v>201</v>
      </c>
      <c r="I54" s="2" t="n">
        <v>33</v>
      </c>
      <c r="J54" s="3">
        <f>IFERROR(E54/H54,0)</f>
        <v/>
      </c>
      <c r="K54" s="10">
        <f>E54/'По разделам'!$B$21</f>
        <v/>
      </c>
      <c r="L54" s="4">
        <f>L53+K54</f>
        <v/>
      </c>
      <c r="M54" s="2" t="inlineStr">
        <is>
          <t>04912</t>
        </is>
      </c>
      <c r="N54" s="2" t="inlineStr">
        <is>
          <t>https://app.redstat.kz/niche/04912?event_date=2026-08-01</t>
        </is>
      </c>
      <c r="O54" s="2" t="inlineStr">
        <is>
          <t>https://kaspi.kz/shop/c/robot%20vacuum%20cleaners/</t>
        </is>
      </c>
    </row>
    <row r="55">
      <c r="A55" s="2" t="n">
        <v>54</v>
      </c>
      <c r="B55" s="2" t="inlineStr">
        <is>
          <t>Средства для умывания и очищения</t>
        </is>
      </c>
      <c r="C55" s="2" t="inlineStr">
        <is>
          <t>Красота и здоровье</t>
        </is>
      </c>
      <c r="D55" s="2" t="inlineStr">
        <is>
          <t>Красота и здоровье → Уход за лицом → Средства для умывания и очищения</t>
        </is>
      </c>
      <c r="E55" s="3" t="n">
        <v>594193496</v>
      </c>
      <c r="F55" s="3" t="n">
        <v>127604</v>
      </c>
      <c r="G55" s="3">
        <f>IFERROR(E55/F55,0)</f>
        <v/>
      </c>
      <c r="H55" s="3" t="n">
        <v>3014</v>
      </c>
      <c r="I55" s="2" t="n">
        <v>693</v>
      </c>
      <c r="J55" s="3">
        <f>IFERROR(E55/H55,0)</f>
        <v/>
      </c>
      <c r="K55" s="10">
        <f>E55/'По разделам'!$B$21</f>
        <v/>
      </c>
      <c r="L55" s="4">
        <f>L54+K55</f>
        <v/>
      </c>
      <c r="M55" s="2" t="inlineStr">
        <is>
          <t>05369</t>
        </is>
      </c>
      <c r="N55" s="2" t="inlineStr">
        <is>
          <t>https://app.redstat.kz/niche/05369?event_date=2026-08-01</t>
        </is>
      </c>
      <c r="O55" s="2" t="inlineStr">
        <is>
          <t>https://kaspi.kz/shop/c/makeup%20removers/</t>
        </is>
      </c>
    </row>
    <row r="56">
      <c r="A56" s="2" t="n">
        <v>55</v>
      </c>
      <c r="B56" s="2" t="inlineStr">
        <is>
          <t>Шторы и карнизы</t>
        </is>
      </c>
      <c r="C56" s="2" t="inlineStr">
        <is>
          <t>Товары для дома и дачи</t>
        </is>
      </c>
      <c r="D56" s="2" t="inlineStr">
        <is>
          <t>Товары для дома и дачи → Домашний текстиль → Шторы и карнизы → Шторы и карнизы</t>
        </is>
      </c>
      <c r="E56" s="3" t="n">
        <v>592944195</v>
      </c>
      <c r="F56" s="3" t="n">
        <v>68658</v>
      </c>
      <c r="G56" s="3">
        <f>IFERROR(E56/F56,0)</f>
        <v/>
      </c>
      <c r="H56" s="3" t="n">
        <v>10134</v>
      </c>
      <c r="I56" s="2" t="n">
        <v>307</v>
      </c>
      <c r="J56" s="3">
        <f>IFERROR(E56/H56,0)</f>
        <v/>
      </c>
      <c r="K56" s="10">
        <f>E56/'По разделам'!$B$21</f>
        <v/>
      </c>
      <c r="L56" s="4">
        <f>L55+K56</f>
        <v/>
      </c>
      <c r="M56" s="2" t="inlineStr">
        <is>
          <t>q514b672b0d8f953</t>
        </is>
      </c>
      <c r="N56" s="2" t="inlineStr">
        <is>
          <t>https://app.redstat.kz/niche/q514b672b0d8f953?event_date=2026-08-01</t>
        </is>
      </c>
      <c r="O56" s="2" t="inlineStr"/>
    </row>
    <row r="57">
      <c r="A57" s="2" t="n">
        <v>56</v>
      </c>
      <c r="B57" s="2" t="inlineStr">
        <is>
          <t>Кухонные плиты</t>
        </is>
      </c>
      <c r="C57" s="2" t="inlineStr">
        <is>
          <t>Бытовая техника</t>
        </is>
      </c>
      <c r="D57" s="2" t="inlineStr">
        <is>
          <t>Бытовая техника → Крупная техника для дома → Кухонные плиты</t>
        </is>
      </c>
      <c r="E57" s="3" t="n">
        <v>591084038</v>
      </c>
      <c r="F57" s="3" t="n">
        <v>4089</v>
      </c>
      <c r="G57" s="3">
        <f>IFERROR(E57/F57,0)</f>
        <v/>
      </c>
      <c r="H57" s="3" t="n">
        <v>630</v>
      </c>
      <c r="I57" s="2" t="n">
        <v>54</v>
      </c>
      <c r="J57" s="3">
        <f>IFERROR(E57/H57,0)</f>
        <v/>
      </c>
      <c r="K57" s="10">
        <f>E57/'По разделам'!$B$21</f>
        <v/>
      </c>
      <c r="L57" s="4">
        <f>L56+K57</f>
        <v/>
      </c>
      <c r="M57" s="2" t="inlineStr">
        <is>
          <t>00024</t>
        </is>
      </c>
      <c r="N57" s="2" t="inlineStr">
        <is>
          <t>https://app.redstat.kz/niche/00024?event_date=2026-08-01</t>
        </is>
      </c>
      <c r="O57" s="2" t="inlineStr">
        <is>
          <t>https://kaspi.kz/shop/c/kitcheners/</t>
        </is>
      </c>
    </row>
    <row r="58">
      <c r="A58" s="2" t="n">
        <v>57</v>
      </c>
      <c r="B58" s="2" t="inlineStr">
        <is>
          <t>Варочные поверхности</t>
        </is>
      </c>
      <c r="C58" s="2" t="inlineStr">
        <is>
          <t>Бытовая техника</t>
        </is>
      </c>
      <c r="D58" s="2" t="inlineStr">
        <is>
          <t>Бытовая техника → Крупная техника для дома → Варочные поверхности</t>
        </is>
      </c>
      <c r="E58" s="3" t="n">
        <v>588947953</v>
      </c>
      <c r="F58" s="3" t="n">
        <v>8304</v>
      </c>
      <c r="G58" s="3">
        <f>IFERROR(E58/F58,0)</f>
        <v/>
      </c>
      <c r="H58" s="3" t="n">
        <v>922</v>
      </c>
      <c r="I58" s="2" t="n">
        <v>99</v>
      </c>
      <c r="J58" s="3">
        <f>IFERROR(E58/H58,0)</f>
        <v/>
      </c>
      <c r="K58" s="10">
        <f>E58/'По разделам'!$B$21</f>
        <v/>
      </c>
      <c r="L58" s="4">
        <f>L57+K58</f>
        <v/>
      </c>
      <c r="M58" s="2" t="inlineStr">
        <is>
          <t>00045</t>
        </is>
      </c>
      <c r="N58" s="2" t="inlineStr">
        <is>
          <t>https://app.redstat.kz/niche/00045?event_date=2026-08-01</t>
        </is>
      </c>
      <c r="O58" s="2" t="inlineStr">
        <is>
          <t>https://kaspi.kz/shop/c/cooktops/</t>
        </is>
      </c>
    </row>
    <row r="59">
      <c r="A59" s="2" t="n">
        <v>58</v>
      </c>
      <c r="B59" s="2" t="inlineStr">
        <is>
          <t>Садовая мебель</t>
        </is>
      </c>
      <c r="C59" s="2" t="inlineStr">
        <is>
          <t>Товары для дома и дачи</t>
        </is>
      </c>
      <c r="D59" s="2" t="inlineStr">
        <is>
          <t>Товары для дома и дачи → Дача, сад и огород → Садовая мебель → Садовая мебель</t>
        </is>
      </c>
      <c r="E59" s="3" t="n">
        <v>585699136</v>
      </c>
      <c r="F59" s="3" t="n">
        <v>7302</v>
      </c>
      <c r="G59" s="3">
        <f>IFERROR(E59/F59,0)</f>
        <v/>
      </c>
      <c r="H59" s="3" t="n">
        <v>1245</v>
      </c>
      <c r="I59" s="2" t="n">
        <v>195</v>
      </c>
      <c r="J59" s="3">
        <f>IFERROR(E59/H59,0)</f>
        <v/>
      </c>
      <c r="K59" s="10">
        <f>E59/'По разделам'!$B$21</f>
        <v/>
      </c>
      <c r="L59" s="4">
        <f>L58+K59</f>
        <v/>
      </c>
      <c r="M59" s="2" t="inlineStr">
        <is>
          <t>q05643297bfa24bd</t>
        </is>
      </c>
      <c r="N59" s="2" t="inlineStr">
        <is>
          <t>https://app.redstat.kz/niche/q05643297bfa24bd?event_date=2026-08-01</t>
        </is>
      </c>
      <c r="O59" s="2" t="inlineStr"/>
    </row>
    <row r="60">
      <c r="A60" s="2" t="n">
        <v>59</v>
      </c>
      <c r="B60" s="2" t="inlineStr">
        <is>
          <t>Рюкзаки</t>
        </is>
      </c>
      <c r="C60" s="2" t="inlineStr">
        <is>
          <t>Аксессуары</t>
        </is>
      </c>
      <c r="D60" s="2" t="inlineStr">
        <is>
          <t>Аксессуары → Сумки, чемоданы, кошельки → Рюкзаки</t>
        </is>
      </c>
      <c r="E60" s="3" t="n">
        <v>566205846</v>
      </c>
      <c r="F60" s="3" t="n">
        <v>111687</v>
      </c>
      <c r="G60" s="3">
        <f>IFERROR(E60/F60,0)</f>
        <v/>
      </c>
      <c r="H60" s="3" t="n">
        <v>5105</v>
      </c>
      <c r="I60" s="2" t="n">
        <v>702</v>
      </c>
      <c r="J60" s="3">
        <f>IFERROR(E60/H60,0)</f>
        <v/>
      </c>
      <c r="K60" s="10">
        <f>E60/'По разделам'!$B$21</f>
        <v/>
      </c>
      <c r="L60" s="4">
        <f>L59+K60</f>
        <v/>
      </c>
      <c r="M60" s="2" t="inlineStr">
        <is>
          <t>06955</t>
        </is>
      </c>
      <c r="N60" s="2" t="inlineStr">
        <is>
          <t>https://app.redstat.kz/niche/06955?event_date=2026-08-01</t>
        </is>
      </c>
      <c r="O60" s="2" t="inlineStr">
        <is>
          <t>https://kaspi.kz/shop/c/backpacks/</t>
        </is>
      </c>
    </row>
    <row r="61">
      <c r="A61" s="2" t="n">
        <v>60</v>
      </c>
      <c r="B61" s="2" t="inlineStr">
        <is>
          <t>Кофемашины и кофеварки</t>
        </is>
      </c>
      <c r="C61" s="2" t="inlineStr">
        <is>
          <t>Бытовая техника</t>
        </is>
      </c>
      <c r="D61" s="2" t="inlineStr">
        <is>
          <t>Бытовая техника → Мелкая техника для кухни → Кофемашины и кофеварки → Кофемашины и кофеварки</t>
        </is>
      </c>
      <c r="E61" s="3" t="n">
        <v>562709676</v>
      </c>
      <c r="F61" s="3" t="n">
        <v>19529</v>
      </c>
      <c r="G61" s="3">
        <f>IFERROR(E61/F61,0)</f>
        <v/>
      </c>
      <c r="H61" s="3" t="n">
        <v>913</v>
      </c>
      <c r="I61" s="2" t="n">
        <v>239</v>
      </c>
      <c r="J61" s="3">
        <f>IFERROR(E61/H61,0)</f>
        <v/>
      </c>
      <c r="K61" s="10">
        <f>E61/'По разделам'!$B$21</f>
        <v/>
      </c>
      <c r="L61" s="4">
        <f>L60+K61</f>
        <v/>
      </c>
      <c r="M61" s="2" t="inlineStr">
        <is>
          <t>q5b6dc11c1737a85</t>
        </is>
      </c>
      <c r="N61" s="2" t="inlineStr">
        <is>
          <t>https://app.redstat.kz/niche/q5b6dc11c1737a85?event_date=2026-08-01</t>
        </is>
      </c>
      <c r="O61" s="2" t="inlineStr"/>
    </row>
    <row r="62">
      <c r="A62" s="2" t="n">
        <v>61</v>
      </c>
      <c r="B62" s="2" t="inlineStr">
        <is>
          <t>Велосипеды</t>
        </is>
      </c>
      <c r="C62" s="2" t="inlineStr">
        <is>
          <t>Спорт, туризм</t>
        </is>
      </c>
      <c r="D62" s="2" t="inlineStr">
        <is>
          <t>Спорт, туризм → Велоспорт → Велосипеды</t>
        </is>
      </c>
      <c r="E62" s="3" t="n">
        <v>542683303</v>
      </c>
      <c r="F62" s="3" t="n">
        <v>7623</v>
      </c>
      <c r="G62" s="3">
        <f>IFERROR(E62/F62,0)</f>
        <v/>
      </c>
      <c r="H62" s="3" t="n">
        <v>1855</v>
      </c>
      <c r="I62" s="2" t="n">
        <v>206</v>
      </c>
      <c r="J62" s="3">
        <f>IFERROR(E62/H62,0)</f>
        <v/>
      </c>
      <c r="K62" s="10">
        <f>E62/'По разделам'!$B$21</f>
        <v/>
      </c>
      <c r="L62" s="4">
        <f>L61+K62</f>
        <v/>
      </c>
      <c r="M62" s="2" t="inlineStr">
        <is>
          <t>04876</t>
        </is>
      </c>
      <c r="N62" s="2" t="inlineStr">
        <is>
          <t>https://app.redstat.kz/niche/04876?event_date=2026-08-01</t>
        </is>
      </c>
      <c r="O62" s="2" t="inlineStr">
        <is>
          <t>https://kaspi.kz/shop/c/bicycles/</t>
        </is>
      </c>
    </row>
    <row r="63">
      <c r="A63" s="2" t="n">
        <v>62</v>
      </c>
      <c r="B63" s="2" t="inlineStr">
        <is>
          <t>Ковры и ковровые дорожки</t>
        </is>
      </c>
      <c r="C63" s="2" t="inlineStr">
        <is>
          <t>Товары для дома и дачи</t>
        </is>
      </c>
      <c r="D63" s="2" t="inlineStr">
        <is>
          <t>Товары для дома и дачи → Домашний текстиль → Ковры и ковровые дорожки → Ковры и ковровые дорожки</t>
        </is>
      </c>
      <c r="E63" s="3" t="n">
        <v>540755118</v>
      </c>
      <c r="F63" s="3" t="n">
        <v>45606</v>
      </c>
      <c r="G63" s="3">
        <f>IFERROR(E63/F63,0)</f>
        <v/>
      </c>
      <c r="H63" s="3" t="n">
        <v>8394</v>
      </c>
      <c r="I63" s="2" t="n">
        <v>409</v>
      </c>
      <c r="J63" s="3">
        <f>IFERROR(E63/H63,0)</f>
        <v/>
      </c>
      <c r="K63" s="10">
        <f>E63/'По разделам'!$B$21</f>
        <v/>
      </c>
      <c r="L63" s="4">
        <f>L62+K63</f>
        <v/>
      </c>
      <c r="M63" s="2" t="inlineStr">
        <is>
          <t>q77c01931530cb87</t>
        </is>
      </c>
      <c r="N63" s="2" t="inlineStr">
        <is>
          <t>https://app.redstat.kz/niche/q77c01931530cb87?event_date=2026-08-01</t>
        </is>
      </c>
      <c r="O63" s="2" t="inlineStr"/>
    </row>
    <row r="64">
      <c r="A64" s="2" t="n">
        <v>63</v>
      </c>
      <c r="B64" s="2" t="inlineStr">
        <is>
          <t>Двери</t>
        </is>
      </c>
      <c r="C64" s="2" t="inlineStr">
        <is>
          <t>Строительство, ремонт</t>
        </is>
      </c>
      <c r="D64" s="2" t="inlineStr">
        <is>
          <t>Строительство, ремонт → Двери, окна, лестницы → Двери → Двери</t>
        </is>
      </c>
      <c r="E64" s="3" t="n">
        <v>538212387</v>
      </c>
      <c r="F64" s="3" t="n">
        <v>13721</v>
      </c>
      <c r="G64" s="3">
        <f>IFERROR(E64/F64,0)</f>
        <v/>
      </c>
      <c r="H64" s="3" t="n">
        <v>2565</v>
      </c>
      <c r="I64" s="2" t="n">
        <v>276</v>
      </c>
      <c r="J64" s="3">
        <f>IFERROR(E64/H64,0)</f>
        <v/>
      </c>
      <c r="K64" s="10">
        <f>E64/'По разделам'!$B$21</f>
        <v/>
      </c>
      <c r="L64" s="4">
        <f>L63+K64</f>
        <v/>
      </c>
      <c r="M64" s="2" t="inlineStr">
        <is>
          <t>q52c7f2c1b3fe551</t>
        </is>
      </c>
      <c r="N64" s="2" t="inlineStr">
        <is>
          <t>https://app.redstat.kz/niche/q52c7f2c1b3fe551?event_date=2026-08-01</t>
        </is>
      </c>
      <c r="O64" s="2" t="inlineStr"/>
    </row>
    <row r="65">
      <c r="A65" s="2" t="n">
        <v>64</v>
      </c>
      <c r="B65" s="2" t="inlineStr">
        <is>
          <t>Умные колонки</t>
        </is>
      </c>
      <c r="C65" s="2" t="inlineStr">
        <is>
          <t>ТВ, Аудио, Видео</t>
        </is>
      </c>
      <c r="D65" s="2" t="inlineStr">
        <is>
          <t>ТВ, Аудио, Видео → Аудиотехника → Умные колонки</t>
        </is>
      </c>
      <c r="E65" s="3" t="n">
        <v>528770745</v>
      </c>
      <c r="F65" s="3" t="n">
        <v>9314</v>
      </c>
      <c r="G65" s="3">
        <f>IFERROR(E65/F65,0)</f>
        <v/>
      </c>
      <c r="H65" s="3" t="n">
        <v>209</v>
      </c>
      <c r="I65" s="2" t="n">
        <v>9</v>
      </c>
      <c r="J65" s="3">
        <f>IFERROR(E65/H65,0)</f>
        <v/>
      </c>
      <c r="K65" s="10">
        <f>E65/'По разделам'!$B$21</f>
        <v/>
      </c>
      <c r="L65" s="4">
        <f>L64+K65</f>
        <v/>
      </c>
      <c r="M65" s="2" t="inlineStr">
        <is>
          <t>00846</t>
        </is>
      </c>
      <c r="N65" s="2" t="inlineStr">
        <is>
          <t>https://app.redstat.kz/niche/00846?event_date=2026-08-01</t>
        </is>
      </c>
      <c r="O65" s="2" t="inlineStr">
        <is>
          <t>https://kaspi.kz/shop/c/smart%20speakers/</t>
        </is>
      </c>
    </row>
    <row r="66">
      <c r="A66" s="2" t="n">
        <v>65</v>
      </c>
      <c r="B66" s="2" t="inlineStr">
        <is>
          <t>Женские кроссовки и кеды</t>
        </is>
      </c>
      <c r="C66" s="2" t="inlineStr">
        <is>
          <t>Обувь</t>
        </is>
      </c>
      <c r="D66" s="2" t="inlineStr">
        <is>
          <t>Обувь → Женская обувь → Женские кроссовки и кеды</t>
        </is>
      </c>
      <c r="E66" s="3" t="n">
        <v>526766652</v>
      </c>
      <c r="F66" s="3" t="n">
        <v>39773</v>
      </c>
      <c r="G66" s="3">
        <f>IFERROR(E66/F66,0)</f>
        <v/>
      </c>
      <c r="H66" s="3" t="n">
        <v>10694</v>
      </c>
      <c r="I66" s="2" t="n">
        <v>501</v>
      </c>
      <c r="J66" s="3">
        <f>IFERROR(E66/H66,0)</f>
        <v/>
      </c>
      <c r="K66" s="10">
        <f>E66/'По разделам'!$B$21</f>
        <v/>
      </c>
      <c r="L66" s="4">
        <f>L65+K66</f>
        <v/>
      </c>
      <c r="M66" s="2" t="inlineStr">
        <is>
          <t>02406</t>
        </is>
      </c>
      <c r="N66" s="2" t="inlineStr">
        <is>
          <t>https://app.redstat.kz/niche/02406?event_date=2026-08-01</t>
        </is>
      </c>
      <c r="O66" s="2" t="inlineStr">
        <is>
          <t>https://kaspi.kz/shop/c/women%20trainers/</t>
        </is>
      </c>
    </row>
    <row r="67">
      <c r="A67" s="2" t="n">
        <v>66</v>
      </c>
      <c r="B67" s="2" t="inlineStr">
        <is>
          <t>Шампуни для волос</t>
        </is>
      </c>
      <c r="C67" s="2" t="inlineStr">
        <is>
          <t>Красота и здоровье</t>
        </is>
      </c>
      <c r="D67" s="2" t="inlineStr">
        <is>
          <t>Красота и здоровье → Уход за волосами → Шампуни для волос</t>
        </is>
      </c>
      <c r="E67" s="3" t="n">
        <v>525095534</v>
      </c>
      <c r="F67" s="3" t="n">
        <v>105453</v>
      </c>
      <c r="G67" s="3">
        <f>IFERROR(E67/F67,0)</f>
        <v/>
      </c>
      <c r="H67" s="3" t="n">
        <v>5101</v>
      </c>
      <c r="I67" s="2" t="n">
        <v>822</v>
      </c>
      <c r="J67" s="3">
        <f>IFERROR(E67/H67,0)</f>
        <v/>
      </c>
      <c r="K67" s="10">
        <f>E67/'По разделам'!$B$21</f>
        <v/>
      </c>
      <c r="L67" s="4">
        <f>L66+K67</f>
        <v/>
      </c>
      <c r="M67" s="2" t="inlineStr">
        <is>
          <t>00689</t>
        </is>
      </c>
      <c r="N67" s="2" t="inlineStr">
        <is>
          <t>https://app.redstat.kz/niche/00689?event_date=2026-08-01</t>
        </is>
      </c>
      <c r="O67" s="2" t="inlineStr">
        <is>
          <t>https://kaspi.kz/shop/c/hair%20shampoos/</t>
        </is>
      </c>
    </row>
    <row r="68">
      <c r="A68" s="2" t="n">
        <v>67</v>
      </c>
      <c r="B68" s="2" t="inlineStr">
        <is>
          <t>Лодки, моторы и комплектующие</t>
        </is>
      </c>
      <c r="C68" s="2" t="inlineStr">
        <is>
          <t>Спорт, туризм</t>
        </is>
      </c>
      <c r="D68" s="2" t="inlineStr">
        <is>
          <t>Спорт, туризм → Товары для рыбалки → Лодки, моторы и комплектующие → Лодки, моторы и комплектующие</t>
        </is>
      </c>
      <c r="E68" s="3" t="n">
        <v>522854509</v>
      </c>
      <c r="F68" s="3" t="n">
        <v>6729</v>
      </c>
      <c r="G68" s="3">
        <f>IFERROR(E68/F68,0)</f>
        <v/>
      </c>
      <c r="H68" s="3" t="n">
        <v>1365</v>
      </c>
      <c r="I68" s="2" t="n">
        <v>147</v>
      </c>
      <c r="J68" s="3">
        <f>IFERROR(E68/H68,0)</f>
        <v/>
      </c>
      <c r="K68" s="10">
        <f>E68/'По разделам'!$B$21</f>
        <v/>
      </c>
      <c r="L68" s="4">
        <f>L67+K68</f>
        <v/>
      </c>
      <c r="M68" s="2" t="inlineStr">
        <is>
          <t>q0c7a7e9bdc2aa94</t>
        </is>
      </c>
      <c r="N68" s="2" t="inlineStr">
        <is>
          <t>https://app.redstat.kz/niche/q0c7a7e9bdc2aa94?event_date=2026-08-01</t>
        </is>
      </c>
      <c r="O68" s="2" t="inlineStr"/>
    </row>
    <row r="69">
      <c r="A69" s="2" t="n">
        <v>68</v>
      </c>
      <c r="B69" s="2" t="inlineStr">
        <is>
          <t>Беговые дорожки</t>
        </is>
      </c>
      <c r="C69" s="2" t="inlineStr">
        <is>
          <t>Спорт, туризм</t>
        </is>
      </c>
      <c r="D69" s="2" t="inlineStr">
        <is>
          <t>Спорт, туризм → Тренажеры → Беговые дорожки</t>
        </is>
      </c>
      <c r="E69" s="3" t="n">
        <v>521837005</v>
      </c>
      <c r="F69" s="3" t="n">
        <v>12101</v>
      </c>
      <c r="G69" s="3">
        <f>IFERROR(E69/F69,0)</f>
        <v/>
      </c>
      <c r="H69" s="3" t="n">
        <v>219</v>
      </c>
      <c r="I69" s="2" t="n">
        <v>55</v>
      </c>
      <c r="J69" s="3">
        <f>IFERROR(E69/H69,0)</f>
        <v/>
      </c>
      <c r="K69" s="10">
        <f>E69/'По разделам'!$B$21</f>
        <v/>
      </c>
      <c r="L69" s="4">
        <f>L68+K69</f>
        <v/>
      </c>
      <c r="M69" s="2" t="inlineStr">
        <is>
          <t>00767</t>
        </is>
      </c>
      <c r="N69" s="2" t="inlineStr">
        <is>
          <t>https://app.redstat.kz/niche/00767?event_date=2026-08-01</t>
        </is>
      </c>
      <c r="O69" s="2" t="inlineStr">
        <is>
          <t>https://kaspi.kz/shop/c/treadmills/</t>
        </is>
      </c>
    </row>
    <row r="70">
      <c r="A70" s="2" t="n">
        <v>69</v>
      </c>
      <c r="B70" s="2" t="inlineStr">
        <is>
          <t>Коляски и аксессуары</t>
        </is>
      </c>
      <c r="C70" s="2" t="inlineStr">
        <is>
          <t>Детские товары</t>
        </is>
      </c>
      <c r="D70" s="2" t="inlineStr">
        <is>
          <t>Детские товары → Прогулки и поездки → Коляски и аксессуары → Коляски и аксессуары</t>
        </is>
      </c>
      <c r="E70" s="3" t="n">
        <v>514902010</v>
      </c>
      <c r="F70" s="3" t="n">
        <v>12835</v>
      </c>
      <c r="G70" s="3">
        <f>IFERROR(E70/F70,0)</f>
        <v/>
      </c>
      <c r="H70" s="3" t="n">
        <v>1561</v>
      </c>
      <c r="I70" s="2" t="n">
        <v>180</v>
      </c>
      <c r="J70" s="3">
        <f>IFERROR(E70/H70,0)</f>
        <v/>
      </c>
      <c r="K70" s="10">
        <f>E70/'По разделам'!$B$21</f>
        <v/>
      </c>
      <c r="L70" s="4">
        <f>L69+K70</f>
        <v/>
      </c>
      <c r="M70" s="2" t="inlineStr">
        <is>
          <t>q10841289e0c08f8</t>
        </is>
      </c>
      <c r="N70" s="2" t="inlineStr">
        <is>
          <t>https://app.redstat.kz/niche/q10841289e0c08f8?event_date=2026-08-01</t>
        </is>
      </c>
      <c r="O70" s="2" t="inlineStr"/>
    </row>
    <row r="71">
      <c r="A71" s="2" t="n">
        <v>70</v>
      </c>
      <c r="B71" s="2" t="inlineStr">
        <is>
          <t>Фотокамеры</t>
        </is>
      </c>
      <c r="C71" s="2" t="inlineStr">
        <is>
          <t>ТВ, Аудио, Видео</t>
        </is>
      </c>
      <c r="D71" s="2" t="inlineStr">
        <is>
          <t>ТВ, Аудио, Видео → Фото- и видеокамеры → Фотокамеры</t>
        </is>
      </c>
      <c r="E71" s="3" t="n">
        <v>504644829</v>
      </c>
      <c r="F71" s="3" t="n">
        <v>3276</v>
      </c>
      <c r="G71" s="3">
        <f>IFERROR(E71/F71,0)</f>
        <v/>
      </c>
      <c r="H71" s="3" t="n">
        <v>201</v>
      </c>
      <c r="I71" s="2" t="n">
        <v>17</v>
      </c>
      <c r="J71" s="3">
        <f>IFERROR(E71/H71,0)</f>
        <v/>
      </c>
      <c r="K71" s="10">
        <f>E71/'По разделам'!$B$21</f>
        <v/>
      </c>
      <c r="L71" s="4">
        <f>L70+K71</f>
        <v/>
      </c>
      <c r="M71" s="2" t="inlineStr">
        <is>
          <t>00302</t>
        </is>
      </c>
      <c r="N71" s="2" t="inlineStr">
        <is>
          <t>https://app.redstat.kz/niche/00302?event_date=2026-08-01</t>
        </is>
      </c>
      <c r="O71" s="2" t="inlineStr">
        <is>
          <t>https://kaspi.kz/shop/c/photo%20cameras/</t>
        </is>
      </c>
    </row>
    <row r="72">
      <c r="A72" s="2" t="n">
        <v>71</v>
      </c>
      <c r="B72" s="2" t="inlineStr">
        <is>
          <t>Часы наручные</t>
        </is>
      </c>
      <c r="C72" s="2" t="inlineStr">
        <is>
          <t>Аксессуары</t>
        </is>
      </c>
      <c r="D72" s="2" t="inlineStr">
        <is>
          <t>Аксессуары → Часы → Часы наручные</t>
        </is>
      </c>
      <c r="E72" s="3" t="n">
        <v>503598829</v>
      </c>
      <c r="F72" s="3" t="n">
        <v>38752</v>
      </c>
      <c r="G72" s="3">
        <f>IFERROR(E72/F72,0)</f>
        <v/>
      </c>
      <c r="H72" s="3" t="n">
        <v>3800</v>
      </c>
      <c r="I72" s="2" t="n">
        <v>331</v>
      </c>
      <c r="J72" s="3">
        <f>IFERROR(E72/H72,0)</f>
        <v/>
      </c>
      <c r="K72" s="10">
        <f>E72/'По разделам'!$B$21</f>
        <v/>
      </c>
      <c r="L72" s="4">
        <f>L71+K72</f>
        <v/>
      </c>
      <c r="M72" s="2" t="inlineStr">
        <is>
          <t>00648</t>
        </is>
      </c>
      <c r="N72" s="2" t="inlineStr">
        <is>
          <t>https://app.redstat.kz/niche/00648?event_date=2026-08-01</t>
        </is>
      </c>
      <c r="O72" s="2" t="inlineStr">
        <is>
          <t>https://kaspi.kz/shop/c/wrist%20watches/</t>
        </is>
      </c>
    </row>
    <row r="73">
      <c r="A73" s="2" t="n">
        <v>72</v>
      </c>
      <c r="B73" s="2" t="inlineStr">
        <is>
          <t>Мониторы</t>
        </is>
      </c>
      <c r="C73" s="2" t="inlineStr">
        <is>
          <t>Компьютеры</t>
        </is>
      </c>
      <c r="D73" s="2" t="inlineStr">
        <is>
          <t>Компьютеры → Периферия → Мониторы</t>
        </is>
      </c>
      <c r="E73" s="3" t="n">
        <v>492164863</v>
      </c>
      <c r="F73" s="3" t="n">
        <v>4961</v>
      </c>
      <c r="G73" s="3">
        <f>IFERROR(E73/F73,0)</f>
        <v/>
      </c>
      <c r="H73" s="3" t="n">
        <v>592</v>
      </c>
      <c r="I73" s="2" t="n">
        <v>78</v>
      </c>
      <c r="J73" s="3">
        <f>IFERROR(E73/H73,0)</f>
        <v/>
      </c>
      <c r="K73" s="10">
        <f>E73/'По разделам'!$B$21</f>
        <v/>
      </c>
      <c r="L73" s="4">
        <f>L72+K73</f>
        <v/>
      </c>
      <c r="M73" s="2" t="inlineStr">
        <is>
          <t>00011</t>
        </is>
      </c>
      <c r="N73" s="2" t="inlineStr">
        <is>
          <t>https://app.redstat.kz/niche/00011?event_date=2026-08-01</t>
        </is>
      </c>
      <c r="O73" s="2" t="inlineStr">
        <is>
          <t>https://kaspi.kz/shop/c/monitors/</t>
        </is>
      </c>
    </row>
    <row r="74">
      <c r="A74" s="2" t="n">
        <v>73</v>
      </c>
      <c r="B74" s="2" t="inlineStr">
        <is>
          <t>Средства для стирки</t>
        </is>
      </c>
      <c r="C74" s="2" t="inlineStr">
        <is>
          <t>Товары для дома и дачи</t>
        </is>
      </c>
      <c r="D74" s="2" t="inlineStr">
        <is>
          <t>Товары для дома и дачи → Бытовая химия → Средства для стирки → Средства для стирки</t>
        </is>
      </c>
      <c r="E74" s="3" t="n">
        <v>487666706</v>
      </c>
      <c r="F74" s="3" t="n">
        <v>135824</v>
      </c>
      <c r="G74" s="3">
        <f>IFERROR(E74/F74,0)</f>
        <v/>
      </c>
      <c r="H74" s="3" t="n">
        <v>4694</v>
      </c>
      <c r="I74" s="2" t="n">
        <v>635</v>
      </c>
      <c r="J74" s="3">
        <f>IFERROR(E74/H74,0)</f>
        <v/>
      </c>
      <c r="K74" s="10">
        <f>E74/'По разделам'!$B$21</f>
        <v/>
      </c>
      <c r="L74" s="4">
        <f>L73+K74</f>
        <v/>
      </c>
      <c r="M74" s="2" t="inlineStr">
        <is>
          <t>q346e018d65cae8f</t>
        </is>
      </c>
      <c r="N74" s="2" t="inlineStr">
        <is>
          <t>https://app.redstat.kz/niche/q346e018d65cae8f?event_date=2026-08-01</t>
        </is>
      </c>
      <c r="O74" s="2" t="inlineStr"/>
    </row>
    <row r="75">
      <c r="A75" s="2" t="n">
        <v>74</v>
      </c>
      <c r="B75" s="2" t="inlineStr">
        <is>
          <t>Фитнес абонементы</t>
        </is>
      </c>
      <c r="C75" s="2" t="inlineStr">
        <is>
          <t>Спорт, туризм</t>
        </is>
      </c>
      <c r="D75" s="2" t="inlineStr">
        <is>
          <t>Спорт, туризм → Товары для фитнеса → Фитнес абонементы</t>
        </is>
      </c>
      <c r="E75" s="3" t="n">
        <v>485318555</v>
      </c>
      <c r="F75" s="3" t="n">
        <v>1682</v>
      </c>
      <c r="G75" s="3">
        <f>IFERROR(E75/F75,0)</f>
        <v/>
      </c>
      <c r="H75" s="3" t="n">
        <v>129</v>
      </c>
      <c r="I75" s="2" t="n">
        <v>16</v>
      </c>
      <c r="J75" s="3">
        <f>IFERROR(E75/H75,0)</f>
        <v/>
      </c>
      <c r="K75" s="10">
        <f>E75/'По разделам'!$B$21</f>
        <v/>
      </c>
      <c r="L75" s="4">
        <f>L74+K75</f>
        <v/>
      </c>
      <c r="M75" s="2" t="inlineStr">
        <is>
          <t>02861</t>
        </is>
      </c>
      <c r="N75" s="2" t="inlineStr">
        <is>
          <t>https://app.redstat.kz/niche/02861?event_date=2026-08-01</t>
        </is>
      </c>
      <c r="O75" s="2" t="inlineStr">
        <is>
          <t>https://kaspi.kz/shop/c/gym%20membership/</t>
        </is>
      </c>
    </row>
    <row r="76">
      <c r="A76" s="2" t="n">
        <v>75</v>
      </c>
      <c r="B76" s="2" t="inlineStr">
        <is>
          <t>Кемпинг</t>
        </is>
      </c>
      <c r="C76" s="2" t="inlineStr">
        <is>
          <t>Спорт, туризм</t>
        </is>
      </c>
      <c r="D76" s="2" t="inlineStr">
        <is>
          <t>Спорт, туризм → Туризм и отдых на природе → Кемпинг → Кемпинг</t>
        </is>
      </c>
      <c r="E76" s="3" t="n">
        <v>483039655</v>
      </c>
      <c r="F76" s="3" t="n">
        <v>41986</v>
      </c>
      <c r="G76" s="3">
        <f>IFERROR(E76/F76,0)</f>
        <v/>
      </c>
      <c r="H76" s="3" t="n">
        <v>3801</v>
      </c>
      <c r="I76" s="2" t="n">
        <v>472</v>
      </c>
      <c r="J76" s="3">
        <f>IFERROR(E76/H76,0)</f>
        <v/>
      </c>
      <c r="K76" s="10">
        <f>E76/'По разделам'!$B$21</f>
        <v/>
      </c>
      <c r="L76" s="4">
        <f>L75+K76</f>
        <v/>
      </c>
      <c r="M76" s="2" t="inlineStr">
        <is>
          <t>q8e5bea894a8d6b8</t>
        </is>
      </c>
      <c r="N76" s="2" t="inlineStr">
        <is>
          <t>https://app.redstat.kz/niche/q8e5bea894a8d6b8?event_date=2026-08-01</t>
        </is>
      </c>
      <c r="O76" s="2" t="inlineStr"/>
    </row>
    <row r="77">
      <c r="A77" s="2" t="n">
        <v>76</v>
      </c>
      <c r="B77" s="2" t="inlineStr">
        <is>
          <t>Инвентарь для уборки</t>
        </is>
      </c>
      <c r="C77" s="2" t="inlineStr">
        <is>
          <t>Товары для дома и дачи</t>
        </is>
      </c>
      <c r="D77" s="2" t="inlineStr">
        <is>
          <t>Товары для дома и дачи → Хозяйственные товары → Инвентарь для уборки → Инвентарь для уборки</t>
        </is>
      </c>
      <c r="E77" s="3" t="n">
        <v>482916047</v>
      </c>
      <c r="F77" s="3" t="n">
        <v>162461</v>
      </c>
      <c r="G77" s="3">
        <f>IFERROR(E77/F77,0)</f>
        <v/>
      </c>
      <c r="H77" s="3" t="n">
        <v>7547</v>
      </c>
      <c r="I77" s="2" t="n">
        <v>997</v>
      </c>
      <c r="J77" s="3">
        <f>IFERROR(E77/H77,0)</f>
        <v/>
      </c>
      <c r="K77" s="10">
        <f>E77/'По разделам'!$B$21</f>
        <v/>
      </c>
      <c r="L77" s="4">
        <f>L76+K77</f>
        <v/>
      </c>
      <c r="M77" s="2" t="inlineStr">
        <is>
          <t>q6895d6cf9a427ba</t>
        </is>
      </c>
      <c r="N77" s="2" t="inlineStr">
        <is>
          <t>https://app.redstat.kz/niche/q6895d6cf9a427ba?event_date=2026-08-01</t>
        </is>
      </c>
      <c r="O77" s="2" t="inlineStr"/>
    </row>
    <row r="78">
      <c r="A78" s="2" t="n">
        <v>77</v>
      </c>
      <c r="B78" s="2" t="inlineStr">
        <is>
          <t>Миксеры, блендеры и измельчители</t>
        </is>
      </c>
      <c r="C78" s="2" t="inlineStr">
        <is>
          <t>Бытовая техника</t>
        </is>
      </c>
      <c r="D78" s="2" t="inlineStr">
        <is>
          <t>Бытовая техника → Мелкая техника для кухни → Миксеры, блендеры и измельчители → Миксеры, блендеры и измельчители</t>
        </is>
      </c>
      <c r="E78" s="3" t="n">
        <v>457302428</v>
      </c>
      <c r="F78" s="3" t="n">
        <v>28704</v>
      </c>
      <c r="G78" s="3">
        <f>IFERROR(E78/F78,0)</f>
        <v/>
      </c>
      <c r="H78" s="3" t="n">
        <v>1723</v>
      </c>
      <c r="I78" s="2" t="n">
        <v>365</v>
      </c>
      <c r="J78" s="3">
        <f>IFERROR(E78/H78,0)</f>
        <v/>
      </c>
      <c r="K78" s="10">
        <f>E78/'По разделам'!$B$21</f>
        <v/>
      </c>
      <c r="L78" s="4">
        <f>L77+K78</f>
        <v/>
      </c>
      <c r="M78" s="2" t="inlineStr">
        <is>
          <t>q6933b6dc69b8da8</t>
        </is>
      </c>
      <c r="N78" s="2" t="inlineStr">
        <is>
          <t>https://app.redstat.kz/niche/q6933b6dc69b8da8?event_date=2026-08-01</t>
        </is>
      </c>
      <c r="O78" s="2" t="inlineStr"/>
    </row>
    <row r="79">
      <c r="A79" s="2" t="n">
        <v>78</v>
      </c>
      <c r="B79" s="2" t="inlineStr">
        <is>
          <t>Постельное белье</t>
        </is>
      </c>
      <c r="C79" s="2" t="inlineStr">
        <is>
          <t>Товары для дома и дачи</t>
        </is>
      </c>
      <c r="D79" s="2" t="inlineStr">
        <is>
          <t>Товары для дома и дачи → Домашний текстиль → Постельное белье → Постельное белье</t>
        </is>
      </c>
      <c r="E79" s="3" t="n">
        <v>455324727</v>
      </c>
      <c r="F79" s="3" t="n">
        <v>66726</v>
      </c>
      <c r="G79" s="3">
        <f>IFERROR(E79/F79,0)</f>
        <v/>
      </c>
      <c r="H79" s="3" t="n">
        <v>9628</v>
      </c>
      <c r="I79" s="2" t="n">
        <v>528</v>
      </c>
      <c r="J79" s="3">
        <f>IFERROR(E79/H79,0)</f>
        <v/>
      </c>
      <c r="K79" s="10">
        <f>E79/'По разделам'!$B$21</f>
        <v/>
      </c>
      <c r="L79" s="4">
        <f>L78+K79</f>
        <v/>
      </c>
      <c r="M79" s="2" t="inlineStr">
        <is>
          <t>q89f3cc7619c1897</t>
        </is>
      </c>
      <c r="N79" s="2" t="inlineStr">
        <is>
          <t>https://app.redstat.kz/niche/q89f3cc7619c1897?event_date=2026-08-01</t>
        </is>
      </c>
      <c r="O79" s="2" t="inlineStr"/>
    </row>
    <row r="80">
      <c r="A80" s="2" t="n">
        <v>79</v>
      </c>
      <c r="B80" s="2" t="inlineStr">
        <is>
          <t>Тетради и аксессуары</t>
        </is>
      </c>
      <c r="C80" s="2" t="inlineStr">
        <is>
          <t>Канцелярские товары</t>
        </is>
      </c>
      <c r="D80" s="2" t="inlineStr">
        <is>
          <t>Канцелярские товары → Бумага и бумажная продукция → Тетради и аксессуары</t>
        </is>
      </c>
      <c r="E80" s="3" t="n">
        <v>452426552</v>
      </c>
      <c r="F80" s="3" t="n">
        <v>269816</v>
      </c>
      <c r="G80" s="3">
        <f>IFERROR(E80/F80,0)</f>
        <v/>
      </c>
      <c r="H80" s="3" t="n">
        <v>5314</v>
      </c>
      <c r="I80" s="2" t="n">
        <v>137</v>
      </c>
      <c r="J80" s="3">
        <f>IFERROR(E80/H80,0)</f>
        <v/>
      </c>
      <c r="K80" s="10">
        <f>E80/'По разделам'!$B$21</f>
        <v/>
      </c>
      <c r="L80" s="4">
        <f>L79+K80</f>
        <v/>
      </c>
      <c r="M80" s="2" t="inlineStr">
        <is>
          <t>04202</t>
        </is>
      </c>
      <c r="N80" s="2" t="inlineStr">
        <is>
          <t>https://app.redstat.kz/niche/04202?event_date=2026-08-01</t>
        </is>
      </c>
      <c r="O80" s="2" t="inlineStr">
        <is>
          <t>https://kaspi.kz/shop/c/exercise%20notebooks/</t>
        </is>
      </c>
    </row>
    <row r="81">
      <c r="A81" s="2" t="n">
        <v>80</v>
      </c>
      <c r="B81" s="2" t="inlineStr">
        <is>
          <t>Палатки, тенты и шатры</t>
        </is>
      </c>
      <c r="C81" s="2" t="inlineStr">
        <is>
          <t>Спорт, туризм</t>
        </is>
      </c>
      <c r="D81" s="2" t="inlineStr">
        <is>
          <t>Спорт, туризм → Туризм и отдых на природе → Палатки, тенты и шатры → Палатки, тенты и шатры</t>
        </is>
      </c>
      <c r="E81" s="3" t="n">
        <v>451205650</v>
      </c>
      <c r="F81" s="3" t="n">
        <v>12551</v>
      </c>
      <c r="G81" s="3">
        <f>IFERROR(E81/F81,0)</f>
        <v/>
      </c>
      <c r="H81" s="3" t="n">
        <v>1454</v>
      </c>
      <c r="I81" s="2" t="n">
        <v>226</v>
      </c>
      <c r="J81" s="3">
        <f>IFERROR(E81/H81,0)</f>
        <v/>
      </c>
      <c r="K81" s="10">
        <f>E81/'По разделам'!$B$21</f>
        <v/>
      </c>
      <c r="L81" s="4">
        <f>L80+K81</f>
        <v/>
      </c>
      <c r="M81" s="2" t="inlineStr">
        <is>
          <t>qc26858c139ed410</t>
        </is>
      </c>
      <c r="N81" s="2" t="inlineStr">
        <is>
          <t>https://app.redstat.kz/niche/qc26858c139ed410?event_date=2026-08-01</t>
        </is>
      </c>
      <c r="O81" s="2" t="inlineStr"/>
    </row>
    <row r="82">
      <c r="A82" s="2" t="n">
        <v>81</v>
      </c>
      <c r="B82" s="2" t="inlineStr">
        <is>
          <t>Уход за одеждой</t>
        </is>
      </c>
      <c r="C82" s="2" t="inlineStr">
        <is>
          <t>Товары для дома и дачи</t>
        </is>
      </c>
      <c r="D82" s="2" t="inlineStr">
        <is>
          <t>Товары для дома и дачи → Хозяйственные товары → Уход за одеждой → Уход за одеждой</t>
        </is>
      </c>
      <c r="E82" s="3" t="n">
        <v>449835283</v>
      </c>
      <c r="F82" s="3" t="n">
        <v>94509</v>
      </c>
      <c r="G82" s="3">
        <f>IFERROR(E82/F82,0)</f>
        <v/>
      </c>
      <c r="H82" s="3" t="n">
        <v>3393</v>
      </c>
      <c r="I82" s="2" t="n">
        <v>475</v>
      </c>
      <c r="J82" s="3">
        <f>IFERROR(E82/H82,0)</f>
        <v/>
      </c>
      <c r="K82" s="10">
        <f>E82/'По разделам'!$B$21</f>
        <v/>
      </c>
      <c r="L82" s="4">
        <f>L81+K82</f>
        <v/>
      </c>
      <c r="M82" s="2" t="inlineStr">
        <is>
          <t>qb7c5faeb75566e0</t>
        </is>
      </c>
      <c r="N82" s="2" t="inlineStr">
        <is>
          <t>https://app.redstat.kz/niche/qb7c5faeb75566e0?event_date=2026-08-01</t>
        </is>
      </c>
      <c r="O82" s="2" t="inlineStr"/>
    </row>
    <row r="83">
      <c r="A83" s="2" t="n">
        <v>82</v>
      </c>
      <c r="B83" s="2" t="inlineStr">
        <is>
          <t>Средства по уходу за волосами</t>
        </is>
      </c>
      <c r="C83" s="2" t="inlineStr">
        <is>
          <t>Красота и здоровье</t>
        </is>
      </c>
      <c r="D83" s="2" t="inlineStr">
        <is>
          <t>Красота и здоровье → Уход за волосами → Средства по уходу за волосами</t>
        </is>
      </c>
      <c r="E83" s="3" t="n">
        <v>441194165</v>
      </c>
      <c r="F83" s="3" t="n">
        <v>91660</v>
      </c>
      <c r="G83" s="3">
        <f>IFERROR(E83/F83,0)</f>
        <v/>
      </c>
      <c r="H83" s="3" t="n">
        <v>2436</v>
      </c>
      <c r="I83" s="2" t="n">
        <v>512</v>
      </c>
      <c r="J83" s="3">
        <f>IFERROR(E83/H83,0)</f>
        <v/>
      </c>
      <c r="K83" s="10">
        <f>E83/'По разделам'!$B$21</f>
        <v/>
      </c>
      <c r="L83" s="4">
        <f>L82+K83</f>
        <v/>
      </c>
      <c r="M83" s="2" t="inlineStr">
        <is>
          <t>06186</t>
        </is>
      </c>
      <c r="N83" s="2" t="inlineStr">
        <is>
          <t>https://app.redstat.kz/niche/06186?event_date=2026-08-01</t>
        </is>
      </c>
      <c r="O83" s="2" t="inlineStr">
        <is>
          <t>https://kaspi.kz/shop/c/hair%20care%20products/</t>
        </is>
      </c>
    </row>
    <row r="84">
      <c r="A84" s="2" t="n">
        <v>83</v>
      </c>
      <c r="B84" s="2" t="inlineStr">
        <is>
          <t>Женские костюмы и пиджаки</t>
        </is>
      </c>
      <c r="C84" s="2" t="inlineStr">
        <is>
          <t>Одежда</t>
        </is>
      </c>
      <c r="D84" s="2" t="inlineStr">
        <is>
          <t>Одежда → Женщинам → Женские костюмы и пиджаки → Женские костюмы и пиджаки</t>
        </is>
      </c>
      <c r="E84" s="3" t="n">
        <v>437314352</v>
      </c>
      <c r="F84" s="3" t="n">
        <v>32208</v>
      </c>
      <c r="G84" s="3">
        <f>IFERROR(E84/F84,0)</f>
        <v/>
      </c>
      <c r="H84" s="3" t="n">
        <v>10310</v>
      </c>
      <c r="I84" s="2" t="n">
        <v>523</v>
      </c>
      <c r="J84" s="3">
        <f>IFERROR(E84/H84,0)</f>
        <v/>
      </c>
      <c r="K84" s="10">
        <f>E84/'По разделам'!$B$21</f>
        <v/>
      </c>
      <c r="L84" s="4">
        <f>L83+K84</f>
        <v/>
      </c>
      <c r="M84" s="2" t="inlineStr">
        <is>
          <t>q33644d3dec11d5e</t>
        </is>
      </c>
      <c r="N84" s="2" t="inlineStr">
        <is>
          <t>https://app.redstat.kz/niche/q33644d3dec11d5e?event_date=2026-08-01</t>
        </is>
      </c>
      <c r="O84" s="2" t="inlineStr"/>
    </row>
    <row r="85">
      <c r="A85" s="2" t="n">
        <v>84</v>
      </c>
      <c r="B85" s="2" t="inlineStr">
        <is>
          <t>Отпариватели</t>
        </is>
      </c>
      <c r="C85" s="2" t="inlineStr">
        <is>
          <t>Бытовая техника</t>
        </is>
      </c>
      <c r="D85" s="2" t="inlineStr">
        <is>
          <t>Бытовая техника → Малая техника для дома → Отпариватели</t>
        </is>
      </c>
      <c r="E85" s="3" t="n">
        <v>430707710</v>
      </c>
      <c r="F85" s="3" t="n">
        <v>36496</v>
      </c>
      <c r="G85" s="3">
        <f>IFERROR(E85/F85,0)</f>
        <v/>
      </c>
      <c r="H85" s="3" t="n">
        <v>939</v>
      </c>
      <c r="I85" s="2" t="n">
        <v>290</v>
      </c>
      <c r="J85" s="3">
        <f>IFERROR(E85/H85,0)</f>
        <v/>
      </c>
      <c r="K85" s="10">
        <f>E85/'По разделам'!$B$21</f>
        <v/>
      </c>
      <c r="L85" s="4">
        <f>L84+K85</f>
        <v/>
      </c>
      <c r="M85" s="2" t="inlineStr">
        <is>
          <t>03282</t>
        </is>
      </c>
      <c r="N85" s="2" t="inlineStr">
        <is>
          <t>https://app.redstat.kz/niche/03282?event_date=2026-08-01</t>
        </is>
      </c>
      <c r="O85" s="2" t="inlineStr">
        <is>
          <t>https://kaspi.kz/shop/c/garment%20steamers/</t>
        </is>
      </c>
    </row>
    <row r="86">
      <c r="A86" s="2" t="n">
        <v>85</v>
      </c>
      <c r="B86" s="2" t="inlineStr">
        <is>
          <t>Сухие корма для кошек</t>
        </is>
      </c>
      <c r="C86" s="2" t="inlineStr">
        <is>
          <t>Товары для животных</t>
        </is>
      </c>
      <c r="D86" s="2" t="inlineStr">
        <is>
          <t>Товары для животных → Для кошек → Сухие корма для кошек</t>
        </is>
      </c>
      <c r="E86" s="3" t="n">
        <v>428724879</v>
      </c>
      <c r="F86" s="3" t="n">
        <v>43883</v>
      </c>
      <c r="G86" s="3">
        <f>IFERROR(E86/F86,0)</f>
        <v/>
      </c>
      <c r="H86" s="3" t="n">
        <v>1904</v>
      </c>
      <c r="I86" s="2" t="n">
        <v>126</v>
      </c>
      <c r="J86" s="3">
        <f>IFERROR(E86/H86,0)</f>
        <v/>
      </c>
      <c r="K86" s="10">
        <f>E86/'По разделам'!$B$21</f>
        <v/>
      </c>
      <c r="L86" s="4">
        <f>L85+K86</f>
        <v/>
      </c>
      <c r="M86" s="2" t="inlineStr">
        <is>
          <t>04215</t>
        </is>
      </c>
      <c r="N86" s="2" t="inlineStr">
        <is>
          <t>https://app.redstat.kz/niche/04215?event_date=2026-08-01</t>
        </is>
      </c>
      <c r="O86" s="2" t="inlineStr">
        <is>
          <t>https://kaspi.kz/shop/c/dry%20cat%20food/</t>
        </is>
      </c>
    </row>
    <row r="87">
      <c r="A87" s="2" t="n">
        <v>86</v>
      </c>
      <c r="B87" s="2" t="inlineStr">
        <is>
          <t>Детские кровати</t>
        </is>
      </c>
      <c r="C87" s="2" t="inlineStr">
        <is>
          <t>Мебель</t>
        </is>
      </c>
      <c r="D87" s="2" t="inlineStr">
        <is>
          <t>Мебель → Детская комната → Детские кровати</t>
        </is>
      </c>
      <c r="E87" s="3" t="n">
        <v>426384880</v>
      </c>
      <c r="F87" s="3" t="n">
        <v>3501</v>
      </c>
      <c r="G87" s="3">
        <f>IFERROR(E87/F87,0)</f>
        <v/>
      </c>
      <c r="H87" s="3" t="n">
        <v>777</v>
      </c>
      <c r="I87" s="2" t="n">
        <v>100</v>
      </c>
      <c r="J87" s="3">
        <f>IFERROR(E87/H87,0)</f>
        <v/>
      </c>
      <c r="K87" s="10">
        <f>E87/'По разделам'!$B$21</f>
        <v/>
      </c>
      <c r="L87" s="4">
        <f>L86+K87</f>
        <v/>
      </c>
      <c r="M87" s="2" t="inlineStr">
        <is>
          <t>05606</t>
        </is>
      </c>
      <c r="N87" s="2" t="inlineStr">
        <is>
          <t>https://app.redstat.kz/niche/05606?event_date=2026-08-01</t>
        </is>
      </c>
      <c r="O87" s="2" t="inlineStr">
        <is>
          <t>https://kaspi.kz/shop/c/cribs/</t>
        </is>
      </c>
    </row>
    <row r="88">
      <c r="A88" s="2" t="n">
        <v>87</v>
      </c>
      <c r="B88" s="2" t="inlineStr">
        <is>
          <t>Женское нижнее белье</t>
        </is>
      </c>
      <c r="C88" s="2" t="inlineStr">
        <is>
          <t>Одежда</t>
        </is>
      </c>
      <c r="D88" s="2" t="inlineStr">
        <is>
          <t>Одежда → Женщинам → Женское нижнее белье → Женское нижнее белье</t>
        </is>
      </c>
      <c r="E88" s="3" t="n">
        <v>415337673</v>
      </c>
      <c r="F88" s="3" t="n">
        <v>238481</v>
      </c>
      <c r="G88" s="3">
        <f>IFERROR(E88/F88,0)</f>
        <v/>
      </c>
      <c r="H88" s="3" t="n">
        <v>13317</v>
      </c>
      <c r="I88" s="2" t="n">
        <v>800</v>
      </c>
      <c r="J88" s="3">
        <f>IFERROR(E88/H88,0)</f>
        <v/>
      </c>
      <c r="K88" s="10">
        <f>E88/'По разделам'!$B$21</f>
        <v/>
      </c>
      <c r="L88" s="4">
        <f>L87+K88</f>
        <v/>
      </c>
      <c r="M88" s="2" t="inlineStr">
        <is>
          <t>qd749db7247b3885</t>
        </is>
      </c>
      <c r="N88" s="2" t="inlineStr">
        <is>
          <t>https://app.redstat.kz/niche/qd749db7247b3885?event_date=2026-08-01</t>
        </is>
      </c>
      <c r="O88" s="2" t="inlineStr"/>
    </row>
    <row r="89">
      <c r="A89" s="2" t="n">
        <v>88</v>
      </c>
      <c r="B89" s="2" t="inlineStr">
        <is>
          <t>Люстры</t>
        </is>
      </c>
      <c r="C89" s="2" t="inlineStr">
        <is>
          <t>Товары для дома и дачи</t>
        </is>
      </c>
      <c r="D89" s="2" t="inlineStr">
        <is>
          <t>Товары для дома и дачи → Освещение → Люстры</t>
        </is>
      </c>
      <c r="E89" s="3" t="n">
        <v>414745485</v>
      </c>
      <c r="F89" s="3" t="n">
        <v>35924</v>
      </c>
      <c r="G89" s="3">
        <f>IFERROR(E89/F89,0)</f>
        <v/>
      </c>
      <c r="H89" s="3" t="n">
        <v>3465</v>
      </c>
      <c r="I89" s="2" t="n">
        <v>206</v>
      </c>
      <c r="J89" s="3">
        <f>IFERROR(E89/H89,0)</f>
        <v/>
      </c>
      <c r="K89" s="10">
        <f>E89/'По разделам'!$B$21</f>
        <v/>
      </c>
      <c r="L89" s="4">
        <f>L88+K89</f>
        <v/>
      </c>
      <c r="M89" s="2" t="inlineStr">
        <is>
          <t>00695</t>
        </is>
      </c>
      <c r="N89" s="2" t="inlineStr">
        <is>
          <t>https://app.redstat.kz/niche/00695?event_date=2026-08-01</t>
        </is>
      </c>
      <c r="O89" s="2" t="inlineStr">
        <is>
          <t>https://kaspi.kz/shop/c/chandeliers/</t>
        </is>
      </c>
    </row>
    <row r="90">
      <c r="A90" s="2" t="n">
        <v>89</v>
      </c>
      <c r="B90" s="2" t="inlineStr">
        <is>
          <t>Зеркала интерьерные</t>
        </is>
      </c>
      <c r="C90" s="2" t="inlineStr">
        <is>
          <t>Товары для дома и дачи</t>
        </is>
      </c>
      <c r="D90" s="2" t="inlineStr">
        <is>
          <t>Товары для дома и дачи → Интерьер → Зеркала интерьерные</t>
        </is>
      </c>
      <c r="E90" s="3" t="n">
        <v>405185648</v>
      </c>
      <c r="F90" s="3" t="n">
        <v>27976</v>
      </c>
      <c r="G90" s="3">
        <f>IFERROR(E90/F90,0)</f>
        <v/>
      </c>
      <c r="H90" s="3" t="n">
        <v>2148</v>
      </c>
      <c r="I90" s="2" t="n">
        <v>167</v>
      </c>
      <c r="J90" s="3">
        <f>IFERROR(E90/H90,0)</f>
        <v/>
      </c>
      <c r="K90" s="10">
        <f>E90/'По разделам'!$B$21</f>
        <v/>
      </c>
      <c r="L90" s="4">
        <f>L89+K90</f>
        <v/>
      </c>
      <c r="M90" s="2" t="inlineStr">
        <is>
          <t>00777</t>
        </is>
      </c>
      <c r="N90" s="2" t="inlineStr">
        <is>
          <t>https://app.redstat.kz/niche/00777?event_date=2026-08-01</t>
        </is>
      </c>
      <c r="O90" s="2" t="inlineStr">
        <is>
          <t>https://kaspi.kz/shop/c/interior%20mirrors/</t>
        </is>
      </c>
    </row>
    <row r="91">
      <c r="A91" s="2" t="n">
        <v>90</v>
      </c>
      <c r="B91" s="2" t="inlineStr">
        <is>
          <t>Аксессуары для ванной и туалета</t>
        </is>
      </c>
      <c r="C91" s="2" t="inlineStr">
        <is>
          <t>Товары для дома и дачи</t>
        </is>
      </c>
      <c r="D91" s="2" t="inlineStr">
        <is>
          <t>Товары для дома и дачи → Хозяйственные товары → Аксессуары для ванной и туалета → Аксессуары для ванной и туалета</t>
        </is>
      </c>
      <c r="E91" s="3" t="n">
        <v>392588884</v>
      </c>
      <c r="F91" s="3" t="n">
        <v>112325</v>
      </c>
      <c r="G91" s="3">
        <f>IFERROR(E91/F91,0)</f>
        <v/>
      </c>
      <c r="H91" s="3" t="n">
        <v>8122</v>
      </c>
      <c r="I91" s="2" t="n">
        <v>810</v>
      </c>
      <c r="J91" s="3">
        <f>IFERROR(E91/H91,0)</f>
        <v/>
      </c>
      <c r="K91" s="10">
        <f>E91/'По разделам'!$B$21</f>
        <v/>
      </c>
      <c r="L91" s="4">
        <f>L90+K91</f>
        <v/>
      </c>
      <c r="M91" s="2" t="inlineStr">
        <is>
          <t>q30cbfdab7bb6f67</t>
        </is>
      </c>
      <c r="N91" s="2" t="inlineStr">
        <is>
          <t>https://app.redstat.kz/niche/q30cbfdab7bb6f67?event_date=2026-08-01</t>
        </is>
      </c>
      <c r="O91" s="2" t="inlineStr"/>
    </row>
    <row r="92">
      <c r="A92" s="2" t="n">
        <v>91</v>
      </c>
      <c r="B92" s="2" t="inlineStr">
        <is>
          <t>Кухонные принадлежности</t>
        </is>
      </c>
      <c r="C92" s="2" t="inlineStr">
        <is>
          <t>Товары для дома и дачи</t>
        </is>
      </c>
      <c r="D92" s="2" t="inlineStr">
        <is>
          <t>Товары для дома и дачи → Посуда и принадлежности → Кухонные принадлежности → Кухонные принадлежности</t>
        </is>
      </c>
      <c r="E92" s="3" t="n">
        <v>378419085</v>
      </c>
      <c r="F92" s="3" t="n">
        <v>126183</v>
      </c>
      <c r="G92" s="3">
        <f>IFERROR(E92/F92,0)</f>
        <v/>
      </c>
      <c r="H92" s="3" t="n">
        <v>9023</v>
      </c>
      <c r="I92" s="2" t="n">
        <v>1074</v>
      </c>
      <c r="J92" s="3">
        <f>IFERROR(E92/H92,0)</f>
        <v/>
      </c>
      <c r="K92" s="10">
        <f>E92/'По разделам'!$B$21</f>
        <v/>
      </c>
      <c r="L92" s="4">
        <f>L91+K92</f>
        <v/>
      </c>
      <c r="M92" s="2" t="inlineStr">
        <is>
          <t>q184face0052627c</t>
        </is>
      </c>
      <c r="N92" s="2" t="inlineStr">
        <is>
          <t>https://app.redstat.kz/niche/q184face0052627c?event_date=2026-08-01</t>
        </is>
      </c>
      <c r="O92" s="2" t="inlineStr"/>
    </row>
    <row r="93">
      <c r="A93" s="2" t="n">
        <v>92</v>
      </c>
      <c r="B93" s="2" t="inlineStr">
        <is>
          <t>Посуда для хранения продуктов</t>
        </is>
      </c>
      <c r="C93" s="2" t="inlineStr">
        <is>
          <t>Товары для дома и дачи</t>
        </is>
      </c>
      <c r="D93" s="2" t="inlineStr">
        <is>
          <t>Товары для дома и дачи → Посуда и принадлежности → Посуда для хранения продуктов → Посуда для хранения продуктов</t>
        </is>
      </c>
      <c r="E93" s="3" t="n">
        <v>376299132</v>
      </c>
      <c r="F93" s="3" t="n">
        <v>90009</v>
      </c>
      <c r="G93" s="3">
        <f>IFERROR(E93/F93,0)</f>
        <v/>
      </c>
      <c r="H93" s="3" t="n">
        <v>6744</v>
      </c>
      <c r="I93" s="2" t="n">
        <v>731</v>
      </c>
      <c r="J93" s="3">
        <f>IFERROR(E93/H93,0)</f>
        <v/>
      </c>
      <c r="K93" s="10">
        <f>E93/'По разделам'!$B$21</f>
        <v/>
      </c>
      <c r="L93" s="4">
        <f>L92+K93</f>
        <v/>
      </c>
      <c r="M93" s="2" t="inlineStr">
        <is>
          <t>q25130cb7b01a3ab</t>
        </is>
      </c>
      <c r="N93" s="2" t="inlineStr">
        <is>
          <t>https://app.redstat.kz/niche/q25130cb7b01a3ab?event_date=2026-08-01</t>
        </is>
      </c>
      <c r="O93" s="2" t="inlineStr"/>
    </row>
    <row r="94">
      <c r="A94" s="2" t="n">
        <v>93</v>
      </c>
      <c r="B94" s="2" t="inlineStr">
        <is>
          <t>Женская верхняя одежда</t>
        </is>
      </c>
      <c r="C94" s="2" t="inlineStr">
        <is>
          <t>Одежда</t>
        </is>
      </c>
      <c r="D94" s="2" t="inlineStr">
        <is>
          <t>Одежда → Женщинам → Женская верхняя одежда → Женская верхняя одежда</t>
        </is>
      </c>
      <c r="E94" s="3" t="n">
        <v>374485337</v>
      </c>
      <c r="F94" s="3" t="n">
        <v>18327</v>
      </c>
      <c r="G94" s="3">
        <f>IFERROR(E94/F94,0)</f>
        <v/>
      </c>
      <c r="H94" s="3" t="n">
        <v>5934</v>
      </c>
      <c r="I94" s="2" t="n">
        <v>536</v>
      </c>
      <c r="J94" s="3">
        <f>IFERROR(E94/H94,0)</f>
        <v/>
      </c>
      <c r="K94" s="10">
        <f>E94/'По разделам'!$B$21</f>
        <v/>
      </c>
      <c r="L94" s="4">
        <f>L93+K94</f>
        <v/>
      </c>
      <c r="M94" s="2" t="inlineStr">
        <is>
          <t>q65cd08456267302</t>
        </is>
      </c>
      <c r="N94" s="2" t="inlineStr">
        <is>
          <t>https://app.redstat.kz/niche/q65cd08456267302?event_date=2026-08-01</t>
        </is>
      </c>
      <c r="O94" s="2" t="inlineStr"/>
    </row>
    <row r="95">
      <c r="A95" s="2" t="n">
        <v>94</v>
      </c>
      <c r="B95" s="2" t="inlineStr">
        <is>
          <t>Щипцы</t>
        </is>
      </c>
      <c r="C95" s="2" t="inlineStr">
        <is>
          <t>Красота и здоровье</t>
        </is>
      </c>
      <c r="D95" s="2" t="inlineStr">
        <is>
          <t>Красота и здоровье → Техника и оборудование для красоты → Щипцы</t>
        </is>
      </c>
      <c r="E95" s="3" t="n">
        <v>370021055</v>
      </c>
      <c r="F95" s="3" t="n">
        <v>48545</v>
      </c>
      <c r="G95" s="3">
        <f>IFERROR(E95/F95,0)</f>
        <v/>
      </c>
      <c r="H95" s="3" t="n">
        <v>1829</v>
      </c>
      <c r="I95" s="2" t="n">
        <v>347</v>
      </c>
      <c r="J95" s="3">
        <f>IFERROR(E95/H95,0)</f>
        <v/>
      </c>
      <c r="K95" s="10">
        <f>E95/'По разделам'!$B$21</f>
        <v/>
      </c>
      <c r="L95" s="4">
        <f>L94+K95</f>
        <v/>
      </c>
      <c r="M95" s="2" t="inlineStr">
        <is>
          <t>06221</t>
        </is>
      </c>
      <c r="N95" s="2" t="inlineStr">
        <is>
          <t>https://app.redstat.kz/niche/06221?event_date=2026-08-01</t>
        </is>
      </c>
      <c r="O95" s="2" t="inlineStr">
        <is>
          <t>https://kaspi.kz/shop/c/hair%20crimpers/</t>
        </is>
      </c>
    </row>
    <row r="96">
      <c r="A96" s="2" t="n">
        <v>95</v>
      </c>
      <c r="B96" s="2" t="inlineStr">
        <is>
          <t>Отделка стен</t>
        </is>
      </c>
      <c r="C96" s="2" t="inlineStr">
        <is>
          <t>Строительство, ремонт</t>
        </is>
      </c>
      <c r="D96" s="2" t="inlineStr">
        <is>
          <t>Строительство, ремонт → Отделочные материалы → Отделка стен → Отделка стен</t>
        </is>
      </c>
      <c r="E96" s="3" t="n">
        <v>369409634</v>
      </c>
      <c r="F96" s="3" t="n">
        <v>23024</v>
      </c>
      <c r="G96" s="3">
        <f>IFERROR(E96/F96,0)</f>
        <v/>
      </c>
      <c r="H96" s="3" t="n">
        <v>3377</v>
      </c>
      <c r="I96" s="2" t="n">
        <v>217</v>
      </c>
      <c r="J96" s="3">
        <f>IFERROR(E96/H96,0)</f>
        <v/>
      </c>
      <c r="K96" s="10">
        <f>E96/'По разделам'!$B$21</f>
        <v/>
      </c>
      <c r="L96" s="4">
        <f>L95+K96</f>
        <v/>
      </c>
      <c r="M96" s="2" t="inlineStr">
        <is>
          <t>q014ba8b2cdd25de</t>
        </is>
      </c>
      <c r="N96" s="2" t="inlineStr">
        <is>
          <t>https://app.redstat.kz/niche/q014ba8b2cdd25de?event_date=2026-08-01</t>
        </is>
      </c>
      <c r="O96" s="2" t="inlineStr"/>
    </row>
    <row r="97">
      <c r="A97" s="2" t="n">
        <v>96</v>
      </c>
      <c r="B97" s="2" t="inlineStr">
        <is>
          <t>Чемоданы</t>
        </is>
      </c>
      <c r="C97" s="2" t="inlineStr">
        <is>
          <t>Аксессуары</t>
        </is>
      </c>
      <c r="D97" s="2" t="inlineStr">
        <is>
          <t>Аксессуары → Сумки, чемоданы, кошельки → Чемоданы</t>
        </is>
      </c>
      <c r="E97" s="3" t="n">
        <v>369404639</v>
      </c>
      <c r="F97" s="3" t="n">
        <v>15871</v>
      </c>
      <c r="G97" s="3">
        <f>IFERROR(E97/F97,0)</f>
        <v/>
      </c>
      <c r="H97" s="3" t="n">
        <v>2186</v>
      </c>
      <c r="I97" s="2" t="n">
        <v>121</v>
      </c>
      <c r="J97" s="3">
        <f>IFERROR(E97/H97,0)</f>
        <v/>
      </c>
      <c r="K97" s="10">
        <f>E97/'По разделам'!$B$21</f>
        <v/>
      </c>
      <c r="L97" s="4">
        <f>L96+K97</f>
        <v/>
      </c>
      <c r="M97" s="2" t="inlineStr">
        <is>
          <t>00640</t>
        </is>
      </c>
      <c r="N97" s="2" t="inlineStr">
        <is>
          <t>https://app.redstat.kz/niche/00640?event_date=2026-08-01</t>
        </is>
      </c>
      <c r="O97" s="2" t="inlineStr">
        <is>
          <t>https://kaspi.kz/shop/c/suitcases/</t>
        </is>
      </c>
    </row>
    <row r="98">
      <c r="A98" s="2" t="n">
        <v>97</v>
      </c>
      <c r="B98" s="2" t="inlineStr">
        <is>
          <t>Кремы, масла и сыворотки для тела</t>
        </is>
      </c>
      <c r="C98" s="2" t="inlineStr">
        <is>
          <t>Красота и здоровье</t>
        </is>
      </c>
      <c r="D98" s="2" t="inlineStr">
        <is>
          <t>Красота и здоровье → Уход за телом → Кремы, масла и сыворотки для тела</t>
        </is>
      </c>
      <c r="E98" s="3" t="n">
        <v>364970850</v>
      </c>
      <c r="F98" s="3" t="n">
        <v>86837</v>
      </c>
      <c r="G98" s="3">
        <f>IFERROR(E98/F98,0)</f>
        <v/>
      </c>
      <c r="H98" s="3" t="n">
        <v>4477</v>
      </c>
      <c r="I98" s="2" t="n">
        <v>951</v>
      </c>
      <c r="J98" s="3">
        <f>IFERROR(E98/H98,0)</f>
        <v/>
      </c>
      <c r="K98" s="10">
        <f>E98/'По разделам'!$B$21</f>
        <v/>
      </c>
      <c r="L98" s="4">
        <f>L97+K98</f>
        <v/>
      </c>
      <c r="M98" s="2" t="inlineStr">
        <is>
          <t>05007</t>
        </is>
      </c>
      <c r="N98" s="2" t="inlineStr">
        <is>
          <t>https://app.redstat.kz/niche/05007?event_date=2026-08-01</t>
        </is>
      </c>
      <c r="O98" s="2" t="inlineStr">
        <is>
          <t>https://kaspi.kz/shop/c/body%20creams/</t>
        </is>
      </c>
    </row>
    <row r="99">
      <c r="A99" s="2" t="n">
        <v>98</v>
      </c>
      <c r="B99" s="2" t="inlineStr">
        <is>
          <t>Вытяжки</t>
        </is>
      </c>
      <c r="C99" s="2" t="inlineStr">
        <is>
          <t>Бытовая техника</t>
        </is>
      </c>
      <c r="D99" s="2" t="inlineStr">
        <is>
          <t>Бытовая техника → Крупная техника для дома → Вытяжки</t>
        </is>
      </c>
      <c r="E99" s="3" t="n">
        <v>361208555</v>
      </c>
      <c r="F99" s="3" t="n">
        <v>6984</v>
      </c>
      <c r="G99" s="3">
        <f>IFERROR(E99/F99,0)</f>
        <v/>
      </c>
      <c r="H99" s="3" t="n">
        <v>787</v>
      </c>
      <c r="I99" s="2" t="n">
        <v>72</v>
      </c>
      <c r="J99" s="3">
        <f>IFERROR(E99/H99,0)</f>
        <v/>
      </c>
      <c r="K99" s="10">
        <f>E99/'По разделам'!$B$21</f>
        <v/>
      </c>
      <c r="L99" s="4">
        <f>L98+K99</f>
        <v/>
      </c>
      <c r="M99" s="2" t="inlineStr">
        <is>
          <t>00022</t>
        </is>
      </c>
      <c r="N99" s="2" t="inlineStr">
        <is>
          <t>https://app.redstat.kz/niche/00022?event_date=2026-08-01</t>
        </is>
      </c>
      <c r="O99" s="2" t="inlineStr">
        <is>
          <t>https://kaspi.kz/shop/c/funnels/</t>
        </is>
      </c>
    </row>
    <row r="100">
      <c r="A100" s="2" t="n">
        <v>99</v>
      </c>
      <c r="B100" s="2" t="inlineStr">
        <is>
          <t>Товары для рисования</t>
        </is>
      </c>
      <c r="C100" s="2" t="inlineStr">
        <is>
          <t>Досуг, книги</t>
        </is>
      </c>
      <c r="D100" s="2" t="inlineStr">
        <is>
          <t>Досуг, книги → Хобби и творчество → Товары для рисования → Товары для рисования</t>
        </is>
      </c>
      <c r="E100" s="3" t="n">
        <v>347443480</v>
      </c>
      <c r="F100" s="3" t="n">
        <v>244205</v>
      </c>
      <c r="G100" s="3">
        <f>IFERROR(E100/F100,0)</f>
        <v/>
      </c>
      <c r="H100" s="3" t="n">
        <v>10092</v>
      </c>
      <c r="I100" s="2" t="n">
        <v>584</v>
      </c>
      <c r="J100" s="3">
        <f>IFERROR(E100/H100,0)</f>
        <v/>
      </c>
      <c r="K100" s="10">
        <f>E100/'По разделам'!$B$21</f>
        <v/>
      </c>
      <c r="L100" s="4">
        <f>L99+K100</f>
        <v/>
      </c>
      <c r="M100" s="2" t="inlineStr">
        <is>
          <t>qc791a6c93eb0053</t>
        </is>
      </c>
      <c r="N100" s="2" t="inlineStr">
        <is>
          <t>https://app.redstat.kz/niche/qc791a6c93eb0053?event_date=2026-08-01</t>
        </is>
      </c>
      <c r="O100" s="2" t="inlineStr"/>
    </row>
    <row r="101">
      <c r="A101" s="2" t="n">
        <v>100</v>
      </c>
      <c r="B101" s="2" t="inlineStr">
        <is>
          <t>Электро- и бензопилы</t>
        </is>
      </c>
      <c r="C101" s="2" t="inlineStr">
        <is>
          <t>Строительство, ремонт</t>
        </is>
      </c>
      <c r="D101" s="2" t="inlineStr">
        <is>
          <t>Строительство, ремонт → Инструменты → Электро- и бензопилы → Электро- и бензопилы</t>
        </is>
      </c>
      <c r="E101" s="3" t="n">
        <v>346553750</v>
      </c>
      <c r="F101" s="3" t="n">
        <v>7589</v>
      </c>
      <c r="G101" s="3">
        <f>IFERROR(E101/F101,0)</f>
        <v/>
      </c>
      <c r="H101" s="3" t="n">
        <v>1192</v>
      </c>
      <c r="I101" s="2" t="n">
        <v>238</v>
      </c>
      <c r="J101" s="3">
        <f>IFERROR(E101/H101,0)</f>
        <v/>
      </c>
      <c r="K101" s="10">
        <f>E101/'По разделам'!$B$21</f>
        <v/>
      </c>
      <c r="L101" s="4">
        <f>L100+K101</f>
        <v/>
      </c>
      <c r="M101" s="2" t="inlineStr">
        <is>
          <t>qd925a45393c9d1a</t>
        </is>
      </c>
      <c r="N101" s="2" t="inlineStr">
        <is>
          <t>https://app.redstat.kz/niche/qd925a45393c9d1a?event_date=2026-08-01</t>
        </is>
      </c>
      <c r="O101" s="2" t="inlineStr"/>
    </row>
    <row r="102">
      <c r="A102" s="2" t="n">
        <v>101</v>
      </c>
      <c r="B102" s="2" t="inlineStr">
        <is>
          <t>Бассейны и аксессуары</t>
        </is>
      </c>
      <c r="C102" s="2" t="inlineStr">
        <is>
          <t>Товары для дома и дачи</t>
        </is>
      </c>
      <c r="D102" s="2" t="inlineStr">
        <is>
          <t>Товары для дома и дачи → Дача, сад и огород → Бассейны и аксессуары → Бассейны и аксессуары</t>
        </is>
      </c>
      <c r="E102" s="3" t="n">
        <v>343848986</v>
      </c>
      <c r="F102" s="3" t="n">
        <v>28911</v>
      </c>
      <c r="G102" s="3">
        <f>IFERROR(E102/F102,0)</f>
        <v/>
      </c>
      <c r="H102" s="3" t="n">
        <v>2868</v>
      </c>
      <c r="I102" s="2" t="n">
        <v>258</v>
      </c>
      <c r="J102" s="3">
        <f>IFERROR(E102/H102,0)</f>
        <v/>
      </c>
      <c r="K102" s="10">
        <f>E102/'По разделам'!$B$21</f>
        <v/>
      </c>
      <c r="L102" s="4">
        <f>L101+K102</f>
        <v/>
      </c>
      <c r="M102" s="2" t="inlineStr">
        <is>
          <t>qe70aaf3e431be38</t>
        </is>
      </c>
      <c r="N102" s="2" t="inlineStr">
        <is>
          <t>https://app.redstat.kz/niche/qe70aaf3e431be38?event_date=2026-08-01</t>
        </is>
      </c>
      <c r="O102" s="2" t="inlineStr"/>
    </row>
    <row r="103">
      <c r="A103" s="2" t="n">
        <v>102</v>
      </c>
      <c r="B103" s="2" t="inlineStr">
        <is>
          <t>Унитазы, биде и аксессуары</t>
        </is>
      </c>
      <c r="C103" s="2" t="inlineStr">
        <is>
          <t>Строительство, ремонт</t>
        </is>
      </c>
      <c r="D103" s="2" t="inlineStr">
        <is>
          <t>Строительство, ремонт → Сантехника → Унитазы, биде и аксессуары → Унитазы, биде и аксессуары</t>
        </is>
      </c>
      <c r="E103" s="3" t="n">
        <v>339859813</v>
      </c>
      <c r="F103" s="3" t="n">
        <v>7463</v>
      </c>
      <c r="G103" s="3">
        <f>IFERROR(E103/F103,0)</f>
        <v/>
      </c>
      <c r="H103" s="3" t="n">
        <v>954</v>
      </c>
      <c r="I103" s="2" t="n">
        <v>146</v>
      </c>
      <c r="J103" s="3">
        <f>IFERROR(E103/H103,0)</f>
        <v/>
      </c>
      <c r="K103" s="10">
        <f>E103/'По разделам'!$B$21</f>
        <v/>
      </c>
      <c r="L103" s="4">
        <f>L102+K103</f>
        <v/>
      </c>
      <c r="M103" s="2" t="inlineStr">
        <is>
          <t>q298a024bbe17c25</t>
        </is>
      </c>
      <c r="N103" s="2" t="inlineStr">
        <is>
          <t>https://app.redstat.kz/niche/q298a024bbe17c25?event_date=2026-08-01</t>
        </is>
      </c>
      <c r="O103" s="2" t="inlineStr"/>
    </row>
    <row r="104">
      <c r="A104" s="2" t="n">
        <v>103</v>
      </c>
      <c r="B104" s="2" t="inlineStr">
        <is>
          <t>Профессиональное аудио</t>
        </is>
      </c>
      <c r="C104" s="2" t="inlineStr">
        <is>
          <t>ТВ, Аудио, Видео</t>
        </is>
      </c>
      <c r="D104" s="2" t="inlineStr">
        <is>
          <t>ТВ, Аудио, Видео → Аудиотехника → Профессиональное аудио → Профессиональное аудио</t>
        </is>
      </c>
      <c r="E104" s="3" t="n">
        <v>339834966</v>
      </c>
      <c r="F104" s="3" t="n">
        <v>23520</v>
      </c>
      <c r="G104" s="3">
        <f>IFERROR(E104/F104,0)</f>
        <v/>
      </c>
      <c r="H104" s="3" t="n">
        <v>896</v>
      </c>
      <c r="I104" s="2" t="n">
        <v>202</v>
      </c>
      <c r="J104" s="3">
        <f>IFERROR(E104/H104,0)</f>
        <v/>
      </c>
      <c r="K104" s="10">
        <f>E104/'По разделам'!$B$21</f>
        <v/>
      </c>
      <c r="L104" s="4">
        <f>L103+K104</f>
        <v/>
      </c>
      <c r="M104" s="2" t="inlineStr">
        <is>
          <t>q16ca36d452dbb6e</t>
        </is>
      </c>
      <c r="N104" s="2" t="inlineStr">
        <is>
          <t>https://app.redstat.kz/niche/q16ca36d452dbb6e?event_date=2026-08-01</t>
        </is>
      </c>
      <c r="O104" s="2" t="inlineStr"/>
    </row>
    <row r="105">
      <c r="A105" s="2" t="n">
        <v>104</v>
      </c>
      <c r="B105" s="2" t="inlineStr">
        <is>
          <t>Очистители и увлажнители</t>
        </is>
      </c>
      <c r="C105" s="2" t="inlineStr">
        <is>
          <t>Бытовая техника</t>
        </is>
      </c>
      <c r="D105" s="2" t="inlineStr">
        <is>
          <t>Бытовая техника → Климатическая техника → Очистители и увлажнители</t>
        </is>
      </c>
      <c r="E105" s="3" t="n">
        <v>335843242</v>
      </c>
      <c r="F105" s="3" t="n">
        <v>13767</v>
      </c>
      <c r="G105" s="3">
        <f>IFERROR(E105/F105,0)</f>
        <v/>
      </c>
      <c r="H105" s="3" t="n">
        <v>679</v>
      </c>
      <c r="I105" s="2" t="n">
        <v>241</v>
      </c>
      <c r="J105" s="3">
        <f>IFERROR(E105/H105,0)</f>
        <v/>
      </c>
      <c r="K105" s="10">
        <f>E105/'По разделам'!$B$21</f>
        <v/>
      </c>
      <c r="L105" s="4">
        <f>L104+K105</f>
        <v/>
      </c>
      <c r="M105" s="2" t="inlineStr">
        <is>
          <t>00050</t>
        </is>
      </c>
      <c r="N105" s="2" t="inlineStr">
        <is>
          <t>https://app.redstat.kz/niche/00050?event_date=2026-08-01</t>
        </is>
      </c>
      <c r="O105" s="2" t="inlineStr">
        <is>
          <t>https://kaspi.kz/shop/c/cleaners%20and%20humidifiers/</t>
        </is>
      </c>
    </row>
    <row r="106">
      <c r="A106" s="2" t="n">
        <v>105</v>
      </c>
      <c r="B106" s="2" t="inlineStr">
        <is>
          <t>Портативное аудио</t>
        </is>
      </c>
      <c r="C106" s="2" t="inlineStr">
        <is>
          <t>ТВ, Аудио, Видео</t>
        </is>
      </c>
      <c r="D106" s="2" t="inlineStr">
        <is>
          <t>ТВ, Аудио, Видео → Аудиотехника → Портативное аудио → Портативное аудио</t>
        </is>
      </c>
      <c r="E106" s="3" t="n">
        <v>329706322</v>
      </c>
      <c r="F106" s="3" t="n">
        <v>13405</v>
      </c>
      <c r="G106" s="3">
        <f>IFERROR(E106/F106,0)</f>
        <v/>
      </c>
      <c r="H106" s="3" t="n">
        <v>1229</v>
      </c>
      <c r="I106" s="2" t="n">
        <v>230</v>
      </c>
      <c r="J106" s="3">
        <f>IFERROR(E106/H106,0)</f>
        <v/>
      </c>
      <c r="K106" s="10">
        <f>E106/'По разделам'!$B$21</f>
        <v/>
      </c>
      <c r="L106" s="4">
        <f>L105+K106</f>
        <v/>
      </c>
      <c r="M106" s="2" t="inlineStr">
        <is>
          <t>q747deb19d773f3e</t>
        </is>
      </c>
      <c r="N106" s="2" t="inlineStr">
        <is>
          <t>https://app.redstat.kz/niche/q747deb19d773f3e?event_date=2026-08-01</t>
        </is>
      </c>
      <c r="O106" s="2" t="inlineStr"/>
    </row>
    <row r="107">
      <c r="A107" s="2" t="n">
        <v>106</v>
      </c>
      <c r="B107" s="2" t="inlineStr">
        <is>
          <t>Спальные гарнитуры</t>
        </is>
      </c>
      <c r="C107" s="2" t="inlineStr">
        <is>
          <t>Мебель</t>
        </is>
      </c>
      <c r="D107" s="2" t="inlineStr">
        <is>
          <t>Мебель → Спальня → Спальные гарнитуры</t>
        </is>
      </c>
      <c r="E107" s="3" t="n">
        <v>326887758</v>
      </c>
      <c r="F107" s="3" t="n">
        <v>1415</v>
      </c>
      <c r="G107" s="3">
        <f>IFERROR(E107/F107,0)</f>
        <v/>
      </c>
      <c r="H107" s="3" t="n">
        <v>361</v>
      </c>
      <c r="I107" s="2" t="n">
        <v>53</v>
      </c>
      <c r="J107" s="3">
        <f>IFERROR(E107/H107,0)</f>
        <v/>
      </c>
      <c r="K107" s="10">
        <f>E107/'По разделам'!$B$21</f>
        <v/>
      </c>
      <c r="L107" s="4">
        <f>L106+K107</f>
        <v/>
      </c>
      <c r="M107" s="2" t="inlineStr">
        <is>
          <t>00364</t>
        </is>
      </c>
      <c r="N107" s="2" t="inlineStr">
        <is>
          <t>https://app.redstat.kz/niche/00364?event_date=2026-08-01</t>
        </is>
      </c>
      <c r="O107" s="2" t="inlineStr">
        <is>
          <t>https://kaspi.kz/shop/c/bedroom%20sets/</t>
        </is>
      </c>
    </row>
    <row r="108">
      <c r="A108" s="2" t="n">
        <v>107</v>
      </c>
      <c r="B108" s="2" t="inlineStr">
        <is>
          <t>Экшн-камеры</t>
        </is>
      </c>
      <c r="C108" s="2" t="inlineStr">
        <is>
          <t>ТВ, Аудио, Видео</t>
        </is>
      </c>
      <c r="D108" s="2" t="inlineStr">
        <is>
          <t>ТВ, Аудио, Видео → Фото- и видеокамеры → Экшн-камеры</t>
        </is>
      </c>
      <c r="E108" s="3" t="n">
        <v>322404629</v>
      </c>
      <c r="F108" s="3" t="n">
        <v>1466</v>
      </c>
      <c r="G108" s="3">
        <f>IFERROR(E108/F108,0)</f>
        <v/>
      </c>
      <c r="H108" s="3" t="n">
        <v>116</v>
      </c>
      <c r="I108" s="2" t="n">
        <v>20</v>
      </c>
      <c r="J108" s="3">
        <f>IFERROR(E108/H108,0)</f>
        <v/>
      </c>
      <c r="K108" s="10">
        <f>E108/'По разделам'!$B$21</f>
        <v/>
      </c>
      <c r="L108" s="4">
        <f>L107+K108</f>
        <v/>
      </c>
      <c r="M108" s="2" t="inlineStr">
        <is>
          <t>06679</t>
        </is>
      </c>
      <c r="N108" s="2" t="inlineStr">
        <is>
          <t>https://app.redstat.kz/niche/06679?event_date=2026-08-01</t>
        </is>
      </c>
      <c r="O108" s="2" t="inlineStr">
        <is>
          <t>https://kaspi.kz/shop/c/action%20cameras/</t>
        </is>
      </c>
    </row>
    <row r="109">
      <c r="A109" s="2" t="n">
        <v>108</v>
      </c>
      <c r="B109" s="2" t="inlineStr">
        <is>
          <t>Молочные смеси</t>
        </is>
      </c>
      <c r="C109" s="2" t="inlineStr">
        <is>
          <t>Детские товары</t>
        </is>
      </c>
      <c r="D109" s="2" t="inlineStr">
        <is>
          <t>Детские товары → Детское питание → Молочные смеси</t>
        </is>
      </c>
      <c r="E109" s="3" t="n">
        <v>320102596</v>
      </c>
      <c r="F109" s="3" t="n">
        <v>21671</v>
      </c>
      <c r="G109" s="3">
        <f>IFERROR(E109/F109,0)</f>
        <v/>
      </c>
      <c r="H109" s="3" t="n">
        <v>278</v>
      </c>
      <c r="I109" s="2" t="n">
        <v>22</v>
      </c>
      <c r="J109" s="3">
        <f>IFERROR(E109/H109,0)</f>
        <v/>
      </c>
      <c r="K109" s="10">
        <f>E109/'По разделам'!$B$21</f>
        <v/>
      </c>
      <c r="L109" s="4">
        <f>L108+K109</f>
        <v/>
      </c>
      <c r="M109" s="2" t="inlineStr">
        <is>
          <t>00610</t>
        </is>
      </c>
      <c r="N109" s="2" t="inlineStr">
        <is>
          <t>https://app.redstat.kz/niche/00610?event_date=2026-08-01</t>
        </is>
      </c>
      <c r="O109" s="2" t="inlineStr">
        <is>
          <t>https://kaspi.kz/shop/c/milk%20formula/</t>
        </is>
      </c>
    </row>
    <row r="110">
      <c r="A110" s="2" t="n">
        <v>109</v>
      </c>
      <c r="B110" s="2" t="inlineStr">
        <is>
          <t>Подушки</t>
        </is>
      </c>
      <c r="C110" s="2" t="inlineStr">
        <is>
          <t>Товары для дома и дачи</t>
        </is>
      </c>
      <c r="D110" s="2" t="inlineStr">
        <is>
          <t>Товары для дома и дачи → Домашний текстиль → Подушки → Подушки</t>
        </is>
      </c>
      <c r="E110" s="3" t="n">
        <v>317288582</v>
      </c>
      <c r="F110" s="3" t="n">
        <v>48643</v>
      </c>
      <c r="G110" s="3">
        <f>IFERROR(E110/F110,0)</f>
        <v/>
      </c>
      <c r="H110" s="3" t="n">
        <v>3356</v>
      </c>
      <c r="I110" s="2" t="n">
        <v>490</v>
      </c>
      <c r="J110" s="3">
        <f>IFERROR(E110/H110,0)</f>
        <v/>
      </c>
      <c r="K110" s="10">
        <f>E110/'По разделам'!$B$21</f>
        <v/>
      </c>
      <c r="L110" s="4">
        <f>L109+K110</f>
        <v/>
      </c>
      <c r="M110" s="2" t="inlineStr">
        <is>
          <t>02598</t>
        </is>
      </c>
      <c r="N110" s="2" t="inlineStr">
        <is>
          <t>https://app.redstat.kz/niche/02598?event_date=2026-08-01</t>
        </is>
      </c>
      <c r="O110" s="2" t="inlineStr">
        <is>
          <t>https://kaspi.kz/shop/c/bed%20pillows/</t>
        </is>
      </c>
    </row>
    <row r="111">
      <c r="A111" s="2" t="n">
        <v>110</v>
      </c>
      <c r="B111" s="2" t="inlineStr">
        <is>
          <t>Чехлы для смартфонов</t>
        </is>
      </c>
      <c r="C111" s="2" t="inlineStr">
        <is>
          <t>Телефоны и гаджеты</t>
        </is>
      </c>
      <c r="D111" s="2" t="inlineStr">
        <is>
          <t>Телефоны и гаджеты → Аксессуары для телефонов → Чехлы для смартфонов</t>
        </is>
      </c>
      <c r="E111" s="3" t="n">
        <v>316045480</v>
      </c>
      <c r="F111" s="3" t="n">
        <v>265847</v>
      </c>
      <c r="G111" s="3">
        <f>IFERROR(E111/F111,0)</f>
        <v/>
      </c>
      <c r="H111" s="3" t="n">
        <v>40681</v>
      </c>
      <c r="I111" s="2" t="n">
        <v>433</v>
      </c>
      <c r="J111" s="3">
        <f>IFERROR(E111/H111,0)</f>
        <v/>
      </c>
      <c r="K111" s="10">
        <f>E111/'По разделам'!$B$21</f>
        <v/>
      </c>
      <c r="L111" s="4">
        <f>L110+K111</f>
        <v/>
      </c>
      <c r="M111" s="2" t="inlineStr">
        <is>
          <t>00571</t>
        </is>
      </c>
      <c r="N111" s="2" t="inlineStr">
        <is>
          <t>https://app.redstat.kz/niche/00571?event_date=2026-08-01</t>
        </is>
      </c>
      <c r="O111" s="2" t="inlineStr">
        <is>
          <t>https://kaspi.kz/shop/c/phone%20cases/</t>
        </is>
      </c>
    </row>
    <row r="112">
      <c r="A112" s="2" t="n">
        <v>111</v>
      </c>
      <c r="B112" s="2" t="inlineStr">
        <is>
          <t>Маски и бальзамы для волос</t>
        </is>
      </c>
      <c r="C112" s="2" t="inlineStr">
        <is>
          <t>Красота и здоровье</t>
        </is>
      </c>
      <c r="D112" s="2" t="inlineStr">
        <is>
          <t>Красота и здоровье → Уход за волосами → Маски и бальзамы для волос</t>
        </is>
      </c>
      <c r="E112" s="3" t="n">
        <v>314108472</v>
      </c>
      <c r="F112" s="3" t="n">
        <v>65429</v>
      </c>
      <c r="G112" s="3">
        <f>IFERROR(E112/F112,0)</f>
        <v/>
      </c>
      <c r="H112" s="3" t="n">
        <v>3509</v>
      </c>
      <c r="I112" s="2" t="n">
        <v>521</v>
      </c>
      <c r="J112" s="3">
        <f>IFERROR(E112/H112,0)</f>
        <v/>
      </c>
      <c r="K112" s="10">
        <f>E112/'По разделам'!$B$21</f>
        <v/>
      </c>
      <c r="L112" s="4">
        <f>L111+K112</f>
        <v/>
      </c>
      <c r="M112" s="2" t="inlineStr">
        <is>
          <t>00692</t>
        </is>
      </c>
      <c r="N112" s="2" t="inlineStr">
        <is>
          <t>https://app.redstat.kz/niche/00692?event_date=2026-08-01</t>
        </is>
      </c>
      <c r="O112" s="2" t="inlineStr">
        <is>
          <t>https://kaspi.kz/shop/c/hair%20masks/</t>
        </is>
      </c>
    </row>
    <row r="113">
      <c r="A113" s="2" t="n">
        <v>112</v>
      </c>
      <c r="B113" s="2" t="inlineStr">
        <is>
          <t>Двигатель</t>
        </is>
      </c>
      <c r="C113" s="2" t="inlineStr">
        <is>
          <t>Автотовары</t>
        </is>
      </c>
      <c r="D113" s="2" t="inlineStr">
        <is>
          <t>Автотовары → Автозапчасти → Двигатель → Двигатель</t>
        </is>
      </c>
      <c r="E113" s="3" t="n">
        <v>313635108</v>
      </c>
      <c r="F113" s="3" t="n">
        <v>7054</v>
      </c>
      <c r="G113" s="3">
        <f>IFERROR(E113/F113,0)</f>
        <v/>
      </c>
      <c r="H113" s="3" t="n">
        <v>3513</v>
      </c>
      <c r="I113" s="2" t="n">
        <v>476</v>
      </c>
      <c r="J113" s="3">
        <f>IFERROR(E113/H113,0)</f>
        <v/>
      </c>
      <c r="K113" s="10">
        <f>E113/'По разделам'!$B$21</f>
        <v/>
      </c>
      <c r="L113" s="4">
        <f>L112+K113</f>
        <v/>
      </c>
      <c r="M113" s="2" t="inlineStr">
        <is>
          <t>qb83b47405012d4a</t>
        </is>
      </c>
      <c r="N113" s="2" t="inlineStr">
        <is>
          <t>https://app.redstat.kz/niche/qb83b47405012d4a?event_date=2026-08-01</t>
        </is>
      </c>
      <c r="O113" s="2" t="inlineStr"/>
    </row>
    <row r="114">
      <c r="A114" s="2" t="n">
        <v>113</v>
      </c>
      <c r="B114" s="2" t="inlineStr">
        <is>
          <t>Дроны и квадрокоптеры</t>
        </is>
      </c>
      <c r="C114" s="2" t="inlineStr">
        <is>
          <t>ТВ, Аудио, Видео</t>
        </is>
      </c>
      <c r="D114" s="2" t="inlineStr">
        <is>
          <t>ТВ, Аудио, Видео → Развлечения → Дроны и квадрокоптеры</t>
        </is>
      </c>
      <c r="E114" s="3" t="n">
        <v>313197814</v>
      </c>
      <c r="F114" s="3" t="n">
        <v>3244</v>
      </c>
      <c r="G114" s="3">
        <f>IFERROR(E114/F114,0)</f>
        <v/>
      </c>
      <c r="H114" s="3" t="n">
        <v>230</v>
      </c>
      <c r="I114" s="2" t="n">
        <v>45</v>
      </c>
      <c r="J114" s="3">
        <f>IFERROR(E114/H114,0)</f>
        <v/>
      </c>
      <c r="K114" s="10">
        <f>E114/'По разделам'!$B$21</f>
        <v/>
      </c>
      <c r="L114" s="4">
        <f>L113+K114</f>
        <v/>
      </c>
      <c r="M114" s="2" t="inlineStr">
        <is>
          <t>00159</t>
        </is>
      </c>
      <c r="N114" s="2" t="inlineStr">
        <is>
          <t>https://app.redstat.kz/niche/00159?event_date=2026-08-01</t>
        </is>
      </c>
      <c r="O114" s="2" t="inlineStr">
        <is>
          <t>https://kaspi.kz/shop/c/drones/</t>
        </is>
      </c>
    </row>
    <row r="115">
      <c r="A115" s="2" t="n">
        <v>114</v>
      </c>
      <c r="B115" s="2" t="inlineStr">
        <is>
          <t>Комплекты дисков</t>
        </is>
      </c>
      <c r="C115" s="2" t="inlineStr">
        <is>
          <t>Автотовары</t>
        </is>
      </c>
      <c r="D115" s="2" t="inlineStr">
        <is>
          <t>Автотовары → Комплекты дисков</t>
        </is>
      </c>
      <c r="E115" s="3" t="n">
        <v>311279954</v>
      </c>
      <c r="F115" s="3" t="n">
        <v>1707</v>
      </c>
      <c r="G115" s="3">
        <f>IFERROR(E115/F115,0)</f>
        <v/>
      </c>
      <c r="H115" s="3" t="n">
        <v>1085</v>
      </c>
      <c r="I115" s="2" t="n">
        <v>160</v>
      </c>
      <c r="J115" s="3">
        <f>IFERROR(E115/H115,0)</f>
        <v/>
      </c>
      <c r="K115" s="10">
        <f>E115/'По разделам'!$B$21</f>
        <v/>
      </c>
      <c r="L115" s="4">
        <f>L114+K115</f>
        <v/>
      </c>
      <c r="M115" s="2" t="inlineStr">
        <is>
          <t>00227</t>
        </is>
      </c>
      <c r="N115" s="2" t="inlineStr">
        <is>
          <t>https://app.redstat.kz/niche/00227?event_date=2026-08-01</t>
        </is>
      </c>
      <c r="O115" s="2" t="inlineStr">
        <is>
          <t>https://kaspi.kz/shop/c/rims/</t>
        </is>
      </c>
    </row>
    <row r="116">
      <c r="A116" s="2" t="n">
        <v>115</v>
      </c>
      <c r="B116" s="2" t="inlineStr">
        <is>
          <t>Женские платья и сарафаны</t>
        </is>
      </c>
      <c r="C116" s="2" t="inlineStr">
        <is>
          <t>Одежда</t>
        </is>
      </c>
      <c r="D116" s="2" t="inlineStr">
        <is>
          <t>Одежда → Женщинам → Женские платья и сарафаны</t>
        </is>
      </c>
      <c r="E116" s="3" t="n">
        <v>310609319</v>
      </c>
      <c r="F116" s="3" t="n">
        <v>28026</v>
      </c>
      <c r="G116" s="3">
        <f>IFERROR(E116/F116,0)</f>
        <v/>
      </c>
      <c r="H116" s="3" t="n">
        <v>9041</v>
      </c>
      <c r="I116" s="2" t="n">
        <v>632</v>
      </c>
      <c r="J116" s="3">
        <f>IFERROR(E116/H116,0)</f>
        <v/>
      </c>
      <c r="K116" s="10">
        <f>E116/'По разделам'!$B$21</f>
        <v/>
      </c>
      <c r="L116" s="4">
        <f>L115+K116</f>
        <v/>
      </c>
      <c r="M116" s="2" t="inlineStr">
        <is>
          <t>01216</t>
        </is>
      </c>
      <c r="N116" s="2" t="inlineStr">
        <is>
          <t>https://app.redstat.kz/niche/01216?event_date=2026-08-01</t>
        </is>
      </c>
      <c r="O116" s="2" t="inlineStr">
        <is>
          <t>https://kaspi.kz/shop/c/women%20dresses/</t>
        </is>
      </c>
    </row>
    <row r="117">
      <c r="A117" s="2" t="n">
        <v>116</v>
      </c>
      <c r="B117" s="2" t="inlineStr">
        <is>
          <t>Протеин</t>
        </is>
      </c>
      <c r="C117" s="2" t="inlineStr">
        <is>
          <t>Спорт, туризм</t>
        </is>
      </c>
      <c r="D117" s="2" t="inlineStr">
        <is>
          <t>Спорт, туризм → Спортивное питание → Протеин</t>
        </is>
      </c>
      <c r="E117" s="3" t="n">
        <v>307465598</v>
      </c>
      <c r="F117" s="3" t="n">
        <v>15597</v>
      </c>
      <c r="G117" s="3">
        <f>IFERROR(E117/F117,0)</f>
        <v/>
      </c>
      <c r="H117" s="3" t="n">
        <v>1411</v>
      </c>
      <c r="I117" s="2" t="n">
        <v>141</v>
      </c>
      <c r="J117" s="3">
        <f>IFERROR(E117/H117,0)</f>
        <v/>
      </c>
      <c r="K117" s="10">
        <f>E117/'По разделам'!$B$21</f>
        <v/>
      </c>
      <c r="L117" s="4">
        <f>L116+K117</f>
        <v/>
      </c>
      <c r="M117" s="2" t="inlineStr">
        <is>
          <t>00856</t>
        </is>
      </c>
      <c r="N117" s="2" t="inlineStr">
        <is>
          <t>https://app.redstat.kz/niche/00856?event_date=2026-08-01</t>
        </is>
      </c>
      <c r="O117" s="2" t="inlineStr">
        <is>
          <t>https://kaspi.kz/shop/c/protein/</t>
        </is>
      </c>
    </row>
    <row r="118">
      <c r="A118" s="2" t="n">
        <v>117</v>
      </c>
      <c r="B118" s="2" t="inlineStr">
        <is>
          <t>Утюги</t>
        </is>
      </c>
      <c r="C118" s="2" t="inlineStr">
        <is>
          <t>Бытовая техника</t>
        </is>
      </c>
      <c r="D118" s="2" t="inlineStr">
        <is>
          <t>Бытовая техника → Малая техника для дома → Утюги</t>
        </is>
      </c>
      <c r="E118" s="3" t="n">
        <v>306499495</v>
      </c>
      <c r="F118" s="3" t="n">
        <v>23779</v>
      </c>
      <c r="G118" s="3">
        <f>IFERROR(E118/F118,0)</f>
        <v/>
      </c>
      <c r="H118" s="3" t="n">
        <v>785</v>
      </c>
      <c r="I118" s="2" t="n">
        <v>154</v>
      </c>
      <c r="J118" s="3">
        <f>IFERROR(E118/H118,0)</f>
        <v/>
      </c>
      <c r="K118" s="10">
        <f>E118/'По разделам'!$B$21</f>
        <v/>
      </c>
      <c r="L118" s="4">
        <f>L117+K118</f>
        <v/>
      </c>
      <c r="M118" s="2" t="inlineStr">
        <is>
          <t>03280</t>
        </is>
      </c>
      <c r="N118" s="2" t="inlineStr">
        <is>
          <t>https://app.redstat.kz/niche/03280?event_date=2026-08-01</t>
        </is>
      </c>
      <c r="O118" s="2" t="inlineStr">
        <is>
          <t>https://kaspi.kz/shop/c/irons/</t>
        </is>
      </c>
    </row>
    <row r="119">
      <c r="A119" s="2" t="n">
        <v>118</v>
      </c>
      <c r="B119" s="2" t="inlineStr">
        <is>
          <t>Тоники, тонеры, термальная вода</t>
        </is>
      </c>
      <c r="C119" s="2" t="inlineStr">
        <is>
          <t>Красота и здоровье</t>
        </is>
      </c>
      <c r="D119" s="2" t="inlineStr">
        <is>
          <t>Красота и здоровье → Уход за лицом → Тоники, тонеры, термальная вода</t>
        </is>
      </c>
      <c r="E119" s="3" t="n">
        <v>303796620</v>
      </c>
      <c r="F119" s="3" t="n">
        <v>49758</v>
      </c>
      <c r="G119" s="3">
        <f>IFERROR(E119/F119,0)</f>
        <v/>
      </c>
      <c r="H119" s="3" t="n">
        <v>2121</v>
      </c>
      <c r="I119" s="2" t="n">
        <v>540</v>
      </c>
      <c r="J119" s="3">
        <f>IFERROR(E119/H119,0)</f>
        <v/>
      </c>
      <c r="K119" s="10">
        <f>E119/'По разделам'!$B$21</f>
        <v/>
      </c>
      <c r="L119" s="4">
        <f>L118+K119</f>
        <v/>
      </c>
      <c r="M119" s="2" t="inlineStr">
        <is>
          <t>05390</t>
        </is>
      </c>
      <c r="N119" s="2" t="inlineStr">
        <is>
          <t>https://app.redstat.kz/niche/05390?event_date=2026-08-01</t>
        </is>
      </c>
      <c r="O119" s="2" t="inlineStr">
        <is>
          <t>https://kaspi.kz/shop/c/lotions/</t>
        </is>
      </c>
    </row>
    <row r="120">
      <c r="A120" s="2" t="n">
        <v>119</v>
      </c>
      <c r="B120" s="2" t="inlineStr">
        <is>
          <t>Сухие корма для собак</t>
        </is>
      </c>
      <c r="C120" s="2" t="inlineStr">
        <is>
          <t>Товары для животных</t>
        </is>
      </c>
      <c r="D120" s="2" t="inlineStr">
        <is>
          <t>Товары для животных → Для собак → Сухие корма для собак</t>
        </is>
      </c>
      <c r="E120" s="3" t="n">
        <v>302292642</v>
      </c>
      <c r="F120" s="3" t="n">
        <v>17481</v>
      </c>
      <c r="G120" s="3">
        <f>IFERROR(E120/F120,0)</f>
        <v/>
      </c>
      <c r="H120" s="3" t="n">
        <v>1340</v>
      </c>
      <c r="I120" s="2" t="n">
        <v>113</v>
      </c>
      <c r="J120" s="3">
        <f>IFERROR(E120/H120,0)</f>
        <v/>
      </c>
      <c r="K120" s="10">
        <f>E120/'По разделам'!$B$21</f>
        <v/>
      </c>
      <c r="L120" s="4">
        <f>L119+K120</f>
        <v/>
      </c>
      <c r="M120" s="2" t="inlineStr">
        <is>
          <t>04216</t>
        </is>
      </c>
      <c r="N120" s="2" t="inlineStr">
        <is>
          <t>https://app.redstat.kz/niche/04216?event_date=2026-08-01</t>
        </is>
      </c>
      <c r="O120" s="2" t="inlineStr">
        <is>
          <t>https://kaspi.kz/shop/c/dry%20dog%20food/</t>
        </is>
      </c>
    </row>
    <row r="121">
      <c r="A121" s="2" t="n">
        <v>120</v>
      </c>
      <c r="B121" s="2" t="inlineStr">
        <is>
          <t>Зарядные устройства</t>
        </is>
      </c>
      <c r="C121" s="2" t="inlineStr">
        <is>
          <t>Телефоны и гаджеты</t>
        </is>
      </c>
      <c r="D121" s="2" t="inlineStr">
        <is>
          <t>Телефоны и гаджеты → Аксессуары для телефонов → Зарядные устройства</t>
        </is>
      </c>
      <c r="E121" s="3" t="n">
        <v>301890595</v>
      </c>
      <c r="F121" s="3" t="n">
        <v>58934</v>
      </c>
      <c r="G121" s="3">
        <f>IFERROR(E121/F121,0)</f>
        <v/>
      </c>
      <c r="H121" s="3" t="n">
        <v>2683</v>
      </c>
      <c r="I121" s="2" t="n">
        <v>313</v>
      </c>
      <c r="J121" s="3">
        <f>IFERROR(E121/H121,0)</f>
        <v/>
      </c>
      <c r="K121" s="10">
        <f>E121/'По разделам'!$B$21</f>
        <v/>
      </c>
      <c r="L121" s="4">
        <f>L120+K121</f>
        <v/>
      </c>
      <c r="M121" s="2" t="inlineStr">
        <is>
          <t>02811</t>
        </is>
      </c>
      <c r="N121" s="2" t="inlineStr">
        <is>
          <t>https://app.redstat.kz/niche/02811?event_date=2026-08-01</t>
        </is>
      </c>
      <c r="O121" s="2" t="inlineStr">
        <is>
          <t>https://kaspi.kz/shop/c/wireless%20chargers/</t>
        </is>
      </c>
    </row>
    <row r="122">
      <c r="A122" s="2" t="n">
        <v>121</v>
      </c>
      <c r="B122" s="2" t="inlineStr">
        <is>
          <t>Товары для кормления</t>
        </is>
      </c>
      <c r="C122" s="2" t="inlineStr">
        <is>
          <t>Детские товары</t>
        </is>
      </c>
      <c r="D122" s="2" t="inlineStr">
        <is>
          <t>Детские товары → Для малыша и мамы → Товары для кормления → Товары для кормления</t>
        </is>
      </c>
      <c r="E122" s="3" t="n">
        <v>300117147</v>
      </c>
      <c r="F122" s="3" t="n">
        <v>49165</v>
      </c>
      <c r="G122" s="3">
        <f>IFERROR(E122/F122,0)</f>
        <v/>
      </c>
      <c r="H122" s="3" t="n">
        <v>3072</v>
      </c>
      <c r="I122" s="2" t="n">
        <v>309</v>
      </c>
      <c r="J122" s="3">
        <f>IFERROR(E122/H122,0)</f>
        <v/>
      </c>
      <c r="K122" s="10">
        <f>E122/'По разделам'!$B$21</f>
        <v/>
      </c>
      <c r="L122" s="4">
        <f>L121+K122</f>
        <v/>
      </c>
      <c r="M122" s="2" t="inlineStr">
        <is>
          <t>q903812c49e3f004</t>
        </is>
      </c>
      <c r="N122" s="2" t="inlineStr">
        <is>
          <t>https://app.redstat.kz/niche/q903812c49e3f004?event_date=2026-08-01</t>
        </is>
      </c>
      <c r="O122" s="2" t="inlineStr"/>
    </row>
    <row r="123">
      <c r="A123" s="2" t="n">
        <v>122</v>
      </c>
      <c r="B123" s="2" t="inlineStr">
        <is>
          <t>Электрочайники и термопоты</t>
        </is>
      </c>
      <c r="C123" s="2" t="inlineStr">
        <is>
          <t>Бытовая техника</t>
        </is>
      </c>
      <c r="D123" s="2" t="inlineStr">
        <is>
          <t>Бытовая техника → Мелкая техника для кухни → Электрочайники и термопоты</t>
        </is>
      </c>
      <c r="E123" s="3" t="n">
        <v>297837559</v>
      </c>
      <c r="F123" s="3" t="n">
        <v>31229</v>
      </c>
      <c r="G123" s="3">
        <f>IFERROR(E123/F123,0)</f>
        <v/>
      </c>
      <c r="H123" s="3" t="n">
        <v>1693</v>
      </c>
      <c r="I123" s="2" t="n">
        <v>276</v>
      </c>
      <c r="J123" s="3">
        <f>IFERROR(E123/H123,0)</f>
        <v/>
      </c>
      <c r="K123" s="10">
        <f>E123/'По разделам'!$B$21</f>
        <v/>
      </c>
      <c r="L123" s="4">
        <f>L122+K123</f>
        <v/>
      </c>
      <c r="M123" s="2" t="inlineStr">
        <is>
          <t>03498</t>
        </is>
      </c>
      <c r="N123" s="2" t="inlineStr">
        <is>
          <t>https://app.redstat.kz/niche/03498?event_date=2026-08-01</t>
        </is>
      </c>
      <c r="O123" s="2" t="inlineStr">
        <is>
          <t>https://kaspi.kz/shop/c/kettles/</t>
        </is>
      </c>
    </row>
    <row r="124">
      <c r="A124" s="2" t="n">
        <v>123</v>
      </c>
      <c r="B124" s="2" t="inlineStr">
        <is>
          <t>Мотоциклы</t>
        </is>
      </c>
      <c r="C124" s="2" t="inlineStr">
        <is>
          <t>Автотовары</t>
        </is>
      </c>
      <c r="D124" s="2" t="inlineStr">
        <is>
          <t>Автотовары → Мототехника → Мотоциклы</t>
        </is>
      </c>
      <c r="E124" s="3" t="n">
        <v>297428473</v>
      </c>
      <c r="F124" s="3" t="n">
        <v>400</v>
      </c>
      <c r="G124" s="3">
        <f>IFERROR(E124/F124,0)</f>
        <v/>
      </c>
      <c r="H124" s="3" t="n">
        <v>165</v>
      </c>
      <c r="I124" s="2" t="n">
        <v>48</v>
      </c>
      <c r="J124" s="3">
        <f>IFERROR(E124/H124,0)</f>
        <v/>
      </c>
      <c r="K124" s="10">
        <f>E124/'По разделам'!$B$21</f>
        <v/>
      </c>
      <c r="L124" s="4">
        <f>L123+K124</f>
        <v/>
      </c>
      <c r="M124" s="2" t="inlineStr">
        <is>
          <t>00889</t>
        </is>
      </c>
      <c r="N124" s="2" t="inlineStr">
        <is>
          <t>https://app.redstat.kz/niche/00889?event_date=2026-08-01</t>
        </is>
      </c>
      <c r="O124" s="2" t="inlineStr">
        <is>
          <t>https://kaspi.kz/shop/c/motorcycles/</t>
        </is>
      </c>
    </row>
    <row r="125">
      <c r="A125" s="2" t="n">
        <v>124</v>
      </c>
      <c r="B125" s="2" t="inlineStr">
        <is>
          <t>Влажные корма для кошек</t>
        </is>
      </c>
      <c r="C125" s="2" t="inlineStr">
        <is>
          <t>Товары для животных</t>
        </is>
      </c>
      <c r="D125" s="2" t="inlineStr">
        <is>
          <t>Товары для животных → Для кошек → Влажные корма для кошек</t>
        </is>
      </c>
      <c r="E125" s="3" t="n">
        <v>294706922</v>
      </c>
      <c r="F125" s="3" t="n">
        <v>96077</v>
      </c>
      <c r="G125" s="3">
        <f>IFERROR(E125/F125,0)</f>
        <v/>
      </c>
      <c r="H125" s="3" t="n">
        <v>2215</v>
      </c>
      <c r="I125" s="2" t="n">
        <v>103</v>
      </c>
      <c r="J125" s="3">
        <f>IFERROR(E125/H125,0)</f>
        <v/>
      </c>
      <c r="K125" s="10">
        <f>E125/'По разделам'!$B$21</f>
        <v/>
      </c>
      <c r="L125" s="4">
        <f>L124+K125</f>
        <v/>
      </c>
      <c r="M125" s="2" t="inlineStr">
        <is>
          <t>04221</t>
        </is>
      </c>
      <c r="N125" s="2" t="inlineStr">
        <is>
          <t>https://app.redstat.kz/niche/04221?event_date=2026-08-01</t>
        </is>
      </c>
      <c r="O125" s="2" t="inlineStr">
        <is>
          <t>https://kaspi.kz/shop/c/wet%20cat%20food/</t>
        </is>
      </c>
    </row>
    <row r="126">
      <c r="A126" s="2" t="n">
        <v>125</v>
      </c>
      <c r="B126" s="2" t="inlineStr">
        <is>
          <t>Фильтры для воды и комплектующие</t>
        </is>
      </c>
      <c r="C126" s="2" t="inlineStr">
        <is>
          <t>Строительство, ремонт</t>
        </is>
      </c>
      <c r="D126" s="2" t="inlineStr">
        <is>
          <t>Строительство, ремонт → Водоснабжение → Фильтры для воды и комплектующие → Фильтры для воды и комплектующие</t>
        </is>
      </c>
      <c r="E126" s="3" t="n">
        <v>288225197</v>
      </c>
      <c r="F126" s="3" t="n">
        <v>7990</v>
      </c>
      <c r="G126" s="3">
        <f>IFERROR(E126/F126,0)</f>
        <v/>
      </c>
      <c r="H126" s="3" t="n">
        <v>986</v>
      </c>
      <c r="I126" s="2" t="n">
        <v>141</v>
      </c>
      <c r="J126" s="3">
        <f>IFERROR(E126/H126,0)</f>
        <v/>
      </c>
      <c r="K126" s="10">
        <f>E126/'По разделам'!$B$21</f>
        <v/>
      </c>
      <c r="L126" s="4">
        <f>L125+K126</f>
        <v/>
      </c>
      <c r="M126" s="2" t="inlineStr">
        <is>
          <t>q9e9dfee57ddde5d</t>
        </is>
      </c>
      <c r="N126" s="2" t="inlineStr">
        <is>
          <t>https://app.redstat.kz/niche/q9e9dfee57ddde5d?event_date=2026-08-01</t>
        </is>
      </c>
      <c r="O126" s="2" t="inlineStr"/>
    </row>
    <row r="127">
      <c r="A127" s="2" t="n">
        <v>126</v>
      </c>
      <c r="B127" s="2" t="inlineStr">
        <is>
          <t>Наполнители туалета для животных</t>
        </is>
      </c>
      <c r="C127" s="2" t="inlineStr">
        <is>
          <t>Товары для животных</t>
        </is>
      </c>
      <c r="D127" s="2" t="inlineStr">
        <is>
          <t>Товары для животных → Гигиена и уход за животными → Наполнители туалета для животных</t>
        </is>
      </c>
      <c r="E127" s="3" t="n">
        <v>286572132</v>
      </c>
      <c r="F127" s="3" t="n">
        <v>48125</v>
      </c>
      <c r="G127" s="3">
        <f>IFERROR(E127/F127,0)</f>
        <v/>
      </c>
      <c r="H127" s="3" t="n">
        <v>1412</v>
      </c>
      <c r="I127" s="2" t="n">
        <v>142</v>
      </c>
      <c r="J127" s="3">
        <f>IFERROR(E127/H127,0)</f>
        <v/>
      </c>
      <c r="K127" s="10">
        <f>E127/'По разделам'!$B$21</f>
        <v/>
      </c>
      <c r="L127" s="4">
        <f>L126+K127</f>
        <v/>
      </c>
      <c r="M127" s="2" t="inlineStr">
        <is>
          <t>05870</t>
        </is>
      </c>
      <c r="N127" s="2" t="inlineStr">
        <is>
          <t>https://app.redstat.kz/niche/05870?event_date=2026-08-01</t>
        </is>
      </c>
      <c r="O127" s="2" t="inlineStr">
        <is>
          <t>https://kaspi.kz/shop/c/cat%20litter/</t>
        </is>
      </c>
    </row>
    <row r="128">
      <c r="A128" s="2" t="n">
        <v>127</v>
      </c>
      <c r="B128" s="2" t="inlineStr">
        <is>
          <t>Комоды</t>
        </is>
      </c>
      <c r="C128" s="2" t="inlineStr">
        <is>
          <t>Мебель</t>
        </is>
      </c>
      <c r="D128" s="2" t="inlineStr">
        <is>
          <t>Мебель → Спальня → Комоды</t>
        </is>
      </c>
      <c r="E128" s="3" t="n">
        <v>280204748</v>
      </c>
      <c r="F128" s="3" t="n">
        <v>7150</v>
      </c>
      <c r="G128" s="3">
        <f>IFERROR(E128/F128,0)</f>
        <v/>
      </c>
      <c r="H128" s="3" t="n">
        <v>818</v>
      </c>
      <c r="I128" s="2" t="n">
        <v>131</v>
      </c>
      <c r="J128" s="3">
        <f>IFERROR(E128/H128,0)</f>
        <v/>
      </c>
      <c r="K128" s="10">
        <f>E128/'По разделам'!$B$21</f>
        <v/>
      </c>
      <c r="L128" s="4">
        <f>L127+K128</f>
        <v/>
      </c>
      <c r="M128" s="2" t="inlineStr">
        <is>
          <t>00320</t>
        </is>
      </c>
      <c r="N128" s="2" t="inlineStr">
        <is>
          <t>https://app.redstat.kz/niche/00320?event_date=2026-08-01</t>
        </is>
      </c>
      <c r="O128" s="2" t="inlineStr">
        <is>
          <t>https://kaspi.kz/shop/c/bedroom%20dressers/</t>
        </is>
      </c>
    </row>
    <row r="129">
      <c r="A129" s="2" t="n">
        <v>128</v>
      </c>
      <c r="B129" s="2" t="inlineStr">
        <is>
          <t>Дезодоранты, антиперспиранты</t>
        </is>
      </c>
      <c r="C129" s="2" t="inlineStr">
        <is>
          <t>Красота и здоровье</t>
        </is>
      </c>
      <c r="D129" s="2" t="inlineStr">
        <is>
          <t>Красота и здоровье → Уход за телом → Дезодоранты, антиперспиранты</t>
        </is>
      </c>
      <c r="E129" s="3" t="n">
        <v>279889949</v>
      </c>
      <c r="F129" s="3" t="n">
        <v>69802</v>
      </c>
      <c r="G129" s="3">
        <f>IFERROR(E129/F129,0)</f>
        <v/>
      </c>
      <c r="H129" s="3" t="n">
        <v>1293</v>
      </c>
      <c r="I129" s="2" t="n">
        <v>249</v>
      </c>
      <c r="J129" s="3">
        <f>IFERROR(E129/H129,0)</f>
        <v/>
      </c>
      <c r="K129" s="10">
        <f>E129/'По разделам'!$B$21</f>
        <v/>
      </c>
      <c r="L129" s="4">
        <f>L128+K129</f>
        <v/>
      </c>
      <c r="M129" s="2" t="inlineStr">
        <is>
          <t>05001</t>
        </is>
      </c>
      <c r="N129" s="2" t="inlineStr">
        <is>
          <t>https://app.redstat.kz/niche/05001?event_date=2026-08-01</t>
        </is>
      </c>
      <c r="O129" s="2" t="inlineStr">
        <is>
          <t>https://kaspi.kz/shop/c/deodorants/</t>
        </is>
      </c>
    </row>
    <row r="130">
      <c r="A130" s="2" t="n">
        <v>129</v>
      </c>
      <c r="B130" s="2" t="inlineStr">
        <is>
          <t>Пикник, барбекю, гриль</t>
        </is>
      </c>
      <c r="C130" s="2" t="inlineStr">
        <is>
          <t>Товары для дома и дачи</t>
        </is>
      </c>
      <c r="D130" s="2" t="inlineStr">
        <is>
          <t>Товары для дома и дачи → Дача, сад и огород → Пикник, барбекю, гриль → Пикник, барбекю, гриль</t>
        </is>
      </c>
      <c r="E130" s="3" t="n">
        <v>277993361</v>
      </c>
      <c r="F130" s="3" t="n">
        <v>8189</v>
      </c>
      <c r="G130" s="3">
        <f>IFERROR(E130/F130,0)</f>
        <v/>
      </c>
      <c r="H130" s="3" t="n">
        <v>1225</v>
      </c>
      <c r="I130" s="2" t="n">
        <v>224</v>
      </c>
      <c r="J130" s="3">
        <f>IFERROR(E130/H130,0)</f>
        <v/>
      </c>
      <c r="K130" s="10">
        <f>E130/'По разделам'!$B$21</f>
        <v/>
      </c>
      <c r="L130" s="4">
        <f>L129+K130</f>
        <v/>
      </c>
      <c r="M130" s="2" t="inlineStr">
        <is>
          <t>qb40d072f88a9b58</t>
        </is>
      </c>
      <c r="N130" s="2" t="inlineStr">
        <is>
          <t>https://app.redstat.kz/niche/qb40d072f88a9b58?event_date=2026-08-01</t>
        </is>
      </c>
      <c r="O130" s="2" t="inlineStr"/>
    </row>
    <row r="131">
      <c r="A131" s="2" t="n">
        <v>130</v>
      </c>
      <c r="B131" s="2" t="inlineStr">
        <is>
          <t>Парогенераторы</t>
        </is>
      </c>
      <c r="C131" s="2" t="inlineStr">
        <is>
          <t>Бытовая техника</t>
        </is>
      </c>
      <c r="D131" s="2" t="inlineStr">
        <is>
          <t>Бытовая техника → Малая техника для дома → Парогенераторы</t>
        </is>
      </c>
      <c r="E131" s="3" t="n">
        <v>272947109</v>
      </c>
      <c r="F131" s="3" t="n">
        <v>2514</v>
      </c>
      <c r="G131" s="3">
        <f>IFERROR(E131/F131,0)</f>
        <v/>
      </c>
      <c r="H131" s="3" t="n">
        <v>180</v>
      </c>
      <c r="I131" s="2" t="n">
        <v>53</v>
      </c>
      <c r="J131" s="3">
        <f>IFERROR(E131/H131,0)</f>
        <v/>
      </c>
      <c r="K131" s="10">
        <f>E131/'По разделам'!$B$21</f>
        <v/>
      </c>
      <c r="L131" s="4">
        <f>L130+K131</f>
        <v/>
      </c>
      <c r="M131" s="2" t="inlineStr">
        <is>
          <t>00038</t>
        </is>
      </c>
      <c r="N131" s="2" t="inlineStr">
        <is>
          <t>https://app.redstat.kz/niche/00038?event_date=2026-08-01</t>
        </is>
      </c>
      <c r="O131" s="2" t="inlineStr">
        <is>
          <t>https://kaspi.kz/shop/c/steam%20generators/</t>
        </is>
      </c>
    </row>
    <row r="132">
      <c r="A132" s="2" t="n">
        <v>131</v>
      </c>
      <c r="B132" s="2" t="inlineStr">
        <is>
          <t>Кресла</t>
        </is>
      </c>
      <c r="C132" s="2" t="inlineStr">
        <is>
          <t>Мебель</t>
        </is>
      </c>
      <c r="D132" s="2" t="inlineStr">
        <is>
          <t>Мебель → Гостиная → Кресла</t>
        </is>
      </c>
      <c r="E132" s="3" t="n">
        <v>270811672</v>
      </c>
      <c r="F132" s="3" t="n">
        <v>4306</v>
      </c>
      <c r="G132" s="3">
        <f>IFERROR(E132/F132,0)</f>
        <v/>
      </c>
      <c r="H132" s="3" t="n">
        <v>941</v>
      </c>
      <c r="I132" s="2" t="n">
        <v>129</v>
      </c>
      <c r="J132" s="3">
        <f>IFERROR(E132/H132,0)</f>
        <v/>
      </c>
      <c r="K132" s="10">
        <f>E132/'По разделам'!$B$21</f>
        <v/>
      </c>
      <c r="L132" s="4">
        <f>L131+K132</f>
        <v/>
      </c>
      <c r="M132" s="2" t="inlineStr">
        <is>
          <t>05377</t>
        </is>
      </c>
      <c r="N132" s="2" t="inlineStr">
        <is>
          <t>https://app.redstat.kz/niche/05377?event_date=2026-08-01</t>
        </is>
      </c>
      <c r="O132" s="2" t="inlineStr">
        <is>
          <t>https://kaspi.kz/shop/c/armchairs/</t>
        </is>
      </c>
    </row>
    <row r="133">
      <c r="A133" s="2" t="n">
        <v>132</v>
      </c>
      <c r="B133" s="2" t="inlineStr">
        <is>
          <t>Тумбы для обуви и обувницы</t>
        </is>
      </c>
      <c r="C133" s="2" t="inlineStr">
        <is>
          <t>Мебель</t>
        </is>
      </c>
      <c r="D133" s="2" t="inlineStr">
        <is>
          <t>Мебель → Прихожая → Тумбы для обуви и обувницы</t>
        </is>
      </c>
      <c r="E133" s="3" t="n">
        <v>270030759</v>
      </c>
      <c r="F133" s="3" t="n">
        <v>15384</v>
      </c>
      <c r="G133" s="3">
        <f>IFERROR(E133/F133,0)</f>
        <v/>
      </c>
      <c r="H133" s="3" t="n">
        <v>1365</v>
      </c>
      <c r="I133" s="2" t="n">
        <v>189</v>
      </c>
      <c r="J133" s="3">
        <f>IFERROR(E133/H133,0)</f>
        <v/>
      </c>
      <c r="K133" s="10">
        <f>E133/'По разделам'!$B$21</f>
        <v/>
      </c>
      <c r="L133" s="4">
        <f>L132+K133</f>
        <v/>
      </c>
      <c r="M133" s="2" t="inlineStr">
        <is>
          <t>05348</t>
        </is>
      </c>
      <c r="N133" s="2" t="inlineStr">
        <is>
          <t>https://app.redstat.kz/niche/05348?event_date=2026-08-01</t>
        </is>
      </c>
      <c r="O133" s="2" t="inlineStr">
        <is>
          <t>https://kaspi.kz/shop/c/shoe%20cabinets/</t>
        </is>
      </c>
    </row>
    <row r="134">
      <c r="A134" s="2" t="n">
        <v>133</v>
      </c>
      <c r="B134" s="2" t="inlineStr">
        <is>
          <t>Системы видеонаблюдения</t>
        </is>
      </c>
      <c r="C134" s="2" t="inlineStr">
        <is>
          <t>Строительство, ремонт</t>
        </is>
      </c>
      <c r="D134" s="2" t="inlineStr">
        <is>
          <t>Строительство, ремонт → Системы безопасности → Системы видеонаблюдения → Системы видеонаблюдения</t>
        </is>
      </c>
      <c r="E134" s="3" t="n">
        <v>269936024</v>
      </c>
      <c r="F134" s="3" t="n">
        <v>9496</v>
      </c>
      <c r="G134" s="3">
        <f>IFERROR(E134/F134,0)</f>
        <v/>
      </c>
      <c r="H134" s="3" t="n">
        <v>1264</v>
      </c>
      <c r="I134" s="2" t="n">
        <v>140</v>
      </c>
      <c r="J134" s="3">
        <f>IFERROR(E134/H134,0)</f>
        <v/>
      </c>
      <c r="K134" s="10">
        <f>E134/'По разделам'!$B$21</f>
        <v/>
      </c>
      <c r="L134" s="4">
        <f>L133+K134</f>
        <v/>
      </c>
      <c r="M134" s="2" t="inlineStr">
        <is>
          <t>qaba78ef3a6c4292</t>
        </is>
      </c>
      <c r="N134" s="2" t="inlineStr">
        <is>
          <t>https://app.redstat.kz/niche/qaba78ef3a6c4292?event_date=2026-08-01</t>
        </is>
      </c>
      <c r="O134" s="2" t="inlineStr"/>
    </row>
    <row r="135">
      <c r="A135" s="2" t="n">
        <v>134</v>
      </c>
      <c r="B135" s="2" t="inlineStr">
        <is>
          <t>Колье ювелирные</t>
        </is>
      </c>
      <c r="C135" s="2" t="inlineStr">
        <is>
          <t>Украшения</t>
        </is>
      </c>
      <c r="D135" s="2" t="inlineStr">
        <is>
          <t>Украшения → Колье → Колье ювелирные</t>
        </is>
      </c>
      <c r="E135" s="3" t="n">
        <v>266823191</v>
      </c>
      <c r="F135" s="3" t="n">
        <v>5257</v>
      </c>
      <c r="G135" s="3">
        <f>IFERROR(E135/F135,0)</f>
        <v/>
      </c>
      <c r="H135" s="3" t="n">
        <v>1216</v>
      </c>
      <c r="I135" s="2" t="n">
        <v>282</v>
      </c>
      <c r="J135" s="3">
        <f>IFERROR(E135/H135,0)</f>
        <v/>
      </c>
      <c r="K135" s="10">
        <f>E135/'По разделам'!$B$21</f>
        <v/>
      </c>
      <c r="L135" s="4">
        <f>L134+K135</f>
        <v/>
      </c>
      <c r="M135" s="2" t="inlineStr">
        <is>
          <t>00849</t>
        </is>
      </c>
      <c r="N135" s="2" t="inlineStr">
        <is>
          <t>https://app.redstat.kz/niche/00849?event_date=2026-08-01</t>
        </is>
      </c>
      <c r="O135" s="2" t="inlineStr">
        <is>
          <t>https://kaspi.kz/shop/c/collars/</t>
        </is>
      </c>
    </row>
    <row r="136">
      <c r="A136" s="2" t="n">
        <v>135</v>
      </c>
      <c r="B136" s="2" t="inlineStr">
        <is>
          <t>Электровелосипеды</t>
        </is>
      </c>
      <c r="C136" s="2" t="inlineStr">
        <is>
          <t>Спорт, туризм</t>
        </is>
      </c>
      <c r="D136" s="2" t="inlineStr">
        <is>
          <t>Спорт, туризм → Велоспорт → Электровелосипеды</t>
        </is>
      </c>
      <c r="E136" s="3" t="n">
        <v>262075232</v>
      </c>
      <c r="F136" s="3" t="n">
        <v>2479</v>
      </c>
      <c r="G136" s="3">
        <f>IFERROR(E136/F136,0)</f>
        <v/>
      </c>
      <c r="H136" s="3" t="n">
        <v>328</v>
      </c>
      <c r="I136" s="2" t="n">
        <v>56</v>
      </c>
      <c r="J136" s="3">
        <f>IFERROR(E136/H136,0)</f>
        <v/>
      </c>
      <c r="K136" s="10">
        <f>E136/'По разделам'!$B$21</f>
        <v/>
      </c>
      <c r="L136" s="4">
        <f>L135+K136</f>
        <v/>
      </c>
      <c r="M136" s="2" t="inlineStr">
        <is>
          <t>01076</t>
        </is>
      </c>
      <c r="N136" s="2" t="inlineStr">
        <is>
          <t>https://app.redstat.kz/niche/01076?event_date=2026-08-01</t>
        </is>
      </c>
      <c r="O136" s="2" t="inlineStr">
        <is>
          <t>https://kaspi.kz/shop/c/electric%20bicycles/</t>
        </is>
      </c>
    </row>
    <row r="137">
      <c r="A137" s="2" t="n">
        <v>136</v>
      </c>
      <c r="B137" s="2" t="inlineStr">
        <is>
          <t>Женские футболки и лонгсливы</t>
        </is>
      </c>
      <c r="C137" s="2" t="inlineStr">
        <is>
          <t>Одежда</t>
        </is>
      </c>
      <c r="D137" s="2" t="inlineStr">
        <is>
          <t>Одежда → Женщинам → Женские футболки и лонгсливы</t>
        </is>
      </c>
      <c r="E137" s="3" t="n">
        <v>258756035</v>
      </c>
      <c r="F137" s="3" t="n">
        <v>95200</v>
      </c>
      <c r="G137" s="3">
        <f>IFERROR(E137/F137,0)</f>
        <v/>
      </c>
      <c r="H137" s="3" t="n">
        <v>7951</v>
      </c>
      <c r="I137" s="2" t="n">
        <v>424</v>
      </c>
      <c r="J137" s="3">
        <f>IFERROR(E137/H137,0)</f>
        <v/>
      </c>
      <c r="K137" s="10">
        <f>E137/'По разделам'!$B$21</f>
        <v/>
      </c>
      <c r="L137" s="4">
        <f>L136+K137</f>
        <v/>
      </c>
      <c r="M137" s="2" t="inlineStr">
        <is>
          <t>04409</t>
        </is>
      </c>
      <c r="N137" s="2" t="inlineStr">
        <is>
          <t>https://app.redstat.kz/niche/04409?event_date=2026-08-01</t>
        </is>
      </c>
      <c r="O137" s="2" t="inlineStr">
        <is>
          <t>https://kaspi.kz/shop/c/women%20t-shirts/</t>
        </is>
      </c>
    </row>
    <row r="138">
      <c r="A138" s="2" t="n">
        <v>137</v>
      </c>
      <c r="B138" s="2" t="inlineStr">
        <is>
          <t>Автоэлектрика</t>
        </is>
      </c>
      <c r="C138" s="2" t="inlineStr">
        <is>
          <t>Автотовары</t>
        </is>
      </c>
      <c r="D138" s="2" t="inlineStr">
        <is>
          <t>Автотовары → Автозапчасти → Автоэлектрика → Автоэлектрика</t>
        </is>
      </c>
      <c r="E138" s="3" t="n">
        <v>256840204</v>
      </c>
      <c r="F138" s="3" t="n">
        <v>12159</v>
      </c>
      <c r="G138" s="3">
        <f>IFERROR(E138/F138,0)</f>
        <v/>
      </c>
      <c r="H138" s="3" t="n">
        <v>4071</v>
      </c>
      <c r="I138" s="2" t="n">
        <v>526</v>
      </c>
      <c r="J138" s="3">
        <f>IFERROR(E138/H138,0)</f>
        <v/>
      </c>
      <c r="K138" s="10">
        <f>E138/'По разделам'!$B$21</f>
        <v/>
      </c>
      <c r="L138" s="4">
        <f>L137+K138</f>
        <v/>
      </c>
      <c r="M138" s="2" t="inlineStr">
        <is>
          <t>q61dd22e7c6f1bcb</t>
        </is>
      </c>
      <c r="N138" s="2" t="inlineStr">
        <is>
          <t>https://app.redstat.kz/niche/q61dd22e7c6f1bcb?event_date=2026-08-01</t>
        </is>
      </c>
      <c r="O138" s="2" t="inlineStr"/>
    </row>
    <row r="139">
      <c r="A139" s="2" t="n">
        <v>138</v>
      </c>
      <c r="B139" s="2" t="inlineStr">
        <is>
          <t>Электрические массажеры</t>
        </is>
      </c>
      <c r="C139" s="2" t="inlineStr">
        <is>
          <t>Красота и здоровье</t>
        </is>
      </c>
      <c r="D139" s="2" t="inlineStr">
        <is>
          <t>Красота и здоровье → Массажеры, массажные кресла, миостимуляторы → Электрические массажеры</t>
        </is>
      </c>
      <c r="E139" s="3" t="n">
        <v>250091452</v>
      </c>
      <c r="F139" s="3" t="n">
        <v>25054</v>
      </c>
      <c r="G139" s="3">
        <f>IFERROR(E139/F139,0)</f>
        <v/>
      </c>
      <c r="H139" s="3" t="n">
        <v>1156</v>
      </c>
      <c r="I139" s="2" t="n">
        <v>337</v>
      </c>
      <c r="J139" s="3">
        <f>IFERROR(E139/H139,0)</f>
        <v/>
      </c>
      <c r="K139" s="10">
        <f>E139/'По разделам'!$B$21</f>
        <v/>
      </c>
      <c r="L139" s="4">
        <f>L138+K139</f>
        <v/>
      </c>
      <c r="M139" s="2" t="inlineStr">
        <is>
          <t>05893</t>
        </is>
      </c>
      <c r="N139" s="2" t="inlineStr">
        <is>
          <t>https://app.redstat.kz/niche/05893?event_date=2026-08-01</t>
        </is>
      </c>
      <c r="O139" s="2" t="inlineStr">
        <is>
          <t>https://kaspi.kz/shop/c/massage%20mats%20and%20pillows/</t>
        </is>
      </c>
    </row>
    <row r="140">
      <c r="A140" s="2" t="n">
        <v>139</v>
      </c>
      <c r="B140" s="2" t="inlineStr">
        <is>
          <t>Машинки для стрижки волос</t>
        </is>
      </c>
      <c r="C140" s="2" t="inlineStr">
        <is>
          <t>Красота и здоровье</t>
        </is>
      </c>
      <c r="D140" s="2" t="inlineStr">
        <is>
          <t>Красота и здоровье → Техника и оборудование для красоты → Машинки для стрижки волос</t>
        </is>
      </c>
      <c r="E140" s="3" t="n">
        <v>247854532</v>
      </c>
      <c r="F140" s="3" t="n">
        <v>22926</v>
      </c>
      <c r="G140" s="3">
        <f>IFERROR(E140/F140,0)</f>
        <v/>
      </c>
      <c r="H140" s="3" t="n">
        <v>1470</v>
      </c>
      <c r="I140" s="2" t="n">
        <v>262</v>
      </c>
      <c r="J140" s="3">
        <f>IFERROR(E140/H140,0)</f>
        <v/>
      </c>
      <c r="K140" s="10">
        <f>E140/'По разделам'!$B$21</f>
        <v/>
      </c>
      <c r="L140" s="4">
        <f>L139+K140</f>
        <v/>
      </c>
      <c r="M140" s="2" t="inlineStr">
        <is>
          <t>00730</t>
        </is>
      </c>
      <c r="N140" s="2" t="inlineStr">
        <is>
          <t>https://app.redstat.kz/niche/00730?event_date=2026-08-01</t>
        </is>
      </c>
      <c r="O140" s="2" t="inlineStr">
        <is>
          <t>https://kaspi.kz/shop/c/hair%20clippers/</t>
        </is>
      </c>
    </row>
    <row r="141">
      <c r="A141" s="2" t="n">
        <v>140</v>
      </c>
      <c r="B141" s="2" t="inlineStr">
        <is>
          <t>3D-принтеры</t>
        </is>
      </c>
      <c r="C141" s="2" t="inlineStr">
        <is>
          <t>Компьютеры</t>
        </is>
      </c>
      <c r="D141" s="2" t="inlineStr">
        <is>
          <t>Компьютеры → Оргтехника и расходные материалы → 3D-принтеры</t>
        </is>
      </c>
      <c r="E141" s="3" t="n">
        <v>247181062</v>
      </c>
      <c r="F141" s="3" t="n">
        <v>781</v>
      </c>
      <c r="G141" s="3">
        <f>IFERROR(E141/F141,0)</f>
        <v/>
      </c>
      <c r="H141" s="3" t="n">
        <v>81</v>
      </c>
      <c r="I141" s="2" t="n">
        <v>10</v>
      </c>
      <c r="J141" s="3">
        <f>IFERROR(E141/H141,0)</f>
        <v/>
      </c>
      <c r="K141" s="10">
        <f>E141/'По разделам'!$B$21</f>
        <v/>
      </c>
      <c r="L141" s="4">
        <f>L140+K141</f>
        <v/>
      </c>
      <c r="M141" s="2" t="inlineStr">
        <is>
          <t>02938</t>
        </is>
      </c>
      <c r="N141" s="2" t="inlineStr">
        <is>
          <t>https://app.redstat.kz/niche/02938?event_date=2026-08-01</t>
        </is>
      </c>
      <c r="O141" s="2" t="inlineStr">
        <is>
          <t>https://kaspi.kz/shop/c/3d%20printers/</t>
        </is>
      </c>
    </row>
    <row r="142">
      <c r="A142" s="2" t="n">
        <v>141</v>
      </c>
      <c r="B142" s="2" t="inlineStr">
        <is>
          <t>Мыши</t>
        </is>
      </c>
      <c r="C142" s="2" t="inlineStr">
        <is>
          <t>Компьютеры</t>
        </is>
      </c>
      <c r="D142" s="2" t="inlineStr">
        <is>
          <t>Компьютеры → Периферия → Мыши</t>
        </is>
      </c>
      <c r="E142" s="3" t="n">
        <v>246790367</v>
      </c>
      <c r="F142" s="3" t="n">
        <v>21938</v>
      </c>
      <c r="G142" s="3">
        <f>IFERROR(E142/F142,0)</f>
        <v/>
      </c>
      <c r="H142" s="3" t="n">
        <v>1711</v>
      </c>
      <c r="I142" s="2" t="n">
        <v>207</v>
      </c>
      <c r="J142" s="3">
        <f>IFERROR(E142/H142,0)</f>
        <v/>
      </c>
      <c r="K142" s="10">
        <f>E142/'По разделам'!$B$21</f>
        <v/>
      </c>
      <c r="L142" s="4">
        <f>L141+K142</f>
        <v/>
      </c>
      <c r="M142" s="2" t="inlineStr">
        <is>
          <t>00111</t>
        </is>
      </c>
      <c r="N142" s="2" t="inlineStr">
        <is>
          <t>https://app.redstat.kz/niche/00111?event_date=2026-08-01</t>
        </is>
      </c>
      <c r="O142" s="2" t="inlineStr">
        <is>
          <t>https://kaspi.kz/shop/c/mice/</t>
        </is>
      </c>
    </row>
    <row r="143">
      <c r="A143" s="2" t="n">
        <v>142</v>
      </c>
      <c r="B143" s="2" t="inlineStr">
        <is>
          <t>Вентиляторы</t>
        </is>
      </c>
      <c r="C143" s="2" t="inlineStr">
        <is>
          <t>Бытовая техника</t>
        </is>
      </c>
      <c r="D143" s="2" t="inlineStr">
        <is>
          <t>Бытовая техника → Климатическая техника → Вентиляторы</t>
        </is>
      </c>
      <c r="E143" s="3" t="n">
        <v>245249505</v>
      </c>
      <c r="F143" s="3" t="n">
        <v>25248</v>
      </c>
      <c r="G143" s="3">
        <f>IFERROR(E143/F143,0)</f>
        <v/>
      </c>
      <c r="H143" s="3" t="n">
        <v>1488</v>
      </c>
      <c r="I143" s="2" t="n">
        <v>315</v>
      </c>
      <c r="J143" s="3">
        <f>IFERROR(E143/H143,0)</f>
        <v/>
      </c>
      <c r="K143" s="10">
        <f>E143/'По разделам'!$B$21</f>
        <v/>
      </c>
      <c r="L143" s="4">
        <f>L142+K143</f>
        <v/>
      </c>
      <c r="M143" s="2" t="inlineStr">
        <is>
          <t>00104</t>
        </is>
      </c>
      <c r="N143" s="2" t="inlineStr">
        <is>
          <t>https://app.redstat.kz/niche/00104?event_date=2026-08-01</t>
        </is>
      </c>
      <c r="O143" s="2" t="inlineStr">
        <is>
          <t>https://kaspi.kz/shop/c/fans/</t>
        </is>
      </c>
    </row>
    <row r="144">
      <c r="A144" s="2" t="n">
        <v>143</v>
      </c>
      <c r="B144" s="2" t="inlineStr">
        <is>
          <t>Внешние аккумуляторы</t>
        </is>
      </c>
      <c r="C144" s="2" t="inlineStr">
        <is>
          <t>Телефоны и гаджеты</t>
        </is>
      </c>
      <c r="D144" s="2" t="inlineStr">
        <is>
          <t>Телефоны и гаджеты → Аксессуары для телефонов → Внешние аккумуляторы</t>
        </is>
      </c>
      <c r="E144" s="3" t="n">
        <v>244585651</v>
      </c>
      <c r="F144" s="3" t="n">
        <v>26628</v>
      </c>
      <c r="G144" s="3">
        <f>IFERROR(E144/F144,0)</f>
        <v/>
      </c>
      <c r="H144" s="3" t="n">
        <v>1323</v>
      </c>
      <c r="I144" s="2" t="n">
        <v>210</v>
      </c>
      <c r="J144" s="3">
        <f>IFERROR(E144/H144,0)</f>
        <v/>
      </c>
      <c r="K144" s="10">
        <f>E144/'По разделам'!$B$21</f>
        <v/>
      </c>
      <c r="L144" s="4">
        <f>L143+K144</f>
        <v/>
      </c>
      <c r="M144" s="2" t="inlineStr">
        <is>
          <t>00587</t>
        </is>
      </c>
      <c r="N144" s="2" t="inlineStr">
        <is>
          <t>https://app.redstat.kz/niche/00587?event_date=2026-08-01</t>
        </is>
      </c>
      <c r="O144" s="2" t="inlineStr">
        <is>
          <t>https://kaspi.kz/shop/c/power%20banks/</t>
        </is>
      </c>
    </row>
    <row r="145">
      <c r="A145" s="2" t="n">
        <v>144</v>
      </c>
      <c r="B145" s="2" t="inlineStr">
        <is>
          <t>Видеокарты</t>
        </is>
      </c>
      <c r="C145" s="2" t="inlineStr">
        <is>
          <t>Компьютеры</t>
        </is>
      </c>
      <c r="D145" s="2" t="inlineStr">
        <is>
          <t>Компьютеры → Комплектующие → Видеокарты</t>
        </is>
      </c>
      <c r="E145" s="3" t="n">
        <v>244355819</v>
      </c>
      <c r="F145" s="3" t="n">
        <v>696</v>
      </c>
      <c r="G145" s="3">
        <f>IFERROR(E145/F145,0)</f>
        <v/>
      </c>
      <c r="H145" s="3" t="n">
        <v>219</v>
      </c>
      <c r="I145" s="2" t="n">
        <v>19</v>
      </c>
      <c r="J145" s="3">
        <f>IFERROR(E145/H145,0)</f>
        <v/>
      </c>
      <c r="K145" s="10">
        <f>E145/'По разделам'!$B$21</f>
        <v/>
      </c>
      <c r="L145" s="4">
        <f>L144+K145</f>
        <v/>
      </c>
      <c r="M145" s="2" t="inlineStr">
        <is>
          <t>00067</t>
        </is>
      </c>
      <c r="N145" s="2" t="inlineStr">
        <is>
          <t>https://app.redstat.kz/niche/00067?event_date=2026-08-01</t>
        </is>
      </c>
      <c r="O145" s="2" t="inlineStr">
        <is>
          <t>https://kaspi.kz/shop/c/videocards/</t>
        </is>
      </c>
    </row>
    <row r="146">
      <c r="A146" s="2" t="n">
        <v>145</v>
      </c>
      <c r="B146" s="2" t="inlineStr">
        <is>
          <t>Бумажная продукция для дома</t>
        </is>
      </c>
      <c r="C146" s="2" t="inlineStr">
        <is>
          <t>Товары для дома и дачи</t>
        </is>
      </c>
      <c r="D146" s="2" t="inlineStr">
        <is>
          <t>Товары для дома и дачи → Хозяйственные товары → Бумажная продукция для дома → Бумажная продукция для дома</t>
        </is>
      </c>
      <c r="E146" s="3" t="n">
        <v>240373404</v>
      </c>
      <c r="F146" s="3" t="n">
        <v>184314</v>
      </c>
      <c r="G146" s="3">
        <f>IFERROR(E146/F146,0)</f>
        <v/>
      </c>
      <c r="H146" s="3" t="n">
        <v>2728</v>
      </c>
      <c r="I146" s="2" t="n">
        <v>414</v>
      </c>
      <c r="J146" s="3">
        <f>IFERROR(E146/H146,0)</f>
        <v/>
      </c>
      <c r="K146" s="10">
        <f>E146/'По разделам'!$B$21</f>
        <v/>
      </c>
      <c r="L146" s="4">
        <f>L145+K146</f>
        <v/>
      </c>
      <c r="M146" s="2" t="inlineStr">
        <is>
          <t>qbce821191598447</t>
        </is>
      </c>
      <c r="N146" s="2" t="inlineStr">
        <is>
          <t>https://app.redstat.kz/niche/qbce821191598447?event_date=2026-08-01</t>
        </is>
      </c>
      <c r="O146" s="2" t="inlineStr"/>
    </row>
    <row r="147">
      <c r="A147" s="2" t="n">
        <v>146</v>
      </c>
      <c r="B147" s="2" t="inlineStr">
        <is>
          <t>Вешалки в прихожую</t>
        </is>
      </c>
      <c r="C147" s="2" t="inlineStr">
        <is>
          <t>Мебель</t>
        </is>
      </c>
      <c r="D147" s="2" t="inlineStr">
        <is>
          <t>Мебель → Прихожая → Вешалки в прихожую</t>
        </is>
      </c>
      <c r="E147" s="3" t="n">
        <v>235833991</v>
      </c>
      <c r="F147" s="3" t="n">
        <v>25112</v>
      </c>
      <c r="G147" s="3">
        <f>IFERROR(E147/F147,0)</f>
        <v/>
      </c>
      <c r="H147" s="3" t="n">
        <v>1162</v>
      </c>
      <c r="I147" s="2" t="n">
        <v>158</v>
      </c>
      <c r="J147" s="3">
        <f>IFERROR(E147/H147,0)</f>
        <v/>
      </c>
      <c r="K147" s="10">
        <f>E147/'По разделам'!$B$21</f>
        <v/>
      </c>
      <c r="L147" s="4">
        <f>L146+K147</f>
        <v/>
      </c>
      <c r="M147" s="2" t="inlineStr">
        <is>
          <t>00984</t>
        </is>
      </c>
      <c r="N147" s="2" t="inlineStr">
        <is>
          <t>https://app.redstat.kz/niche/00984?event_date=2026-08-01</t>
        </is>
      </c>
      <c r="O147" s="2" t="inlineStr">
        <is>
          <t>https://kaspi.kz/shop/c/entrance%20hanging%20shelves/</t>
        </is>
      </c>
    </row>
    <row r="148">
      <c r="A148" s="2" t="n">
        <v>147</v>
      </c>
      <c r="B148" s="2" t="inlineStr">
        <is>
          <t>Смарт-очки</t>
        </is>
      </c>
      <c r="C148" s="2" t="inlineStr">
        <is>
          <t>Телефоны и гаджеты</t>
        </is>
      </c>
      <c r="D148" s="2" t="inlineStr">
        <is>
          <t>Телефоны и гаджеты → Смарт-очки</t>
        </is>
      </c>
      <c r="E148" s="3" t="n">
        <v>228311082</v>
      </c>
      <c r="F148" s="3" t="n">
        <v>2302</v>
      </c>
      <c r="G148" s="3">
        <f>IFERROR(E148/F148,0)</f>
        <v/>
      </c>
      <c r="H148" s="3" t="n">
        <v>208</v>
      </c>
      <c r="I148" s="2" t="n">
        <v>34</v>
      </c>
      <c r="J148" s="3">
        <f>IFERROR(E148/H148,0)</f>
        <v/>
      </c>
      <c r="K148" s="10">
        <f>E148/'По разделам'!$B$21</f>
        <v/>
      </c>
      <c r="L148" s="4">
        <f>L147+K148</f>
        <v/>
      </c>
      <c r="M148" s="2" t="inlineStr">
        <is>
          <t>09165</t>
        </is>
      </c>
      <c r="N148" s="2" t="inlineStr">
        <is>
          <t>https://app.redstat.kz/niche/09165?event_date=2026-08-01</t>
        </is>
      </c>
      <c r="O148" s="2" t="inlineStr">
        <is>
          <t>https://kaspi.kz/shop/c/smart%20glasses/</t>
        </is>
      </c>
    </row>
    <row r="149">
      <c r="A149" s="2" t="n">
        <v>148</v>
      </c>
      <c r="B149" s="2" t="inlineStr">
        <is>
          <t>Креатин</t>
        </is>
      </c>
      <c r="C149" s="2" t="inlineStr">
        <is>
          <t>Спорт, туризм</t>
        </is>
      </c>
      <c r="D149" s="2" t="inlineStr">
        <is>
          <t>Спорт, туризм → Спортивное питание → Креатин</t>
        </is>
      </c>
      <c r="E149" s="3" t="n">
        <v>227019906</v>
      </c>
      <c r="F149" s="3" t="n">
        <v>24574</v>
      </c>
      <c r="G149" s="3">
        <f>IFERROR(E149/F149,0)</f>
        <v/>
      </c>
      <c r="H149" s="3" t="n">
        <v>596</v>
      </c>
      <c r="I149" s="2" t="n">
        <v>131</v>
      </c>
      <c r="J149" s="3">
        <f>IFERROR(E149/H149,0)</f>
        <v/>
      </c>
      <c r="K149" s="10">
        <f>E149/'По разделам'!$B$21</f>
        <v/>
      </c>
      <c r="L149" s="4">
        <f>L148+K149</f>
        <v/>
      </c>
      <c r="M149" s="2" t="inlineStr">
        <is>
          <t>00857</t>
        </is>
      </c>
      <c r="N149" s="2" t="inlineStr">
        <is>
          <t>https://app.redstat.kz/niche/00857?event_date=2026-08-01</t>
        </is>
      </c>
      <c r="O149" s="2" t="inlineStr">
        <is>
          <t>https://kaspi.kz/shop/c/creatine/</t>
        </is>
      </c>
    </row>
    <row r="150">
      <c r="A150" s="2" t="n">
        <v>149</v>
      </c>
      <c r="B150" s="2" t="inlineStr">
        <is>
          <t>Шкафы для прихожей и комплекты</t>
        </is>
      </c>
      <c r="C150" s="2" t="inlineStr">
        <is>
          <t>Мебель</t>
        </is>
      </c>
      <c r="D150" s="2" t="inlineStr">
        <is>
          <t>Мебель → Прихожая → Шкафы для прихожей и комплекты</t>
        </is>
      </c>
      <c r="E150" s="3" t="n">
        <v>224553335</v>
      </c>
      <c r="F150" s="3" t="n">
        <v>2750</v>
      </c>
      <c r="G150" s="3">
        <f>IFERROR(E150/F150,0)</f>
        <v/>
      </c>
      <c r="H150" s="3" t="n">
        <v>353</v>
      </c>
      <c r="I150" s="2" t="n">
        <v>71</v>
      </c>
      <c r="J150" s="3">
        <f>IFERROR(E150/H150,0)</f>
        <v/>
      </c>
      <c r="K150" s="10">
        <f>E150/'По разделам'!$B$21</f>
        <v/>
      </c>
      <c r="L150" s="4">
        <f>L149+K150</f>
        <v/>
      </c>
      <c r="M150" s="2" t="inlineStr">
        <is>
          <t>01002</t>
        </is>
      </c>
      <c r="N150" s="2" t="inlineStr">
        <is>
          <t>https://app.redstat.kz/niche/01002?event_date=2026-08-01</t>
        </is>
      </c>
      <c r="O150" s="2" t="inlineStr">
        <is>
          <t>https://kaspi.kz/shop/c/hallway%20furniture%20sets/</t>
        </is>
      </c>
    </row>
    <row r="151">
      <c r="A151" s="2" t="n">
        <v>150</v>
      </c>
      <c r="B151" s="2" t="inlineStr">
        <is>
          <t>Пароочистители</t>
        </is>
      </c>
      <c r="C151" s="2" t="inlineStr">
        <is>
          <t>Бытовая техника</t>
        </is>
      </c>
      <c r="D151" s="2" t="inlineStr">
        <is>
          <t>Бытовая техника → Малая техника для дома → Пароочистители</t>
        </is>
      </c>
      <c r="E151" s="3" t="n">
        <v>224154367</v>
      </c>
      <c r="F151" s="3" t="n">
        <v>20066</v>
      </c>
      <c r="G151" s="3">
        <f>IFERROR(E151/F151,0)</f>
        <v/>
      </c>
      <c r="H151" s="3" t="n">
        <v>371</v>
      </c>
      <c r="I151" s="2" t="n">
        <v>162</v>
      </c>
      <c r="J151" s="3">
        <f>IFERROR(E151/H151,0)</f>
        <v/>
      </c>
      <c r="K151" s="10">
        <f>E151/'По разделам'!$B$21</f>
        <v/>
      </c>
      <c r="L151" s="4">
        <f>L150+K151</f>
        <v/>
      </c>
      <c r="M151" s="2" t="inlineStr">
        <is>
          <t>03283</t>
        </is>
      </c>
      <c r="N151" s="2" t="inlineStr">
        <is>
          <t>https://app.redstat.kz/niche/03283?event_date=2026-08-01</t>
        </is>
      </c>
      <c r="O151" s="2" t="inlineStr">
        <is>
          <t>https://kaspi.kz/shop/c/steam%20cleaners/</t>
        </is>
      </c>
    </row>
    <row r="152">
      <c r="A152" s="2" t="n">
        <v>151</v>
      </c>
      <c r="B152" s="2" t="inlineStr">
        <is>
          <t>Сварочное оборудование</t>
        </is>
      </c>
      <c r="C152" s="2" t="inlineStr">
        <is>
          <t>Строительство, ремонт</t>
        </is>
      </c>
      <c r="D152" s="2" t="inlineStr">
        <is>
          <t>Строительство, ремонт → Инструменты → Сварочное оборудование → Сварочное оборудование</t>
        </is>
      </c>
      <c r="E152" s="3" t="n">
        <v>224103823</v>
      </c>
      <c r="F152" s="3" t="n">
        <v>5629</v>
      </c>
      <c r="G152" s="3">
        <f>IFERROR(E152/F152,0)</f>
        <v/>
      </c>
      <c r="H152" s="3" t="n">
        <v>908</v>
      </c>
      <c r="I152" s="2" t="n">
        <v>215</v>
      </c>
      <c r="J152" s="3">
        <f>IFERROR(E152/H152,0)</f>
        <v/>
      </c>
      <c r="K152" s="10">
        <f>E152/'По разделам'!$B$21</f>
        <v/>
      </c>
      <c r="L152" s="4">
        <f>L151+K152</f>
        <v/>
      </c>
      <c r="M152" s="2" t="inlineStr">
        <is>
          <t>q93335faa54a7683</t>
        </is>
      </c>
      <c r="N152" s="2" t="inlineStr">
        <is>
          <t>https://app.redstat.kz/niche/q93335faa54a7683?event_date=2026-08-01</t>
        </is>
      </c>
      <c r="O152" s="2" t="inlineStr"/>
    </row>
    <row r="153">
      <c r="A153" s="2" t="n">
        <v>152</v>
      </c>
      <c r="B153" s="2" t="inlineStr">
        <is>
          <t>Туалетные столики</t>
        </is>
      </c>
      <c r="C153" s="2" t="inlineStr">
        <is>
          <t>Мебель</t>
        </is>
      </c>
      <c r="D153" s="2" t="inlineStr">
        <is>
          <t>Мебель → Спальня → Туалетные столики</t>
        </is>
      </c>
      <c r="E153" s="3" t="n">
        <v>222683693</v>
      </c>
      <c r="F153" s="3" t="n">
        <v>4564</v>
      </c>
      <c r="G153" s="3">
        <f>IFERROR(E153/F153,0)</f>
        <v/>
      </c>
      <c r="H153" s="3" t="n">
        <v>392</v>
      </c>
      <c r="I153" s="2" t="n">
        <v>73</v>
      </c>
      <c r="J153" s="3">
        <f>IFERROR(E153/H153,0)</f>
        <v/>
      </c>
      <c r="K153" s="10">
        <f>E153/'По разделам'!$B$21</f>
        <v/>
      </c>
      <c r="L153" s="4">
        <f>L152+K153</f>
        <v/>
      </c>
      <c r="M153" s="2" t="inlineStr">
        <is>
          <t>00926</t>
        </is>
      </c>
      <c r="N153" s="2" t="inlineStr">
        <is>
          <t>https://app.redstat.kz/niche/00926?event_date=2026-08-01</t>
        </is>
      </c>
      <c r="O153" s="2" t="inlineStr">
        <is>
          <t>https://kaspi.kz/shop/c/dressing%20tables/</t>
        </is>
      </c>
    </row>
    <row r="154">
      <c r="A154" s="2" t="n">
        <v>153</v>
      </c>
      <c r="B154" s="2" t="inlineStr">
        <is>
          <t>Радиаторы и конвекторы</t>
        </is>
      </c>
      <c r="C154" s="2" t="inlineStr">
        <is>
          <t>Строительство, ремонт</t>
        </is>
      </c>
      <c r="D154" s="2" t="inlineStr">
        <is>
          <t>Строительство, ремонт → Системы отопления → Радиаторы и конвекторы → Радиаторы и конвекторы</t>
        </is>
      </c>
      <c r="E154" s="3" t="n">
        <v>221530009</v>
      </c>
      <c r="F154" s="3" t="n">
        <v>4087</v>
      </c>
      <c r="G154" s="3">
        <f>IFERROR(E154/F154,0)</f>
        <v/>
      </c>
      <c r="H154" s="3" t="n">
        <v>694</v>
      </c>
      <c r="I154" s="2" t="n">
        <v>91</v>
      </c>
      <c r="J154" s="3">
        <f>IFERROR(E154/H154,0)</f>
        <v/>
      </c>
      <c r="K154" s="10">
        <f>E154/'По разделам'!$B$21</f>
        <v/>
      </c>
      <c r="L154" s="4">
        <f>L153+K154</f>
        <v/>
      </c>
      <c r="M154" s="2" t="inlineStr">
        <is>
          <t>qb6afeb4466880e6</t>
        </is>
      </c>
      <c r="N154" s="2" t="inlineStr">
        <is>
          <t>https://app.redstat.kz/niche/qb6afeb4466880e6?event_date=2026-08-01</t>
        </is>
      </c>
      <c r="O154" s="2" t="inlineStr"/>
    </row>
    <row r="155">
      <c r="A155" s="2" t="n">
        <v>154</v>
      </c>
      <c r="B155" s="2" t="inlineStr">
        <is>
          <t>Румяна, бронзеры, скульптурирующие средства</t>
        </is>
      </c>
      <c r="C155" s="2" t="inlineStr">
        <is>
          <t>Красота и здоровье</t>
        </is>
      </c>
      <c r="D155" s="2" t="inlineStr">
        <is>
          <t>Красота и здоровье → Декоративная косметика → Румяна, бронзеры, скульптурирующие средства</t>
        </is>
      </c>
      <c r="E155" s="3" t="n">
        <v>219347089</v>
      </c>
      <c r="F155" s="3" t="n">
        <v>65744</v>
      </c>
      <c r="G155" s="3">
        <f>IFERROR(E155/F155,0)</f>
        <v/>
      </c>
      <c r="H155" s="3" t="n">
        <v>1855</v>
      </c>
      <c r="I155" s="2" t="n">
        <v>217</v>
      </c>
      <c r="J155" s="3">
        <f>IFERROR(E155/H155,0)</f>
        <v/>
      </c>
      <c r="K155" s="10">
        <f>E155/'По разделам'!$B$21</f>
        <v/>
      </c>
      <c r="L155" s="4">
        <f>L154+K155</f>
        <v/>
      </c>
      <c r="M155" s="2" t="inlineStr">
        <is>
          <t>00950</t>
        </is>
      </c>
      <c r="N155" s="2" t="inlineStr">
        <is>
          <t>https://app.redstat.kz/niche/00950?event_date=2026-08-01</t>
        </is>
      </c>
      <c r="O155" s="2" t="inlineStr">
        <is>
          <t>https://kaspi.kz/shop/c/face%20blushes%20and%20bronzers/</t>
        </is>
      </c>
    </row>
    <row r="156">
      <c r="A156" s="2" t="n">
        <v>155</v>
      </c>
      <c r="B156" s="2" t="inlineStr">
        <is>
          <t>Ножи и разделочные доски</t>
        </is>
      </c>
      <c r="C156" s="2" t="inlineStr">
        <is>
          <t>Товары для дома и дачи</t>
        </is>
      </c>
      <c r="D156" s="2" t="inlineStr">
        <is>
          <t>Товары для дома и дачи → Посуда и принадлежности → Ножи и разделочные доски → Ножи и разделочные доски</t>
        </is>
      </c>
      <c r="E156" s="3" t="n">
        <v>217227508</v>
      </c>
      <c r="F156" s="3" t="n">
        <v>37572</v>
      </c>
      <c r="G156" s="3">
        <f>IFERROR(E156/F156,0)</f>
        <v/>
      </c>
      <c r="H156" s="3" t="n">
        <v>3346</v>
      </c>
      <c r="I156" s="2" t="n">
        <v>542</v>
      </c>
      <c r="J156" s="3">
        <f>IFERROR(E156/H156,0)</f>
        <v/>
      </c>
      <c r="K156" s="10">
        <f>E156/'По разделам'!$B$21</f>
        <v/>
      </c>
      <c r="L156" s="4">
        <f>L155+K156</f>
        <v/>
      </c>
      <c r="M156" s="2" t="inlineStr">
        <is>
          <t>q39b6ae85cc8eb1b</t>
        </is>
      </c>
      <c r="N156" s="2" t="inlineStr">
        <is>
          <t>https://app.redstat.kz/niche/q39b6ae85cc8eb1b?event_date=2026-08-01</t>
        </is>
      </c>
      <c r="O156" s="2" t="inlineStr"/>
    </row>
    <row r="157">
      <c r="A157" s="2" t="n">
        <v>156</v>
      </c>
      <c r="B157" s="2" t="inlineStr">
        <is>
          <t>Строительные лестницы и стремянки</t>
        </is>
      </c>
      <c r="C157" s="2" t="inlineStr">
        <is>
          <t>Строительство, ремонт</t>
        </is>
      </c>
      <c r="D157" s="2" t="inlineStr">
        <is>
          <t>Строительство, ремонт → Строительный инвентарь → Строительные лестницы и стремянки</t>
        </is>
      </c>
      <c r="E157" s="3" t="n">
        <v>217006512</v>
      </c>
      <c r="F157" s="3" t="n">
        <v>7382</v>
      </c>
      <c r="G157" s="3">
        <f>IFERROR(E157/F157,0)</f>
        <v/>
      </c>
      <c r="H157" s="3" t="n">
        <v>741</v>
      </c>
      <c r="I157" s="2" t="n">
        <v>75</v>
      </c>
      <c r="J157" s="3">
        <f>IFERROR(E157/H157,0)</f>
        <v/>
      </c>
      <c r="K157" s="10">
        <f>E157/'По разделам'!$B$21</f>
        <v/>
      </c>
      <c r="L157" s="4">
        <f>L156+K157</f>
        <v/>
      </c>
      <c r="M157" s="2" t="inlineStr">
        <is>
          <t>03536</t>
        </is>
      </c>
      <c r="N157" s="2" t="inlineStr">
        <is>
          <t>https://app.redstat.kz/niche/03536?event_date=2026-08-01</t>
        </is>
      </c>
      <c r="O157" s="2" t="inlineStr">
        <is>
          <t>https://kaspi.kz/shop/c/building%20ladders%20and%20stepladders/</t>
        </is>
      </c>
    </row>
    <row r="158">
      <c r="A158" s="2" t="n">
        <v>157</v>
      </c>
      <c r="B158" s="2" t="inlineStr">
        <is>
          <t>Детские электромобили</t>
        </is>
      </c>
      <c r="C158" s="2" t="inlineStr">
        <is>
          <t>Детские товары</t>
        </is>
      </c>
      <c r="D158" s="2" t="inlineStr">
        <is>
          <t>Детские товары → Детский транспорт → Детские электромобили</t>
        </is>
      </c>
      <c r="E158" s="3" t="n">
        <v>216412652</v>
      </c>
      <c r="F158" s="3" t="n">
        <v>3688</v>
      </c>
      <c r="G158" s="3">
        <f>IFERROR(E158/F158,0)</f>
        <v/>
      </c>
      <c r="H158" s="3" t="n">
        <v>766</v>
      </c>
      <c r="I158" s="2" t="n">
        <v>85</v>
      </c>
      <c r="J158" s="3">
        <f>IFERROR(E158/H158,0)</f>
        <v/>
      </c>
      <c r="K158" s="10">
        <f>E158/'По разделам'!$B$21</f>
        <v/>
      </c>
      <c r="L158" s="4">
        <f>L157+K158</f>
        <v/>
      </c>
      <c r="M158" s="2" t="inlineStr">
        <is>
          <t>04454</t>
        </is>
      </c>
      <c r="N158" s="2" t="inlineStr">
        <is>
          <t>https://app.redstat.kz/niche/04454?event_date=2026-08-01</t>
        </is>
      </c>
      <c r="O158" s="2" t="inlineStr">
        <is>
          <t>https://kaspi.kz/shop/c/kids%20electric%20vehicles/</t>
        </is>
      </c>
    </row>
    <row r="159">
      <c r="A159" s="2" t="n">
        <v>158</v>
      </c>
      <c r="B159" s="2" t="inlineStr">
        <is>
          <t>Упаковочные материалы</t>
        </is>
      </c>
      <c r="C159" s="2" t="inlineStr">
        <is>
          <t>Товары для дома и дачи</t>
        </is>
      </c>
      <c r="D159" s="2" t="inlineStr">
        <is>
          <t>Товары для дома и дачи → Хозяйственные товары → Упаковочные материалы → Упаковочные материалы</t>
        </is>
      </c>
      <c r="E159" s="3" t="n">
        <v>214079871</v>
      </c>
      <c r="F159" s="3" t="n">
        <v>60435</v>
      </c>
      <c r="G159" s="3">
        <f>IFERROR(E159/F159,0)</f>
        <v/>
      </c>
      <c r="H159" s="3" t="n">
        <v>2529</v>
      </c>
      <c r="I159" s="2" t="n">
        <v>244</v>
      </c>
      <c r="J159" s="3">
        <f>IFERROR(E159/H159,0)</f>
        <v/>
      </c>
      <c r="K159" s="10">
        <f>E159/'По разделам'!$B$21</f>
        <v/>
      </c>
      <c r="L159" s="4">
        <f>L158+K159</f>
        <v/>
      </c>
      <c r="M159" s="2" t="inlineStr">
        <is>
          <t>qc73cc0e5df90d57</t>
        </is>
      </c>
      <c r="N159" s="2" t="inlineStr">
        <is>
          <t>https://app.redstat.kz/niche/qc73cc0e5df90d57?event_date=2026-08-01</t>
        </is>
      </c>
      <c r="O159" s="2" t="inlineStr"/>
    </row>
    <row r="160">
      <c r="A160" s="2" t="n">
        <v>159</v>
      </c>
      <c r="B160" s="2" t="inlineStr">
        <is>
          <t>Смесители</t>
        </is>
      </c>
      <c r="C160" s="2" t="inlineStr">
        <is>
          <t>Строительство, ремонт</t>
        </is>
      </c>
      <c r="D160" s="2" t="inlineStr">
        <is>
          <t>Строительство, ремонт → Сантехника → Смесители</t>
        </is>
      </c>
      <c r="E160" s="3" t="n">
        <v>213106075</v>
      </c>
      <c r="F160" s="3" t="n">
        <v>16845</v>
      </c>
      <c r="G160" s="3">
        <f>IFERROR(E160/F160,0)</f>
        <v/>
      </c>
      <c r="H160" s="3" t="n">
        <v>2054</v>
      </c>
      <c r="I160" s="2" t="n">
        <v>211</v>
      </c>
      <c r="J160" s="3">
        <f>IFERROR(E160/H160,0)</f>
        <v/>
      </c>
      <c r="K160" s="10">
        <f>E160/'По разделам'!$B$21</f>
        <v/>
      </c>
      <c r="L160" s="4">
        <f>L159+K160</f>
        <v/>
      </c>
      <c r="M160" s="2" t="inlineStr">
        <is>
          <t>00256</t>
        </is>
      </c>
      <c r="N160" s="2" t="inlineStr">
        <is>
          <t>https://app.redstat.kz/niche/00256?event_date=2026-08-01</t>
        </is>
      </c>
      <c r="O160" s="2" t="inlineStr">
        <is>
          <t>https://kaspi.kz/shop/c/faucets/</t>
        </is>
      </c>
    </row>
    <row r="161">
      <c r="A161" s="2" t="n">
        <v>160</v>
      </c>
      <c r="B161" s="2" t="inlineStr">
        <is>
          <t>Растения, деревья, вазы и горшки</t>
        </is>
      </c>
      <c r="C161" s="2" t="inlineStr">
        <is>
          <t>Товары для дома и дачи</t>
        </is>
      </c>
      <c r="D161" s="2" t="inlineStr">
        <is>
          <t>Товары для дома и дачи → Интерьер → Растения, деревья, вазы и горшки → Растения, деревья, вазы и горшки</t>
        </is>
      </c>
      <c r="E161" s="3" t="n">
        <v>208269347</v>
      </c>
      <c r="F161" s="3" t="n">
        <v>35919</v>
      </c>
      <c r="G161" s="3">
        <f>IFERROR(E161/F161,0)</f>
        <v/>
      </c>
      <c r="H161" s="3" t="n">
        <v>5504</v>
      </c>
      <c r="I161" s="2" t="n">
        <v>394</v>
      </c>
      <c r="J161" s="3">
        <f>IFERROR(E161/H161,0)</f>
        <v/>
      </c>
      <c r="K161" s="10">
        <f>E161/'По разделам'!$B$21</f>
        <v/>
      </c>
      <c r="L161" s="4">
        <f>L160+K161</f>
        <v/>
      </c>
      <c r="M161" s="2" t="inlineStr">
        <is>
          <t>q5f1b5ba19041c1e</t>
        </is>
      </c>
      <c r="N161" s="2" t="inlineStr">
        <is>
          <t>https://app.redstat.kz/niche/q5f1b5ba19041c1e?event_date=2026-08-01</t>
        </is>
      </c>
      <c r="O161" s="2" t="inlineStr"/>
    </row>
    <row r="162">
      <c r="A162" s="2" t="n">
        <v>161</v>
      </c>
      <c r="B162" s="2" t="inlineStr">
        <is>
          <t>Фитнес-браслеты</t>
        </is>
      </c>
      <c r="C162" s="2" t="inlineStr">
        <is>
          <t>Телефоны и гаджеты</t>
        </is>
      </c>
      <c r="D162" s="2" t="inlineStr">
        <is>
          <t>Телефоны и гаджеты → Гаджеты → Фитнес-браслеты</t>
        </is>
      </c>
      <c r="E162" s="3" t="n">
        <v>205733802</v>
      </c>
      <c r="F162" s="3" t="n">
        <v>4316</v>
      </c>
      <c r="G162" s="3">
        <f>IFERROR(E162/F162,0)</f>
        <v/>
      </c>
      <c r="H162" s="3" t="n">
        <v>143</v>
      </c>
      <c r="I162" s="2" t="n">
        <v>33</v>
      </c>
      <c r="J162" s="3">
        <f>IFERROR(E162/H162,0)</f>
        <v/>
      </c>
      <c r="K162" s="10">
        <f>E162/'По разделам'!$B$21</f>
        <v/>
      </c>
      <c r="L162" s="4">
        <f>L161+K162</f>
        <v/>
      </c>
      <c r="M162" s="2" t="inlineStr">
        <is>
          <t>00054</t>
        </is>
      </c>
      <c r="N162" s="2" t="inlineStr">
        <is>
          <t>https://app.redstat.kz/niche/00054?event_date=2026-08-01</t>
        </is>
      </c>
      <c r="O162" s="2" t="inlineStr">
        <is>
          <t>https://kaspi.kz/shop/c/wearables/</t>
        </is>
      </c>
    </row>
    <row r="163">
      <c r="A163" s="2" t="n">
        <v>162</v>
      </c>
      <c r="B163" s="2" t="inlineStr">
        <is>
          <t>Аккумуляторы</t>
        </is>
      </c>
      <c r="C163" s="2" t="inlineStr">
        <is>
          <t>Автотовары</t>
        </is>
      </c>
      <c r="D163" s="2" t="inlineStr">
        <is>
          <t>Автотовары → Аккумуляторы</t>
        </is>
      </c>
      <c r="E163" s="3" t="n">
        <v>203280057</v>
      </c>
      <c r="F163" s="3" t="n">
        <v>3726</v>
      </c>
      <c r="G163" s="3">
        <f>IFERROR(E163/F163,0)</f>
        <v/>
      </c>
      <c r="H163" s="3" t="n">
        <v>816</v>
      </c>
      <c r="I163" s="2" t="n">
        <v>105</v>
      </c>
      <c r="J163" s="3">
        <f>IFERROR(E163/H163,0)</f>
        <v/>
      </c>
      <c r="K163" s="10">
        <f>E163/'По разделам'!$B$21</f>
        <v/>
      </c>
      <c r="L163" s="4">
        <f>L162+K163</f>
        <v/>
      </c>
      <c r="M163" s="2" t="inlineStr">
        <is>
          <t>00441</t>
        </is>
      </c>
      <c r="N163" s="2" t="inlineStr">
        <is>
          <t>https://app.redstat.kz/niche/00441?event_date=2026-08-01</t>
        </is>
      </c>
      <c r="O163" s="2" t="inlineStr">
        <is>
          <t>https://kaspi.kz/shop/c/car%20batteries/</t>
        </is>
      </c>
    </row>
    <row r="164">
      <c r="A164" s="2" t="n">
        <v>163</v>
      </c>
      <c r="B164" s="2" t="inlineStr">
        <is>
          <t>Жесткие диски и твердотельные накопители</t>
        </is>
      </c>
      <c r="C164" s="2" t="inlineStr">
        <is>
          <t>Компьютеры</t>
        </is>
      </c>
      <c r="D164" s="2" t="inlineStr">
        <is>
          <t>Компьютеры → Комплектующие → Жесткие диски и твердотельные накопители</t>
        </is>
      </c>
      <c r="E164" s="3" t="n">
        <v>202492215</v>
      </c>
      <c r="F164" s="3" t="n">
        <v>3729</v>
      </c>
      <c r="G164" s="3">
        <f>IFERROR(E164/F164,0)</f>
        <v/>
      </c>
      <c r="H164" s="3" t="n">
        <v>434</v>
      </c>
      <c r="I164" s="2" t="n">
        <v>62</v>
      </c>
      <c r="J164" s="3">
        <f>IFERROR(E164/H164,0)</f>
        <v/>
      </c>
      <c r="K164" s="10">
        <f>E164/'По разделам'!$B$21</f>
        <v/>
      </c>
      <c r="L164" s="4">
        <f>L163+K164</f>
        <v/>
      </c>
      <c r="M164" s="2" t="inlineStr">
        <is>
          <t>02647</t>
        </is>
      </c>
      <c r="N164" s="2" t="inlineStr">
        <is>
          <t>https://app.redstat.kz/niche/02647?event_date=2026-08-01</t>
        </is>
      </c>
      <c r="O164" s="2" t="inlineStr">
        <is>
          <t>https://kaspi.kz/shop/c/hard%20drives/</t>
        </is>
      </c>
    </row>
    <row r="165">
      <c r="A165" s="2" t="n">
        <v>164</v>
      </c>
      <c r="B165" s="2" t="inlineStr">
        <is>
          <t>Удилища, катушки, леска</t>
        </is>
      </c>
      <c r="C165" s="2" t="inlineStr">
        <is>
          <t>Спорт, туризм</t>
        </is>
      </c>
      <c r="D165" s="2" t="inlineStr">
        <is>
          <t>Спорт, туризм → Товары для рыбалки → Удилища, катушки, леска → Удилища, катушки, леска</t>
        </is>
      </c>
      <c r="E165" s="3" t="n">
        <v>200881004</v>
      </c>
      <c r="F165" s="3" t="n">
        <v>26449</v>
      </c>
      <c r="G165" s="3">
        <f>IFERROR(E165/F165,0)</f>
        <v/>
      </c>
      <c r="H165" s="3" t="n">
        <v>3745</v>
      </c>
      <c r="I165" s="2" t="n">
        <v>284</v>
      </c>
      <c r="J165" s="3">
        <f>IFERROR(E165/H165,0)</f>
        <v/>
      </c>
      <c r="K165" s="10">
        <f>E165/'По разделам'!$B$21</f>
        <v/>
      </c>
      <c r="L165" s="4">
        <f>L164+K165</f>
        <v/>
      </c>
      <c r="M165" s="2" t="inlineStr">
        <is>
          <t>q86f301a7c936aa8</t>
        </is>
      </c>
      <c r="N165" s="2" t="inlineStr">
        <is>
          <t>https://app.redstat.kz/niche/q86f301a7c936aa8?event_date=2026-08-01</t>
        </is>
      </c>
      <c r="O165" s="2" t="inlineStr"/>
    </row>
    <row r="166">
      <c r="A166" s="2" t="n">
        <v>165</v>
      </c>
      <c r="B166" s="2" t="inlineStr">
        <is>
          <t>Пледы и покрывала</t>
        </is>
      </c>
      <c r="C166" s="2" t="inlineStr">
        <is>
          <t>Товары для дома и дачи</t>
        </is>
      </c>
      <c r="D166" s="2" t="inlineStr">
        <is>
          <t>Товары для дома и дачи → Домашний текстиль → Пледы и покрывала</t>
        </is>
      </c>
      <c r="E166" s="3" t="n">
        <v>200064589</v>
      </c>
      <c r="F166" s="3" t="n">
        <v>27106</v>
      </c>
      <c r="G166" s="3">
        <f>IFERROR(E166/F166,0)</f>
        <v/>
      </c>
      <c r="H166" s="3" t="n">
        <v>3595</v>
      </c>
      <c r="I166" s="2" t="n">
        <v>392</v>
      </c>
      <c r="J166" s="3">
        <f>IFERROR(E166/H166,0)</f>
        <v/>
      </c>
      <c r="K166" s="10">
        <f>E166/'По разделам'!$B$21</f>
        <v/>
      </c>
      <c r="L166" s="4">
        <f>L165+K166</f>
        <v/>
      </c>
      <c r="M166" s="2" t="inlineStr">
        <is>
          <t>00681</t>
        </is>
      </c>
      <c r="N166" s="2" t="inlineStr">
        <is>
          <t>https://app.redstat.kz/niche/00681?event_date=2026-08-01</t>
        </is>
      </c>
      <c r="O166" s="2" t="inlineStr">
        <is>
          <t>https://kaspi.kz/shop/c/throws/</t>
        </is>
      </c>
    </row>
    <row r="167">
      <c r="A167" s="2" t="n">
        <v>166</v>
      </c>
      <c r="B167" s="2" t="inlineStr">
        <is>
          <t>Тумбы под раковину</t>
        </is>
      </c>
      <c r="C167" s="2" t="inlineStr">
        <is>
          <t>Мебель</t>
        </is>
      </c>
      <c r="D167" s="2" t="inlineStr">
        <is>
          <t>Мебель → Ванная комната → Тумбы под раковину</t>
        </is>
      </c>
      <c r="E167" s="3" t="n">
        <v>199402483</v>
      </c>
      <c r="F167" s="3" t="n">
        <v>3952</v>
      </c>
      <c r="G167" s="3">
        <f>IFERROR(E167/F167,0)</f>
        <v/>
      </c>
      <c r="H167" s="3" t="n">
        <v>657</v>
      </c>
      <c r="I167" s="2" t="n">
        <v>64</v>
      </c>
      <c r="J167" s="3">
        <f>IFERROR(E167/H167,0)</f>
        <v/>
      </c>
      <c r="K167" s="10">
        <f>E167/'По разделам'!$B$21</f>
        <v/>
      </c>
      <c r="L167" s="4">
        <f>L166+K167</f>
        <v/>
      </c>
      <c r="M167" s="2" t="inlineStr">
        <is>
          <t>01062</t>
        </is>
      </c>
      <c r="N167" s="2" t="inlineStr">
        <is>
          <t>https://app.redstat.kz/niche/01062?event_date=2026-08-01</t>
        </is>
      </c>
      <c r="O167" s="2" t="inlineStr">
        <is>
          <t>https://kaspi.kz/shop/c/sink%20cabinets/</t>
        </is>
      </c>
    </row>
    <row r="168">
      <c r="A168" s="2" t="n">
        <v>167</v>
      </c>
      <c r="B168" s="2" t="inlineStr">
        <is>
          <t>Хайкинг</t>
        </is>
      </c>
      <c r="C168" s="2" t="inlineStr">
        <is>
          <t>Спорт, туризм</t>
        </is>
      </c>
      <c r="D168" s="2" t="inlineStr">
        <is>
          <t>Спорт, туризм → Туризм и отдых на природе → Хайкинг → Хайкинг</t>
        </is>
      </c>
      <c r="E168" s="3" t="n">
        <v>199313196</v>
      </c>
      <c r="F168" s="3" t="n">
        <v>29456</v>
      </c>
      <c r="G168" s="3">
        <f>IFERROR(E168/F168,0)</f>
        <v/>
      </c>
      <c r="H168" s="3" t="n">
        <v>3557</v>
      </c>
      <c r="I168" s="2" t="n">
        <v>531</v>
      </c>
      <c r="J168" s="3">
        <f>IFERROR(E168/H168,0)</f>
        <v/>
      </c>
      <c r="K168" s="10">
        <f>E168/'По разделам'!$B$21</f>
        <v/>
      </c>
      <c r="L168" s="4">
        <f>L167+K168</f>
        <v/>
      </c>
      <c r="M168" s="2" t="inlineStr">
        <is>
          <t>q55cb9e38a3b673a</t>
        </is>
      </c>
      <c r="N168" s="2" t="inlineStr">
        <is>
          <t>https://app.redstat.kz/niche/q55cb9e38a3b673a?event_date=2026-08-01</t>
        </is>
      </c>
      <c r="O168" s="2" t="inlineStr"/>
    </row>
    <row r="169">
      <c r="A169" s="2" t="n">
        <v>168</v>
      </c>
      <c r="B169" s="2" t="inlineStr">
        <is>
          <t>Подвески ювелирные</t>
        </is>
      </c>
      <c r="C169" s="2" t="inlineStr">
        <is>
          <t>Украшения</t>
        </is>
      </c>
      <c r="D169" s="2" t="inlineStr">
        <is>
          <t>Украшения → Подвески и шармы → Подвески ювелирные</t>
        </is>
      </c>
      <c r="E169" s="3" t="n">
        <v>198041684</v>
      </c>
      <c r="F169" s="3" t="n">
        <v>4358</v>
      </c>
      <c r="G169" s="3">
        <f>IFERROR(E169/F169,0)</f>
        <v/>
      </c>
      <c r="H169" s="3" t="n">
        <v>2061</v>
      </c>
      <c r="I169" s="2" t="n">
        <v>265</v>
      </c>
      <c r="J169" s="3">
        <f>IFERROR(E169/H169,0)</f>
        <v/>
      </c>
      <c r="K169" s="10">
        <f>E169/'По разделам'!$B$21</f>
        <v/>
      </c>
      <c r="L169" s="4">
        <f>L168+K169</f>
        <v/>
      </c>
      <c r="M169" s="2" t="inlineStr">
        <is>
          <t>00747</t>
        </is>
      </c>
      <c r="N169" s="2" t="inlineStr">
        <is>
          <t>https://app.redstat.kz/niche/00747?event_date=2026-08-01</t>
        </is>
      </c>
      <c r="O169" s="2" t="inlineStr">
        <is>
          <t>https://kaspi.kz/shop/c/pendants/</t>
        </is>
      </c>
    </row>
    <row r="170">
      <c r="A170" s="2" t="n">
        <v>169</v>
      </c>
      <c r="B170" s="2" t="inlineStr">
        <is>
          <t>Струнные</t>
        </is>
      </c>
      <c r="C170" s="2" t="inlineStr">
        <is>
          <t>Досуг, книги</t>
        </is>
      </c>
      <c r="D170" s="2" t="inlineStr">
        <is>
          <t>Досуг, книги → Музыкальные инструменты → Струнные → Струнные</t>
        </is>
      </c>
      <c r="E170" s="3" t="n">
        <v>197765994</v>
      </c>
      <c r="F170" s="3" t="n">
        <v>6030</v>
      </c>
      <c r="G170" s="3">
        <f>IFERROR(E170/F170,0)</f>
        <v/>
      </c>
      <c r="H170" s="3" t="n">
        <v>731</v>
      </c>
      <c r="I170" s="2" t="n">
        <v>90</v>
      </c>
      <c r="J170" s="3">
        <f>IFERROR(E170/H170,0)</f>
        <v/>
      </c>
      <c r="K170" s="10">
        <f>E170/'По разделам'!$B$21</f>
        <v/>
      </c>
      <c r="L170" s="4">
        <f>L169+K170</f>
        <v/>
      </c>
      <c r="M170" s="2" t="inlineStr">
        <is>
          <t>qd44ec5cef179273</t>
        </is>
      </c>
      <c r="N170" s="2" t="inlineStr">
        <is>
          <t>https://app.redstat.kz/niche/qd44ec5cef179273?event_date=2026-08-01</t>
        </is>
      </c>
      <c r="O170" s="2" t="inlineStr"/>
    </row>
    <row r="171">
      <c r="A171" s="2" t="n">
        <v>170</v>
      </c>
      <c r="B171" s="2" t="inlineStr">
        <is>
          <t>Женские брюки</t>
        </is>
      </c>
      <c r="C171" s="2" t="inlineStr">
        <is>
          <t>Одежда</t>
        </is>
      </c>
      <c r="D171" s="2" t="inlineStr">
        <is>
          <t>Одежда → Женщинам → Женские брюки</t>
        </is>
      </c>
      <c r="E171" s="3" t="n">
        <v>196105191</v>
      </c>
      <c r="F171" s="3" t="n">
        <v>34887</v>
      </c>
      <c r="G171" s="3">
        <f>IFERROR(E171/F171,0)</f>
        <v/>
      </c>
      <c r="H171" s="3" t="n">
        <v>5282</v>
      </c>
      <c r="I171" s="2" t="n">
        <v>336</v>
      </c>
      <c r="J171" s="3">
        <f>IFERROR(E171/H171,0)</f>
        <v/>
      </c>
      <c r="K171" s="10">
        <f>E171/'По разделам'!$B$21</f>
        <v/>
      </c>
      <c r="L171" s="4">
        <f>L170+K171</f>
        <v/>
      </c>
      <c r="M171" s="2" t="inlineStr">
        <is>
          <t>01233</t>
        </is>
      </c>
      <c r="N171" s="2" t="inlineStr">
        <is>
          <t>https://app.redstat.kz/niche/01233?event_date=2026-08-01</t>
        </is>
      </c>
      <c r="O171" s="2" t="inlineStr">
        <is>
          <t>https://kaspi.kz/shop/c/women%20pants/</t>
        </is>
      </c>
    </row>
    <row r="172">
      <c r="A172" s="2" t="n">
        <v>171</v>
      </c>
      <c r="B172" s="2" t="inlineStr">
        <is>
          <t>Стеллажи</t>
        </is>
      </c>
      <c r="C172" s="2" t="inlineStr">
        <is>
          <t>Мебель</t>
        </is>
      </c>
      <c r="D172" s="2" t="inlineStr">
        <is>
          <t>Мебель → Системы хранения, полки, этажерки → Стеллажи</t>
        </is>
      </c>
      <c r="E172" s="3" t="n">
        <v>194702191</v>
      </c>
      <c r="F172" s="3" t="n">
        <v>8704</v>
      </c>
      <c r="G172" s="3">
        <f>IFERROR(E172/F172,0)</f>
        <v/>
      </c>
      <c r="H172" s="3" t="n">
        <v>855</v>
      </c>
      <c r="I172" s="2" t="n">
        <v>171</v>
      </c>
      <c r="J172" s="3">
        <f>IFERROR(E172/H172,0)</f>
        <v/>
      </c>
      <c r="K172" s="10">
        <f>E172/'По разделам'!$B$21</f>
        <v/>
      </c>
      <c r="L172" s="4">
        <f>L171+K172</f>
        <v/>
      </c>
      <c r="M172" s="2" t="inlineStr">
        <is>
          <t>05383</t>
        </is>
      </c>
      <c r="N172" s="2" t="inlineStr">
        <is>
          <t>https://app.redstat.kz/niche/05383?event_date=2026-08-01</t>
        </is>
      </c>
      <c r="O172" s="2" t="inlineStr">
        <is>
          <t>https://kaspi.kz/shop/c/bookcases/</t>
        </is>
      </c>
    </row>
    <row r="173">
      <c r="A173" s="2" t="n">
        <v>172</v>
      </c>
      <c r="B173" s="2" t="inlineStr">
        <is>
          <t>Автомагнитолы</t>
        </is>
      </c>
      <c r="C173" s="2" t="inlineStr">
        <is>
          <t>Автотовары</t>
        </is>
      </c>
      <c r="D173" s="2" t="inlineStr">
        <is>
          <t>Автотовары → Автоакустика → Автомагнитолы</t>
        </is>
      </c>
      <c r="E173" s="3" t="n">
        <v>194257906</v>
      </c>
      <c r="F173" s="3" t="n">
        <v>3689</v>
      </c>
      <c r="G173" s="3">
        <f>IFERROR(E173/F173,0)</f>
        <v/>
      </c>
      <c r="H173" s="3" t="n">
        <v>1475</v>
      </c>
      <c r="I173" s="2" t="n">
        <v>79</v>
      </c>
      <c r="J173" s="3">
        <f>IFERROR(E173/H173,0)</f>
        <v/>
      </c>
      <c r="K173" s="10">
        <f>E173/'По разделам'!$B$21</f>
        <v/>
      </c>
      <c r="L173" s="4">
        <f>L172+K173</f>
        <v/>
      </c>
      <c r="M173" s="2" t="inlineStr">
        <is>
          <t>00076</t>
        </is>
      </c>
      <c r="N173" s="2" t="inlineStr">
        <is>
          <t>https://app.redstat.kz/niche/00076?event_date=2026-08-01</t>
        </is>
      </c>
      <c r="O173" s="2" t="inlineStr">
        <is>
          <t>https://kaspi.kz/shop/c/head%20units/</t>
        </is>
      </c>
    </row>
    <row r="174">
      <c r="A174" s="2" t="n">
        <v>173</v>
      </c>
      <c r="B174" s="2" t="inlineStr">
        <is>
          <t>Ходовая часть</t>
        </is>
      </c>
      <c r="C174" s="2" t="inlineStr">
        <is>
          <t>Автотовары</t>
        </is>
      </c>
      <c r="D174" s="2" t="inlineStr">
        <is>
          <t>Автотовары → Автозапчасти → Ходовая часть → Ходовая часть</t>
        </is>
      </c>
      <c r="E174" s="3" t="n">
        <v>193301091</v>
      </c>
      <c r="F174" s="3" t="n">
        <v>6398</v>
      </c>
      <c r="G174" s="3">
        <f>IFERROR(E174/F174,0)</f>
        <v/>
      </c>
      <c r="H174" s="3" t="n">
        <v>3674</v>
      </c>
      <c r="I174" s="2" t="n">
        <v>318</v>
      </c>
      <c r="J174" s="3">
        <f>IFERROR(E174/H174,0)</f>
        <v/>
      </c>
      <c r="K174" s="10">
        <f>E174/'По разделам'!$B$21</f>
        <v/>
      </c>
      <c r="L174" s="4">
        <f>L173+K174</f>
        <v/>
      </c>
      <c r="M174" s="2" t="inlineStr">
        <is>
          <t>q067d17866569f4e</t>
        </is>
      </c>
      <c r="N174" s="2" t="inlineStr">
        <is>
          <t>https://app.redstat.kz/niche/q067d17866569f4e?event_date=2026-08-01</t>
        </is>
      </c>
      <c r="O174" s="2" t="inlineStr"/>
    </row>
    <row r="175">
      <c r="A175" s="2" t="n">
        <v>174</v>
      </c>
      <c r="B175" s="2" t="inlineStr">
        <is>
          <t>Металлоискатели и аксессуары</t>
        </is>
      </c>
      <c r="C175" s="2" t="inlineStr">
        <is>
          <t>Спорт, туризм</t>
        </is>
      </c>
      <c r="D175" s="2" t="inlineStr">
        <is>
          <t>Спорт, туризм → Туризм и отдых на природе → Металлоискатели и аксессуары → Металлоискатели и аксессуары</t>
        </is>
      </c>
      <c r="E175" s="3" t="n">
        <v>192413076</v>
      </c>
      <c r="F175" s="3" t="n">
        <v>965</v>
      </c>
      <c r="G175" s="3">
        <f>IFERROR(E175/F175,0)</f>
        <v/>
      </c>
      <c r="H175" s="3" t="n">
        <v>191</v>
      </c>
      <c r="I175" s="2" t="n">
        <v>30</v>
      </c>
      <c r="J175" s="3">
        <f>IFERROR(E175/H175,0)</f>
        <v/>
      </c>
      <c r="K175" s="10">
        <f>E175/'По разделам'!$B$21</f>
        <v/>
      </c>
      <c r="L175" s="4">
        <f>L174+K175</f>
        <v/>
      </c>
      <c r="M175" s="2" t="inlineStr">
        <is>
          <t>qc7172d83a188ceb</t>
        </is>
      </c>
      <c r="N175" s="2" t="inlineStr">
        <is>
          <t>https://app.redstat.kz/niche/qc7172d83a188ceb?event_date=2026-08-01</t>
        </is>
      </c>
      <c r="O175" s="2" t="inlineStr"/>
    </row>
    <row r="176">
      <c r="A176" s="2" t="n">
        <v>175</v>
      </c>
      <c r="B176" s="2" t="inlineStr">
        <is>
          <t>Напольные покрытия</t>
        </is>
      </c>
      <c r="C176" s="2" t="inlineStr">
        <is>
          <t>Строительство, ремонт</t>
        </is>
      </c>
      <c r="D176" s="2" t="inlineStr">
        <is>
          <t>Строительство, ремонт → Отделочные материалы → Напольные покрытия → Напольные покрытия</t>
        </is>
      </c>
      <c r="E176" s="3" t="n">
        <v>192079156</v>
      </c>
      <c r="F176" s="3" t="n">
        <v>3546</v>
      </c>
      <c r="G176" s="3">
        <f>IFERROR(E176/F176,0)</f>
        <v/>
      </c>
      <c r="H176" s="3" t="n">
        <v>804</v>
      </c>
      <c r="I176" s="2" t="n">
        <v>78</v>
      </c>
      <c r="J176" s="3">
        <f>IFERROR(E176/H176,0)</f>
        <v/>
      </c>
      <c r="K176" s="10">
        <f>E176/'По разделам'!$B$21</f>
        <v/>
      </c>
      <c r="L176" s="4">
        <f>L175+K176</f>
        <v/>
      </c>
      <c r="M176" s="2" t="inlineStr">
        <is>
          <t>q9d2c8ceef373f05</t>
        </is>
      </c>
      <c r="N176" s="2" t="inlineStr">
        <is>
          <t>https://app.redstat.kz/niche/q9d2c8ceef373f05?event_date=2026-08-01</t>
        </is>
      </c>
      <c r="O176" s="2" t="inlineStr"/>
    </row>
    <row r="177">
      <c r="A177" s="2" t="n">
        <v>176</v>
      </c>
      <c r="B177" s="2" t="inlineStr">
        <is>
          <t>Шины для коммерческого транспорта</t>
        </is>
      </c>
      <c r="C177" s="2" t="inlineStr">
        <is>
          <t>Автотовары</t>
        </is>
      </c>
      <c r="D177" s="2" t="inlineStr">
        <is>
          <t>Автотовары → Шины → Шины для коммерческого транспорта</t>
        </is>
      </c>
      <c r="E177" s="3" t="n">
        <v>189504867</v>
      </c>
      <c r="F177" s="3" t="n">
        <v>1663</v>
      </c>
      <c r="G177" s="3">
        <f>IFERROR(E177/F177,0)</f>
        <v/>
      </c>
      <c r="H177" s="3" t="n">
        <v>609</v>
      </c>
      <c r="I177" s="2" t="n">
        <v>115</v>
      </c>
      <c r="J177" s="3">
        <f>IFERROR(E177/H177,0)</f>
        <v/>
      </c>
      <c r="K177" s="10">
        <f>E177/'По разделам'!$B$21</f>
        <v/>
      </c>
      <c r="L177" s="4">
        <f>L176+K177</f>
        <v/>
      </c>
      <c r="M177" s="2" t="inlineStr">
        <is>
          <t>02635</t>
        </is>
      </c>
      <c r="N177" s="2" t="inlineStr">
        <is>
          <t>https://app.redstat.kz/niche/02635?event_date=2026-08-01</t>
        </is>
      </c>
      <c r="O177" s="2" t="inlineStr">
        <is>
          <t>https://kaspi.kz/shop/c/commercial%20vehicle%20tires/</t>
        </is>
      </c>
    </row>
    <row r="178">
      <c r="A178" s="2" t="n">
        <v>177</v>
      </c>
      <c r="B178" s="2" t="inlineStr">
        <is>
          <t>Женские блузки и рубашки</t>
        </is>
      </c>
      <c r="C178" s="2" t="inlineStr">
        <is>
          <t>Одежда</t>
        </is>
      </c>
      <c r="D178" s="2" t="inlineStr">
        <is>
          <t>Одежда → Женщинам → Женские блузки и рубашки</t>
        </is>
      </c>
      <c r="E178" s="3" t="n">
        <v>188933365</v>
      </c>
      <c r="F178" s="3" t="n">
        <v>45007</v>
      </c>
      <c r="G178" s="3">
        <f>IFERROR(E178/F178,0)</f>
        <v/>
      </c>
      <c r="H178" s="3" t="n">
        <v>4537</v>
      </c>
      <c r="I178" s="2" t="n">
        <v>331</v>
      </c>
      <c r="J178" s="3">
        <f>IFERROR(E178/H178,0)</f>
        <v/>
      </c>
      <c r="K178" s="10">
        <f>E178/'По разделам'!$B$21</f>
        <v/>
      </c>
      <c r="L178" s="4">
        <f>L177+K178</f>
        <v/>
      </c>
      <c r="M178" s="2" t="inlineStr">
        <is>
          <t>01316</t>
        </is>
      </c>
      <c r="N178" s="2" t="inlineStr">
        <is>
          <t>https://app.redstat.kz/niche/01316?event_date=2026-08-01</t>
        </is>
      </c>
      <c r="O178" s="2" t="inlineStr">
        <is>
          <t>https://kaspi.kz/shop/c/women%20blouses%20and%20shirts/</t>
        </is>
      </c>
    </row>
    <row r="179">
      <c r="A179" s="2" t="n">
        <v>178</v>
      </c>
      <c r="B179" s="2" t="inlineStr">
        <is>
          <t>Душевые кабины, ограждения и аксессуары</t>
        </is>
      </c>
      <c r="C179" s="2" t="inlineStr">
        <is>
          <t>Строительство, ремонт</t>
        </is>
      </c>
      <c r="D179" s="2" t="inlineStr">
        <is>
          <t>Строительство, ремонт → Сантехника → Душевые кабины, ограждения и аксессуары → Душевые кабины, ограждения и аксессуары</t>
        </is>
      </c>
      <c r="E179" s="3" t="n">
        <v>188324934</v>
      </c>
      <c r="F179" s="3" t="n">
        <v>1515</v>
      </c>
      <c r="G179" s="3">
        <f>IFERROR(E179/F179,0)</f>
        <v/>
      </c>
      <c r="H179" s="3" t="n">
        <v>467</v>
      </c>
      <c r="I179" s="2" t="n">
        <v>36</v>
      </c>
      <c r="J179" s="3">
        <f>IFERROR(E179/H179,0)</f>
        <v/>
      </c>
      <c r="K179" s="10">
        <f>E179/'По разделам'!$B$21</f>
        <v/>
      </c>
      <c r="L179" s="4">
        <f>L178+K179</f>
        <v/>
      </c>
      <c r="M179" s="2" t="inlineStr">
        <is>
          <t>q657c5304f90a507</t>
        </is>
      </c>
      <c r="N179" s="2" t="inlineStr">
        <is>
          <t>https://app.redstat.kz/niche/q657c5304f90a507?event_date=2026-08-01</t>
        </is>
      </c>
      <c r="O179" s="2" t="inlineStr"/>
    </row>
    <row r="180">
      <c r="A180" s="2" t="n">
        <v>179</v>
      </c>
      <c r="B180" s="2" t="inlineStr">
        <is>
          <t>Беспроводное оборудование</t>
        </is>
      </c>
      <c r="C180" s="2" t="inlineStr">
        <is>
          <t>Компьютеры</t>
        </is>
      </c>
      <c r="D180" s="2" t="inlineStr">
        <is>
          <t>Компьютеры → Сетевое оборудование → Беспроводное оборудование</t>
        </is>
      </c>
      <c r="E180" s="3" t="n">
        <v>188100571</v>
      </c>
      <c r="F180" s="3" t="n">
        <v>8157</v>
      </c>
      <c r="G180" s="3">
        <f>IFERROR(E180/F180,0)</f>
        <v/>
      </c>
      <c r="H180" s="3" t="n">
        <v>624</v>
      </c>
      <c r="I180" s="2" t="n">
        <v>74</v>
      </c>
      <c r="J180" s="3">
        <f>IFERROR(E180/H180,0)</f>
        <v/>
      </c>
      <c r="K180" s="10">
        <f>E180/'По разделам'!$B$21</f>
        <v/>
      </c>
      <c r="L180" s="4">
        <f>L179+K180</f>
        <v/>
      </c>
      <c r="M180" s="2" t="inlineStr">
        <is>
          <t>03042</t>
        </is>
      </c>
      <c r="N180" s="2" t="inlineStr">
        <is>
          <t>https://app.redstat.kz/niche/03042?event_date=2026-08-01</t>
        </is>
      </c>
      <c r="O180" s="2" t="inlineStr">
        <is>
          <t>https://kaspi.kz/shop/c/wireless%20equipment/</t>
        </is>
      </c>
    </row>
    <row r="181">
      <c r="A181" s="2" t="n">
        <v>180</v>
      </c>
      <c r="B181" s="2" t="inlineStr">
        <is>
          <t>ТВ-тумбы</t>
        </is>
      </c>
      <c r="C181" s="2" t="inlineStr">
        <is>
          <t>Мебель</t>
        </is>
      </c>
      <c r="D181" s="2" t="inlineStr">
        <is>
          <t>Мебель → Гостиная → ТВ-тумбы</t>
        </is>
      </c>
      <c r="E181" s="3" t="n">
        <v>188011545</v>
      </c>
      <c r="F181" s="3" t="n">
        <v>4274</v>
      </c>
      <c r="G181" s="3">
        <f>IFERROR(E181/F181,0)</f>
        <v/>
      </c>
      <c r="H181" s="3" t="n">
        <v>712</v>
      </c>
      <c r="I181" s="2" t="n">
        <v>111</v>
      </c>
      <c r="J181" s="3">
        <f>IFERROR(E181/H181,0)</f>
        <v/>
      </c>
      <c r="K181" s="10">
        <f>E181/'По разделам'!$B$21</f>
        <v/>
      </c>
      <c r="L181" s="4">
        <f>L180+K181</f>
        <v/>
      </c>
      <c r="M181" s="2" t="inlineStr">
        <is>
          <t>00773</t>
        </is>
      </c>
      <c r="N181" s="2" t="inlineStr">
        <is>
          <t>https://app.redstat.kz/niche/00773?event_date=2026-08-01</t>
        </is>
      </c>
      <c r="O181" s="2" t="inlineStr">
        <is>
          <t>https://kaspi.kz/shop/c/tv%20stands/</t>
        </is>
      </c>
    </row>
    <row r="182">
      <c r="A182" s="2" t="n">
        <v>181</v>
      </c>
      <c r="B182" s="2" t="inlineStr">
        <is>
          <t>Школьная форма для мальчиков</t>
        </is>
      </c>
      <c r="C182" s="2" t="inlineStr">
        <is>
          <t>Одежда</t>
        </is>
      </c>
      <c r="D182" s="2" t="inlineStr">
        <is>
          <t>Одежда → Мальчикам → Школьная форма для мальчиков → Школьная форма для мальчиков</t>
        </is>
      </c>
      <c r="E182" s="3" t="n">
        <v>186426108</v>
      </c>
      <c r="F182" s="3" t="n">
        <v>22826</v>
      </c>
      <c r="G182" s="3">
        <f>IFERROR(E182/F182,0)</f>
        <v/>
      </c>
      <c r="H182" s="3" t="n">
        <v>2889</v>
      </c>
      <c r="I182" s="2" t="n">
        <v>153</v>
      </c>
      <c r="J182" s="3">
        <f>IFERROR(E182/H182,0)</f>
        <v/>
      </c>
      <c r="K182" s="10">
        <f>E182/'По разделам'!$B$21</f>
        <v/>
      </c>
      <c r="L182" s="4">
        <f>L181+K182</f>
        <v/>
      </c>
      <c r="M182" s="2" t="inlineStr">
        <is>
          <t>qae664181920416a</t>
        </is>
      </c>
      <c r="N182" s="2" t="inlineStr">
        <is>
          <t>https://app.redstat.kz/niche/qae664181920416a?event_date=2026-08-01</t>
        </is>
      </c>
      <c r="O182" s="2" t="inlineStr"/>
    </row>
    <row r="183">
      <c r="A183" s="2" t="n">
        <v>182</v>
      </c>
      <c r="B183" s="2" t="inlineStr">
        <is>
          <t>Сушильные машины</t>
        </is>
      </c>
      <c r="C183" s="2" t="inlineStr">
        <is>
          <t>Бытовая техника</t>
        </is>
      </c>
      <c r="D183" s="2" t="inlineStr">
        <is>
          <t>Бытовая техника → Крупная техника для дома → Сушильные машины</t>
        </is>
      </c>
      <c r="E183" s="3" t="n">
        <v>184347202</v>
      </c>
      <c r="F183" s="3" t="n">
        <v>693</v>
      </c>
      <c r="G183" s="3">
        <f>IFERROR(E183/F183,0)</f>
        <v/>
      </c>
      <c r="H183" s="3" t="n">
        <v>102</v>
      </c>
      <c r="I183" s="2" t="n">
        <v>25</v>
      </c>
      <c r="J183" s="3">
        <f>IFERROR(E183/H183,0)</f>
        <v/>
      </c>
      <c r="K183" s="10">
        <f>E183/'По разделам'!$B$21</f>
        <v/>
      </c>
      <c r="L183" s="4">
        <f>L182+K183</f>
        <v/>
      </c>
      <c r="M183" s="2" t="inlineStr">
        <is>
          <t>00722</t>
        </is>
      </c>
      <c r="N183" s="2" t="inlineStr">
        <is>
          <t>https://app.redstat.kz/niche/00722?event_date=2026-08-01</t>
        </is>
      </c>
      <c r="O183" s="2" t="inlineStr">
        <is>
          <t>https://kaspi.kz/shop/c/clothes%20dryers/</t>
        </is>
      </c>
    </row>
    <row r="184">
      <c r="A184" s="2" t="n">
        <v>183</v>
      </c>
      <c r="B184" s="2" t="inlineStr">
        <is>
          <t>Помады, контуры, блески</t>
        </is>
      </c>
      <c r="C184" s="2" t="inlineStr">
        <is>
          <t>Красота и здоровье</t>
        </is>
      </c>
      <c r="D184" s="2" t="inlineStr">
        <is>
          <t>Красота и здоровье → Декоративная косметика → Помады, контуры, блески</t>
        </is>
      </c>
      <c r="E184" s="3" t="n">
        <v>183958930</v>
      </c>
      <c r="F184" s="3" t="n">
        <v>115742</v>
      </c>
      <c r="G184" s="3">
        <f>IFERROR(E184/F184,0)</f>
        <v/>
      </c>
      <c r="H184" s="3" t="n">
        <v>3416</v>
      </c>
      <c r="I184" s="2" t="n">
        <v>293</v>
      </c>
      <c r="J184" s="3">
        <f>IFERROR(E184/H184,0)</f>
        <v/>
      </c>
      <c r="K184" s="10">
        <f>E184/'По разделам'!$B$21</f>
        <v/>
      </c>
      <c r="L184" s="4">
        <f>L183+K184</f>
        <v/>
      </c>
      <c r="M184" s="2" t="inlineStr">
        <is>
          <t>00683</t>
        </is>
      </c>
      <c r="N184" s="2" t="inlineStr">
        <is>
          <t>https://app.redstat.kz/niche/00683?event_date=2026-08-01</t>
        </is>
      </c>
      <c r="O184" s="2" t="inlineStr">
        <is>
          <t>https://kaspi.kz/shop/c/lipsticks/</t>
        </is>
      </c>
    </row>
    <row r="185">
      <c r="A185" s="2" t="n">
        <v>184</v>
      </c>
      <c r="B185" s="2" t="inlineStr">
        <is>
          <t>Чехлы и накидки для мебели</t>
        </is>
      </c>
      <c r="C185" s="2" t="inlineStr">
        <is>
          <t>Товары для дома и дачи</t>
        </is>
      </c>
      <c r="D185" s="2" t="inlineStr">
        <is>
          <t>Товары для дома и дачи → Домашний текстиль → Чехлы и накидки для мебели</t>
        </is>
      </c>
      <c r="E185" s="3" t="n">
        <v>182443799</v>
      </c>
      <c r="F185" s="3" t="n">
        <v>18623</v>
      </c>
      <c r="G185" s="3">
        <f>IFERROR(E185/F185,0)</f>
        <v/>
      </c>
      <c r="H185" s="3" t="n">
        <v>2573</v>
      </c>
      <c r="I185" s="2" t="n">
        <v>165</v>
      </c>
      <c r="J185" s="3">
        <f>IFERROR(E185/H185,0)</f>
        <v/>
      </c>
      <c r="K185" s="10">
        <f>E185/'По разделам'!$B$21</f>
        <v/>
      </c>
      <c r="L185" s="4">
        <f>L184+K185</f>
        <v/>
      </c>
      <c r="M185" s="2" t="inlineStr">
        <is>
          <t>02757</t>
        </is>
      </c>
      <c r="N185" s="2" t="inlineStr">
        <is>
          <t>https://app.redstat.kz/niche/02757?event_date=2026-08-01</t>
        </is>
      </c>
      <c r="O185" s="2" t="inlineStr">
        <is>
          <t>https://kaspi.kz/shop/c/furniture%20covers/</t>
        </is>
      </c>
    </row>
    <row r="186">
      <c r="A186" s="2" t="n">
        <v>185</v>
      </c>
      <c r="B186" s="2" t="inlineStr">
        <is>
          <t>Домашнее аудио и Hi-Fi</t>
        </is>
      </c>
      <c r="C186" s="2" t="inlineStr">
        <is>
          <t>ТВ, Аудио, Видео</t>
        </is>
      </c>
      <c r="D186" s="2" t="inlineStr">
        <is>
          <t>ТВ, Аудио, Видео → Аудиотехника → Домашнее аудио и Hi-Fi → Домашнее аудио и Hi-Fi</t>
        </is>
      </c>
      <c r="E186" s="3" t="n">
        <v>181115760</v>
      </c>
      <c r="F186" s="3" t="n">
        <v>3418</v>
      </c>
      <c r="G186" s="3">
        <f>IFERROR(E186/F186,0)</f>
        <v/>
      </c>
      <c r="H186" s="3" t="n">
        <v>664</v>
      </c>
      <c r="I186" s="2" t="n">
        <v>136</v>
      </c>
      <c r="J186" s="3">
        <f>IFERROR(E186/H186,0)</f>
        <v/>
      </c>
      <c r="K186" s="10">
        <f>E186/'По разделам'!$B$21</f>
        <v/>
      </c>
      <c r="L186" s="4">
        <f>L185+K186</f>
        <v/>
      </c>
      <c r="M186" s="2" t="inlineStr">
        <is>
          <t>q5bdf2f4f31dc06c</t>
        </is>
      </c>
      <c r="N186" s="2" t="inlineStr">
        <is>
          <t>https://app.redstat.kz/niche/q5bdf2f4f31dc06c?event_date=2026-08-01</t>
        </is>
      </c>
      <c r="O186" s="2" t="inlineStr"/>
    </row>
    <row r="187">
      <c r="A187" s="2" t="n">
        <v>186</v>
      </c>
      <c r="B187" s="2" t="inlineStr">
        <is>
          <t>Моторные масла</t>
        </is>
      </c>
      <c r="C187" s="2" t="inlineStr">
        <is>
          <t>Автотовары</t>
        </is>
      </c>
      <c r="D187" s="2" t="inlineStr">
        <is>
          <t>Автотовары → Масла и технические жидкости → Моторные масла</t>
        </is>
      </c>
      <c r="E187" s="3" t="n">
        <v>179214652</v>
      </c>
      <c r="F187" s="3" t="n">
        <v>8071</v>
      </c>
      <c r="G187" s="3">
        <f>IFERROR(E187/F187,0)</f>
        <v/>
      </c>
      <c r="H187" s="3" t="n">
        <v>1575</v>
      </c>
      <c r="I187" s="2" t="n">
        <v>168</v>
      </c>
      <c r="J187" s="3">
        <f>IFERROR(E187/H187,0)</f>
        <v/>
      </c>
      <c r="K187" s="10">
        <f>E187/'По разделам'!$B$21</f>
        <v/>
      </c>
      <c r="L187" s="4">
        <f>L186+K187</f>
        <v/>
      </c>
      <c r="M187" s="2" t="inlineStr">
        <is>
          <t>01287</t>
        </is>
      </c>
      <c r="N187" s="2" t="inlineStr">
        <is>
          <t>https://app.redstat.kz/niche/01287?event_date=2026-08-01</t>
        </is>
      </c>
      <c r="O187" s="2" t="inlineStr">
        <is>
          <t>https://kaspi.kz/shop/c/motor%20oils/</t>
        </is>
      </c>
    </row>
    <row r="188">
      <c r="A188" s="2" t="n">
        <v>187</v>
      </c>
      <c r="B188" s="2" t="inlineStr">
        <is>
          <t>Краска и оттеночные средства для волос</t>
        </is>
      </c>
      <c r="C188" s="2" t="inlineStr">
        <is>
          <t>Красота и здоровье</t>
        </is>
      </c>
      <c r="D188" s="2" t="inlineStr">
        <is>
          <t>Красота и здоровье → Уход за волосами → Краска и оттеночные средства для волос</t>
        </is>
      </c>
      <c r="E188" s="3" t="n">
        <v>178917434</v>
      </c>
      <c r="F188" s="3" t="n">
        <v>44432</v>
      </c>
      <c r="G188" s="3">
        <f>IFERROR(E188/F188,0)</f>
        <v/>
      </c>
      <c r="H188" s="3" t="n">
        <v>4042</v>
      </c>
      <c r="I188" s="2" t="n">
        <v>163</v>
      </c>
      <c r="J188" s="3">
        <f>IFERROR(E188/H188,0)</f>
        <v/>
      </c>
      <c r="K188" s="10">
        <f>E188/'По разделам'!$B$21</f>
        <v/>
      </c>
      <c r="L188" s="4">
        <f>L187+K188</f>
        <v/>
      </c>
      <c r="M188" s="2" t="inlineStr">
        <is>
          <t>01205</t>
        </is>
      </c>
      <c r="N188" s="2" t="inlineStr">
        <is>
          <t>https://app.redstat.kz/niche/01205?event_date=2026-08-01</t>
        </is>
      </c>
      <c r="O188" s="2" t="inlineStr">
        <is>
          <t>https://kaspi.kz/shop/c/hair%20color%20products/</t>
        </is>
      </c>
    </row>
    <row r="189">
      <c r="A189" s="2" t="n">
        <v>188</v>
      </c>
      <c r="B189" s="2" t="inlineStr">
        <is>
          <t>ИБП и стабилизаторы</t>
        </is>
      </c>
      <c r="C189" s="2" t="inlineStr">
        <is>
          <t>Компьютеры</t>
        </is>
      </c>
      <c r="D189" s="2" t="inlineStr">
        <is>
          <t>Компьютеры → Периферия → ИБП и стабилизаторы</t>
        </is>
      </c>
      <c r="E189" s="3" t="n">
        <v>178601511</v>
      </c>
      <c r="F189" s="3" t="n">
        <v>3067</v>
      </c>
      <c r="G189" s="3">
        <f>IFERROR(E189/F189,0)</f>
        <v/>
      </c>
      <c r="H189" s="3" t="n">
        <v>387</v>
      </c>
      <c r="I189" s="2" t="n">
        <v>57</v>
      </c>
      <c r="J189" s="3">
        <f>IFERROR(E189/H189,0)</f>
        <v/>
      </c>
      <c r="K189" s="10">
        <f>E189/'По разделам'!$B$21</f>
        <v/>
      </c>
      <c r="L189" s="4">
        <f>L188+K189</f>
        <v/>
      </c>
      <c r="M189" s="2" t="inlineStr">
        <is>
          <t>05305</t>
        </is>
      </c>
      <c r="N189" s="2" t="inlineStr">
        <is>
          <t>https://app.redstat.kz/niche/05305?event_date=2026-08-01</t>
        </is>
      </c>
      <c r="O189" s="2" t="inlineStr">
        <is>
          <t>https://kaspi.kz/shop/c/ups/</t>
        </is>
      </c>
    </row>
    <row r="190">
      <c r="A190" s="2" t="n">
        <v>189</v>
      </c>
      <c r="B190" s="2" t="inlineStr">
        <is>
          <t>Чистящие средства</t>
        </is>
      </c>
      <c r="C190" s="2" t="inlineStr">
        <is>
          <t>Товары для дома и дачи</t>
        </is>
      </c>
      <c r="D190" s="2" t="inlineStr">
        <is>
          <t>Товары для дома и дачи → Бытовая химия → Чистящие средства → Чистящие средства</t>
        </is>
      </c>
      <c r="E190" s="3" t="n">
        <v>176987405</v>
      </c>
      <c r="F190" s="3" t="n">
        <v>64979</v>
      </c>
      <c r="G190" s="3">
        <f>IFERROR(E190/F190,0)</f>
        <v/>
      </c>
      <c r="H190" s="3" t="n">
        <v>3755</v>
      </c>
      <c r="I190" s="2" t="n">
        <v>644</v>
      </c>
      <c r="J190" s="3">
        <f>IFERROR(E190/H190,0)</f>
        <v/>
      </c>
      <c r="K190" s="10">
        <f>E190/'По разделам'!$B$21</f>
        <v/>
      </c>
      <c r="L190" s="4">
        <f>L189+K190</f>
        <v/>
      </c>
      <c r="M190" s="2" t="inlineStr">
        <is>
          <t>q181abafab74342b</t>
        </is>
      </c>
      <c r="N190" s="2" t="inlineStr">
        <is>
          <t>https://app.redstat.kz/niche/q181abafab74342b?event_date=2026-08-01</t>
        </is>
      </c>
      <c r="O190" s="2" t="inlineStr"/>
    </row>
    <row r="191">
      <c r="A191" s="2" t="n">
        <v>190</v>
      </c>
      <c r="B191" s="2" t="inlineStr">
        <is>
          <t>Кузовные детали</t>
        </is>
      </c>
      <c r="C191" s="2" t="inlineStr">
        <is>
          <t>Автотовары</t>
        </is>
      </c>
      <c r="D191" s="2" t="inlineStr">
        <is>
          <t>Автотовары → Автозапчасти → Кузовные детали → Кузовные детали</t>
        </is>
      </c>
      <c r="E191" s="3" t="n">
        <v>176712260</v>
      </c>
      <c r="F191" s="3" t="n">
        <v>7990</v>
      </c>
      <c r="G191" s="3">
        <f>IFERROR(E191/F191,0)</f>
        <v/>
      </c>
      <c r="H191" s="3" t="n">
        <v>3296</v>
      </c>
      <c r="I191" s="2" t="n">
        <v>336</v>
      </c>
      <c r="J191" s="3">
        <f>IFERROR(E191/H191,0)</f>
        <v/>
      </c>
      <c r="K191" s="10">
        <f>E191/'По разделам'!$B$21</f>
        <v/>
      </c>
      <c r="L191" s="4">
        <f>L190+K191</f>
        <v/>
      </c>
      <c r="M191" s="2" t="inlineStr">
        <is>
          <t>q6c403d91c035a5f</t>
        </is>
      </c>
      <c r="N191" s="2" t="inlineStr">
        <is>
          <t>https://app.redstat.kz/niche/q6c403d91c035a5f?event_date=2026-08-01</t>
        </is>
      </c>
      <c r="O191" s="2" t="inlineStr"/>
    </row>
    <row r="192">
      <c r="A192" s="2" t="n">
        <v>191</v>
      </c>
      <c r="B192" s="2" t="inlineStr">
        <is>
          <t>Клавишные</t>
        </is>
      </c>
      <c r="C192" s="2" t="inlineStr">
        <is>
          <t>Досуг, книги</t>
        </is>
      </c>
      <c r="D192" s="2" t="inlineStr">
        <is>
          <t>Досуг, книги → Музыкальные инструменты → Клавишные → Клавишные</t>
        </is>
      </c>
      <c r="E192" s="3" t="n">
        <v>175918891</v>
      </c>
      <c r="F192" s="3" t="n">
        <v>1339</v>
      </c>
      <c r="G192" s="3">
        <f>IFERROR(E192/F192,0)</f>
        <v/>
      </c>
      <c r="H192" s="3" t="n">
        <v>246</v>
      </c>
      <c r="I192" s="2" t="n">
        <v>51</v>
      </c>
      <c r="J192" s="3">
        <f>IFERROR(E192/H192,0)</f>
        <v/>
      </c>
      <c r="K192" s="10">
        <f>E192/'По разделам'!$B$21</f>
        <v/>
      </c>
      <c r="L192" s="4">
        <f>L191+K192</f>
        <v/>
      </c>
      <c r="M192" s="2" t="inlineStr">
        <is>
          <t>q3421a68844944db</t>
        </is>
      </c>
      <c r="N192" s="2" t="inlineStr">
        <is>
          <t>https://app.redstat.kz/niche/q3421a68844944db?event_date=2026-08-01</t>
        </is>
      </c>
      <c r="O192" s="2" t="inlineStr"/>
    </row>
    <row r="193">
      <c r="A193" s="2" t="n">
        <v>192</v>
      </c>
      <c r="B193" s="2" t="inlineStr">
        <is>
          <t>Кухонные мойки</t>
        </is>
      </c>
      <c r="C193" s="2" t="inlineStr">
        <is>
          <t>Строительство, ремонт</t>
        </is>
      </c>
      <c r="D193" s="2" t="inlineStr">
        <is>
          <t>Строительство, ремонт → Сантехника → Кухонные мойки</t>
        </is>
      </c>
      <c r="E193" s="3" t="n">
        <v>175472951</v>
      </c>
      <c r="F193" s="3" t="n">
        <v>6806</v>
      </c>
      <c r="G193" s="3">
        <f>IFERROR(E193/F193,0)</f>
        <v/>
      </c>
      <c r="H193" s="3" t="n">
        <v>878</v>
      </c>
      <c r="I193" s="2" t="n">
        <v>100</v>
      </c>
      <c r="J193" s="3">
        <f>IFERROR(E193/H193,0)</f>
        <v/>
      </c>
      <c r="K193" s="10">
        <f>E193/'По разделам'!$B$21</f>
        <v/>
      </c>
      <c r="L193" s="4">
        <f>L192+K193</f>
        <v/>
      </c>
      <c r="M193" s="2" t="inlineStr">
        <is>
          <t>00595</t>
        </is>
      </c>
      <c r="N193" s="2" t="inlineStr">
        <is>
          <t>https://app.redstat.kz/niche/00595?event_date=2026-08-01</t>
        </is>
      </c>
      <c r="O193" s="2" t="inlineStr">
        <is>
          <t>https://kaspi.kz/shop/c/kitchen%20sinks/</t>
        </is>
      </c>
    </row>
    <row r="194">
      <c r="A194" s="2" t="n">
        <v>193</v>
      </c>
      <c r="B194" s="2" t="inlineStr">
        <is>
          <t>Видеорегистраторы</t>
        </is>
      </c>
      <c r="C194" s="2" t="inlineStr">
        <is>
          <t>Автотовары</t>
        </is>
      </c>
      <c r="D194" s="2" t="inlineStr">
        <is>
          <t>Автотовары → Автоэлектроника → Видеорегистраторы</t>
        </is>
      </c>
      <c r="E194" s="3" t="n">
        <v>175026758</v>
      </c>
      <c r="F194" s="3" t="n">
        <v>5624</v>
      </c>
      <c r="G194" s="3">
        <f>IFERROR(E194/F194,0)</f>
        <v/>
      </c>
      <c r="H194" s="3" t="n">
        <v>491</v>
      </c>
      <c r="I194" s="2" t="n">
        <v>133</v>
      </c>
      <c r="J194" s="3">
        <f>IFERROR(E194/H194,0)</f>
        <v/>
      </c>
      <c r="K194" s="10">
        <f>E194/'По разделам'!$B$21</f>
        <v/>
      </c>
      <c r="L194" s="4">
        <f>L193+K194</f>
        <v/>
      </c>
      <c r="M194" s="2" t="inlineStr">
        <is>
          <t>00046</t>
        </is>
      </c>
      <c r="N194" s="2" t="inlineStr">
        <is>
          <t>https://app.redstat.kz/niche/00046?event_date=2026-08-01</t>
        </is>
      </c>
      <c r="O194" s="2" t="inlineStr">
        <is>
          <t>https://kaspi.kz/shop/c/dvrs/</t>
        </is>
      </c>
    </row>
    <row r="195">
      <c r="A195" s="2" t="n">
        <v>194</v>
      </c>
      <c r="B195" s="2" t="inlineStr">
        <is>
          <t>Коробки, ящики и корзины для хранения</t>
        </is>
      </c>
      <c r="C195" s="2" t="inlineStr">
        <is>
          <t>Товары для дома и дачи</t>
        </is>
      </c>
      <c r="D195" s="2" t="inlineStr">
        <is>
          <t>Товары для дома и дачи → Хранение вещей → Коробки, ящики и корзины для хранения</t>
        </is>
      </c>
      <c r="E195" s="3" t="n">
        <v>174442242</v>
      </c>
      <c r="F195" s="3" t="n">
        <v>46958</v>
      </c>
      <c r="G195" s="3">
        <f>IFERROR(E195/F195,0)</f>
        <v/>
      </c>
      <c r="H195" s="3" t="n">
        <v>3751</v>
      </c>
      <c r="I195" s="2" t="n">
        <v>393</v>
      </c>
      <c r="J195" s="3">
        <f>IFERROR(E195/H195,0)</f>
        <v/>
      </c>
      <c r="K195" s="10">
        <f>E195/'По разделам'!$B$21</f>
        <v/>
      </c>
      <c r="L195" s="4">
        <f>L194+K195</f>
        <v/>
      </c>
      <c r="M195" s="2" t="inlineStr">
        <is>
          <t>04496</t>
        </is>
      </c>
      <c r="N195" s="2" t="inlineStr">
        <is>
          <t>https://app.redstat.kz/niche/04496?event_date=2026-08-01</t>
        </is>
      </c>
      <c r="O195" s="2" t="inlineStr">
        <is>
          <t>https://kaspi.kz/shop/c/storage%20boxes%20and%20crates/</t>
        </is>
      </c>
    </row>
    <row r="196">
      <c r="A196" s="2" t="n">
        <v>195</v>
      </c>
      <c r="B196" s="2" t="inlineStr">
        <is>
          <t>Полотенца</t>
        </is>
      </c>
      <c r="C196" s="2" t="inlineStr">
        <is>
          <t>Товары для дома и дачи</t>
        </is>
      </c>
      <c r="D196" s="2" t="inlineStr">
        <is>
          <t>Товары для дома и дачи → Домашний текстиль → Полотенца</t>
        </is>
      </c>
      <c r="E196" s="3" t="n">
        <v>173622195</v>
      </c>
      <c r="F196" s="3" t="n">
        <v>42479</v>
      </c>
      <c r="G196" s="3">
        <f>IFERROR(E196/F196,0)</f>
        <v/>
      </c>
      <c r="H196" s="3" t="n">
        <v>4420</v>
      </c>
      <c r="I196" s="2" t="n">
        <v>478</v>
      </c>
      <c r="J196" s="3">
        <f>IFERROR(E196/H196,0)</f>
        <v/>
      </c>
      <c r="K196" s="10">
        <f>E196/'По разделам'!$B$21</f>
        <v/>
      </c>
      <c r="L196" s="4">
        <f>L195+K196</f>
        <v/>
      </c>
      <c r="M196" s="2" t="inlineStr">
        <is>
          <t>00821</t>
        </is>
      </c>
      <c r="N196" s="2" t="inlineStr">
        <is>
          <t>https://app.redstat.kz/niche/00821?event_date=2026-08-01</t>
        </is>
      </c>
      <c r="O196" s="2" t="inlineStr">
        <is>
          <t>https://kaspi.kz/shop/c/towels/</t>
        </is>
      </c>
    </row>
    <row r="197">
      <c r="A197" s="2" t="n">
        <v>196</v>
      </c>
      <c r="B197" s="2" t="inlineStr">
        <is>
          <t>Накладные ресницы</t>
        </is>
      </c>
      <c r="C197" s="2" t="inlineStr">
        <is>
          <t>Красота и здоровье</t>
        </is>
      </c>
      <c r="D197" s="2" t="inlineStr">
        <is>
          <t>Красота и здоровье → Косметика и аксессуары для бровей и ресниц → Накладные ресницы</t>
        </is>
      </c>
      <c r="E197" s="3" t="n">
        <v>173333659</v>
      </c>
      <c r="F197" s="3" t="n">
        <v>176122</v>
      </c>
      <c r="G197" s="3">
        <f>IFERROR(E197/F197,0)</f>
        <v/>
      </c>
      <c r="H197" s="3" t="n">
        <v>2626</v>
      </c>
      <c r="I197" s="2" t="n">
        <v>211</v>
      </c>
      <c r="J197" s="3">
        <f>IFERROR(E197/H197,0)</f>
        <v/>
      </c>
      <c r="K197" s="10">
        <f>E197/'По разделам'!$B$21</f>
        <v/>
      </c>
      <c r="L197" s="4">
        <f>L196+K197</f>
        <v/>
      </c>
      <c r="M197" s="2" t="inlineStr">
        <is>
          <t>04339</t>
        </is>
      </c>
      <c r="N197" s="2" t="inlineStr">
        <is>
          <t>https://app.redstat.kz/niche/04339?event_date=2026-08-01</t>
        </is>
      </c>
      <c r="O197" s="2" t="inlineStr">
        <is>
          <t>https://kaspi.kz/shop/c/eyelash%20extension%20products/</t>
        </is>
      </c>
    </row>
    <row r="198">
      <c r="A198" s="2" t="n">
        <v>197</v>
      </c>
      <c r="B198" s="2" t="inlineStr">
        <is>
          <t>Тушь</t>
        </is>
      </c>
      <c r="C198" s="2" t="inlineStr">
        <is>
          <t>Красота и здоровье</t>
        </is>
      </c>
      <c r="D198" s="2" t="inlineStr">
        <is>
          <t>Красота и здоровье → Декоративная косметика → Тушь</t>
        </is>
      </c>
      <c r="E198" s="3" t="n">
        <v>172906967</v>
      </c>
      <c r="F198" s="3" t="n">
        <v>71234</v>
      </c>
      <c r="G198" s="3">
        <f>IFERROR(E198/F198,0)</f>
        <v/>
      </c>
      <c r="H198" s="3" t="n">
        <v>860</v>
      </c>
      <c r="I198" s="2" t="n">
        <v>157</v>
      </c>
      <c r="J198" s="3">
        <f>IFERROR(E198/H198,0)</f>
        <v/>
      </c>
      <c r="K198" s="10">
        <f>E198/'По разделам'!$B$21</f>
        <v/>
      </c>
      <c r="L198" s="4">
        <f>L197+K198</f>
        <v/>
      </c>
      <c r="M198" s="2" t="inlineStr">
        <is>
          <t>00576</t>
        </is>
      </c>
      <c r="N198" s="2" t="inlineStr">
        <is>
          <t>https://app.redstat.kz/niche/00576?event_date=2026-08-01</t>
        </is>
      </c>
      <c r="O198" s="2" t="inlineStr">
        <is>
          <t>https://kaspi.kz/shop/c/mascaras/</t>
        </is>
      </c>
    </row>
    <row r="199">
      <c r="A199" s="2" t="n">
        <v>198</v>
      </c>
      <c r="B199" s="2" t="inlineStr">
        <is>
          <t>Зубные пасты, гели, порошки</t>
        </is>
      </c>
      <c r="C199" s="2" t="inlineStr">
        <is>
          <t>Красота и здоровье</t>
        </is>
      </c>
      <c r="D199" s="2" t="inlineStr">
        <is>
          <t>Красота и здоровье → Уход за полостью рта → Зубные пасты, гели, порошки</t>
        </is>
      </c>
      <c r="E199" s="3" t="n">
        <v>172723353</v>
      </c>
      <c r="F199" s="3" t="n">
        <v>49263</v>
      </c>
      <c r="G199" s="3">
        <f>IFERROR(E199/F199,0)</f>
        <v/>
      </c>
      <c r="H199" s="3" t="n">
        <v>1602</v>
      </c>
      <c r="I199" s="2" t="n">
        <v>239</v>
      </c>
      <c r="J199" s="3">
        <f>IFERROR(E199/H199,0)</f>
        <v/>
      </c>
      <c r="K199" s="10">
        <f>E199/'По разделам'!$B$21</f>
        <v/>
      </c>
      <c r="L199" s="4">
        <f>L198+K199</f>
        <v/>
      </c>
      <c r="M199" s="2" t="inlineStr">
        <is>
          <t>01733</t>
        </is>
      </c>
      <c r="N199" s="2" t="inlineStr">
        <is>
          <t>https://app.redstat.kz/niche/01733?event_date=2026-08-01</t>
        </is>
      </c>
      <c r="O199" s="2" t="inlineStr">
        <is>
          <t>https://kaspi.kz/shop/c/toothpaste/</t>
        </is>
      </c>
    </row>
    <row r="200">
      <c r="A200" s="2" t="n">
        <v>199</v>
      </c>
      <c r="B200" s="2" t="inlineStr">
        <is>
          <t>Клавиатуры</t>
        </is>
      </c>
      <c r="C200" s="2" t="inlineStr">
        <is>
          <t>Компьютеры</t>
        </is>
      </c>
      <c r="D200" s="2" t="inlineStr">
        <is>
          <t>Компьютеры → Периферия → Клавиатуры</t>
        </is>
      </c>
      <c r="E200" s="3" t="n">
        <v>171110224</v>
      </c>
      <c r="F200" s="3" t="n">
        <v>14497</v>
      </c>
      <c r="G200" s="3">
        <f>IFERROR(E200/F200,0)</f>
        <v/>
      </c>
      <c r="H200" s="3" t="n">
        <v>1240</v>
      </c>
      <c r="I200" s="2" t="n">
        <v>162</v>
      </c>
      <c r="J200" s="3">
        <f>IFERROR(E200/H200,0)</f>
        <v/>
      </c>
      <c r="K200" s="10">
        <f>E200/'По разделам'!$B$21</f>
        <v/>
      </c>
      <c r="L200" s="4">
        <f>L199+K200</f>
        <v/>
      </c>
      <c r="M200" s="2" t="inlineStr">
        <is>
          <t>00116</t>
        </is>
      </c>
      <c r="N200" s="2" t="inlineStr">
        <is>
          <t>https://app.redstat.kz/niche/00116?event_date=2026-08-01</t>
        </is>
      </c>
      <c r="O200" s="2" t="inlineStr">
        <is>
          <t>https://kaspi.kz/shop/c/keyboards/</t>
        </is>
      </c>
    </row>
    <row r="201">
      <c r="A201" s="2" t="n">
        <v>200</v>
      </c>
      <c r="B201" s="2" t="inlineStr">
        <is>
          <t>Измерительные инструменты</t>
        </is>
      </c>
      <c r="C201" s="2" t="inlineStr">
        <is>
          <t>Строительство, ремонт</t>
        </is>
      </c>
      <c r="D201" s="2" t="inlineStr">
        <is>
          <t>Строительство, ремонт → Инструменты → Измерительные инструменты → Измерительные инструменты</t>
        </is>
      </c>
      <c r="E201" s="3" t="n">
        <v>170733392</v>
      </c>
      <c r="F201" s="3" t="n">
        <v>10436</v>
      </c>
      <c r="G201" s="3">
        <f>IFERROR(E201/F201,0)</f>
        <v/>
      </c>
      <c r="H201" s="3" t="n">
        <v>1451</v>
      </c>
      <c r="I201" s="2" t="n">
        <v>361</v>
      </c>
      <c r="J201" s="3">
        <f>IFERROR(E201/H201,0)</f>
        <v/>
      </c>
      <c r="K201" s="10">
        <f>E201/'По разделам'!$B$21</f>
        <v/>
      </c>
      <c r="L201" s="4">
        <f>L200+K201</f>
        <v/>
      </c>
      <c r="M201" s="2" t="inlineStr">
        <is>
          <t>qd3f0769baa9a960</t>
        </is>
      </c>
      <c r="N201" s="2" t="inlineStr">
        <is>
          <t>https://app.redstat.kz/niche/qd3f0769baa9a960?event_date=2026-08-01</t>
        </is>
      </c>
      <c r="O201" s="2" t="inlineStr"/>
    </row>
    <row r="202">
      <c r="A202" s="2" t="n">
        <v>201</v>
      </c>
      <c r="B202" s="2" t="inlineStr">
        <is>
          <t>Аксессуары для ноутбуков</t>
        </is>
      </c>
      <c r="C202" s="2" t="inlineStr">
        <is>
          <t>Компьютеры</t>
        </is>
      </c>
      <c r="D202" s="2" t="inlineStr">
        <is>
          <t>Компьютеры → Ноутбуки и аксессуары → Аксессуары для ноутбуков → Аксессуары для ноутбуков</t>
        </is>
      </c>
      <c r="E202" s="3" t="n">
        <v>169095958</v>
      </c>
      <c r="F202" s="3" t="n">
        <v>25363</v>
      </c>
      <c r="G202" s="3">
        <f>IFERROR(E202/F202,0)</f>
        <v/>
      </c>
      <c r="H202" s="3" t="n">
        <v>2939</v>
      </c>
      <c r="I202" s="2" t="n">
        <v>311</v>
      </c>
      <c r="J202" s="3">
        <f>IFERROR(E202/H202,0)</f>
        <v/>
      </c>
      <c r="K202" s="10">
        <f>E202/'По разделам'!$B$21</f>
        <v/>
      </c>
      <c r="L202" s="4">
        <f>L201+K202</f>
        <v/>
      </c>
      <c r="M202" s="2" t="inlineStr">
        <is>
          <t>q8b2c496ccf58c22</t>
        </is>
      </c>
      <c r="N202" s="2" t="inlineStr">
        <is>
          <t>https://app.redstat.kz/niche/q8b2c496ccf58c22?event_date=2026-08-01</t>
        </is>
      </c>
      <c r="O202" s="2" t="inlineStr"/>
    </row>
    <row r="203">
      <c r="A203" s="2" t="n">
        <v>202</v>
      </c>
      <c r="B203" s="2" t="inlineStr">
        <is>
          <t>Колыбели, кроватки для новорожденных</t>
        </is>
      </c>
      <c r="C203" s="2" t="inlineStr">
        <is>
          <t>Мебель</t>
        </is>
      </c>
      <c r="D203" s="2" t="inlineStr">
        <is>
          <t>Мебель → Детская комната → Колыбели, кроватки для новорожденных</t>
        </is>
      </c>
      <c r="E203" s="3" t="n">
        <v>168221768</v>
      </c>
      <c r="F203" s="3" t="n">
        <v>3818</v>
      </c>
      <c r="G203" s="3">
        <f>IFERROR(E203/F203,0)</f>
        <v/>
      </c>
      <c r="H203" s="3" t="n">
        <v>463</v>
      </c>
      <c r="I203" s="2" t="n">
        <v>74</v>
      </c>
      <c r="J203" s="3">
        <f>IFERROR(E203/H203,0)</f>
        <v/>
      </c>
      <c r="K203" s="10">
        <f>E203/'По разделам'!$B$21</f>
        <v/>
      </c>
      <c r="L203" s="4">
        <f>L202+K203</f>
        <v/>
      </c>
      <c r="M203" s="2" t="inlineStr">
        <is>
          <t>07256</t>
        </is>
      </c>
      <c r="N203" s="2" t="inlineStr">
        <is>
          <t>https://app.redstat.kz/niche/07256?event_date=2026-08-01</t>
        </is>
      </c>
      <c r="O203" s="2" t="inlineStr">
        <is>
          <t>https://kaspi.kz/shop/c/cradles%20and%20playpens/</t>
        </is>
      </c>
    </row>
    <row r="204">
      <c r="A204" s="2" t="n">
        <v>203</v>
      </c>
      <c r="B204" s="2" t="inlineStr">
        <is>
          <t>Насосы</t>
        </is>
      </c>
      <c r="C204" s="2" t="inlineStr">
        <is>
          <t>Строительство, ремонт</t>
        </is>
      </c>
      <c r="D204" s="2" t="inlineStr">
        <is>
          <t>Строительство, ремонт → Водоснабжение → Насосы → Насосы</t>
        </is>
      </c>
      <c r="E204" s="3" t="n">
        <v>166720571</v>
      </c>
      <c r="F204" s="3" t="n">
        <v>4289</v>
      </c>
      <c r="G204" s="3">
        <f>IFERROR(E204/F204,0)</f>
        <v/>
      </c>
      <c r="H204" s="3" t="n">
        <v>1022</v>
      </c>
      <c r="I204" s="2" t="n">
        <v>160</v>
      </c>
      <c r="J204" s="3">
        <f>IFERROR(E204/H204,0)</f>
        <v/>
      </c>
      <c r="K204" s="10">
        <f>E204/'По разделам'!$B$21</f>
        <v/>
      </c>
      <c r="L204" s="4">
        <f>L203+K204</f>
        <v/>
      </c>
      <c r="M204" s="2" t="inlineStr">
        <is>
          <t>q822b4259ea38ccc</t>
        </is>
      </c>
      <c r="N204" s="2" t="inlineStr">
        <is>
          <t>https://app.redstat.kz/niche/q822b4259ea38ccc?event_date=2026-08-01</t>
        </is>
      </c>
      <c r="O204" s="2" t="inlineStr"/>
    </row>
    <row r="205">
      <c r="A205" s="2" t="n">
        <v>204</v>
      </c>
      <c r="B205" s="2" t="inlineStr">
        <is>
          <t>Женские туфли</t>
        </is>
      </c>
      <c r="C205" s="2" t="inlineStr">
        <is>
          <t>Обувь</t>
        </is>
      </c>
      <c r="D205" s="2" t="inlineStr">
        <is>
          <t>Обувь → Женская обувь → Женские туфли</t>
        </is>
      </c>
      <c r="E205" s="3" t="n">
        <v>166673392</v>
      </c>
      <c r="F205" s="3" t="n">
        <v>10532</v>
      </c>
      <c r="G205" s="3">
        <f>IFERROR(E205/F205,0)</f>
        <v/>
      </c>
      <c r="H205" s="3" t="n">
        <v>4368</v>
      </c>
      <c r="I205" s="2" t="n">
        <v>425</v>
      </c>
      <c r="J205" s="3">
        <f>IFERROR(E205/H205,0)</f>
        <v/>
      </c>
      <c r="K205" s="10">
        <f>E205/'По разделам'!$B$21</f>
        <v/>
      </c>
      <c r="L205" s="4">
        <f>L204+K205</f>
        <v/>
      </c>
      <c r="M205" s="2" t="inlineStr">
        <is>
          <t>00814</t>
        </is>
      </c>
      <c r="N205" s="2" t="inlineStr">
        <is>
          <t>https://app.redstat.kz/niche/00814?event_date=2026-08-01</t>
        </is>
      </c>
      <c r="O205" s="2" t="inlineStr">
        <is>
          <t>https://kaspi.kz/shop/c/women%20dress%20shoes/</t>
        </is>
      </c>
    </row>
    <row r="206">
      <c r="A206" s="2" t="n">
        <v>205</v>
      </c>
      <c r="B206" s="2" t="inlineStr">
        <is>
          <t>Детские столы и парты</t>
        </is>
      </c>
      <c r="C206" s="2" t="inlineStr">
        <is>
          <t>Мебель</t>
        </is>
      </c>
      <c r="D206" s="2" t="inlineStr">
        <is>
          <t>Мебель → Детская комната → Детские столы и парты</t>
        </is>
      </c>
      <c r="E206" s="3" t="n">
        <v>166410053</v>
      </c>
      <c r="F206" s="3" t="n">
        <v>5517</v>
      </c>
      <c r="G206" s="3">
        <f>IFERROR(E206/F206,0)</f>
        <v/>
      </c>
      <c r="H206" s="3" t="n">
        <v>506</v>
      </c>
      <c r="I206" s="2" t="n">
        <v>90</v>
      </c>
      <c r="J206" s="3">
        <f>IFERROR(E206/H206,0)</f>
        <v/>
      </c>
      <c r="K206" s="10">
        <f>E206/'По разделам'!$B$21</f>
        <v/>
      </c>
      <c r="L206" s="4">
        <f>L205+K206</f>
        <v/>
      </c>
      <c r="M206" s="2" t="inlineStr">
        <is>
          <t>05636</t>
        </is>
      </c>
      <c r="N206" s="2" t="inlineStr">
        <is>
          <t>https://app.redstat.kz/niche/05636?event_date=2026-08-01</t>
        </is>
      </c>
      <c r="O206" s="2" t="inlineStr">
        <is>
          <t>https://kaspi.kz/shop/c/kids%20desks/</t>
        </is>
      </c>
    </row>
    <row r="207">
      <c r="A207" s="2" t="n">
        <v>206</v>
      </c>
      <c r="B207" s="2" t="inlineStr">
        <is>
          <t>Наборы инструментов</t>
        </is>
      </c>
      <c r="C207" s="2" t="inlineStr">
        <is>
          <t>Строительство, ремонт</t>
        </is>
      </c>
      <c r="D207" s="2" t="inlineStr">
        <is>
          <t>Строительство, ремонт → Ручные инструменты → Наборы инструментов</t>
        </is>
      </c>
      <c r="E207" s="3" t="n">
        <v>165761046</v>
      </c>
      <c r="F207" s="3" t="n">
        <v>7314</v>
      </c>
      <c r="G207" s="3">
        <f>IFERROR(E207/F207,0)</f>
        <v/>
      </c>
      <c r="H207" s="3" t="n">
        <v>611</v>
      </c>
      <c r="I207" s="2" t="n">
        <v>142</v>
      </c>
      <c r="J207" s="3">
        <f>IFERROR(E207/H207,0)</f>
        <v/>
      </c>
      <c r="K207" s="10">
        <f>E207/'По разделам'!$B$21</f>
        <v/>
      </c>
      <c r="L207" s="4">
        <f>L206+K207</f>
        <v/>
      </c>
      <c r="M207" s="2" t="inlineStr">
        <is>
          <t>00663</t>
        </is>
      </c>
      <c r="N207" s="2" t="inlineStr">
        <is>
          <t>https://app.redstat.kz/niche/00663?event_date=2026-08-01</t>
        </is>
      </c>
      <c r="O207" s="2" t="inlineStr">
        <is>
          <t>https://kaspi.kz/shop/c/tool%20sets/</t>
        </is>
      </c>
    </row>
    <row r="208">
      <c r="A208" s="2" t="n">
        <v>207</v>
      </c>
      <c r="B208" s="2" t="inlineStr">
        <is>
          <t>Развивающие игрушки</t>
        </is>
      </c>
      <c r="C208" s="2" t="inlineStr">
        <is>
          <t>Детские товары</t>
        </is>
      </c>
      <c r="D208" s="2" t="inlineStr">
        <is>
          <t>Детские товары → Игрушки → Развивающие игрушки</t>
        </is>
      </c>
      <c r="E208" s="3" t="n">
        <v>164359612</v>
      </c>
      <c r="F208" s="3" t="n">
        <v>66980</v>
      </c>
      <c r="G208" s="3">
        <f>IFERROR(E208/F208,0)</f>
        <v/>
      </c>
      <c r="H208" s="3" t="n">
        <v>3965</v>
      </c>
      <c r="I208" s="2" t="n">
        <v>577</v>
      </c>
      <c r="J208" s="3">
        <f>IFERROR(E208/H208,0)</f>
        <v/>
      </c>
      <c r="K208" s="10">
        <f>E208/'По разделам'!$B$21</f>
        <v/>
      </c>
      <c r="L208" s="4">
        <f>L207+K208</f>
        <v/>
      </c>
      <c r="M208" s="2" t="inlineStr">
        <is>
          <t>05428</t>
        </is>
      </c>
      <c r="N208" s="2" t="inlineStr">
        <is>
          <t>https://app.redstat.kz/niche/05428?event_date=2026-08-01</t>
        </is>
      </c>
      <c r="O208" s="2" t="inlineStr">
        <is>
          <t>https://kaspi.kz/shop/c/educational%20toys/</t>
        </is>
      </c>
    </row>
    <row r="209">
      <c r="A209" s="2" t="n">
        <v>208</v>
      </c>
      <c r="B209" s="2" t="inlineStr">
        <is>
          <t>Мужские спортивные и повседневные костюмы</t>
        </is>
      </c>
      <c r="C209" s="2" t="inlineStr">
        <is>
          <t>Одежда</t>
        </is>
      </c>
      <c r="D209" s="2" t="inlineStr">
        <is>
          <t>Одежда → Мужчинам → Мужские спортивные и повседневные костюмы</t>
        </is>
      </c>
      <c r="E209" s="3" t="n">
        <v>163441580</v>
      </c>
      <c r="F209" s="3" t="n">
        <v>9585</v>
      </c>
      <c r="G209" s="3">
        <f>IFERROR(E209/F209,0)</f>
        <v/>
      </c>
      <c r="H209" s="3" t="n">
        <v>3342</v>
      </c>
      <c r="I209" s="2" t="n">
        <v>238</v>
      </c>
      <c r="J209" s="3">
        <f>IFERROR(E209/H209,0)</f>
        <v/>
      </c>
      <c r="K209" s="10">
        <f>E209/'По разделам'!$B$21</f>
        <v/>
      </c>
      <c r="L209" s="4">
        <f>L208+K209</f>
        <v/>
      </c>
      <c r="M209" s="2" t="inlineStr">
        <is>
          <t>01215</t>
        </is>
      </c>
      <c r="N209" s="2" t="inlineStr">
        <is>
          <t>https://app.redstat.kz/niche/01215?event_date=2026-08-01</t>
        </is>
      </c>
      <c r="O209" s="2" t="inlineStr">
        <is>
          <t>https://kaspi.kz/shop/c/men%20sport%20suits/</t>
        </is>
      </c>
    </row>
    <row r="210">
      <c r="A210" s="2" t="n">
        <v>209</v>
      </c>
      <c r="B210" s="2" t="inlineStr">
        <is>
          <t>Массажные кресла</t>
        </is>
      </c>
      <c r="C210" s="2" t="inlineStr">
        <is>
          <t>Красота и здоровье</t>
        </is>
      </c>
      <c r="D210" s="2" t="inlineStr">
        <is>
          <t>Красота и здоровье → Массажеры, массажные кресла, миостимуляторы → Массажные кресла</t>
        </is>
      </c>
      <c r="E210" s="3" t="n">
        <v>160288551</v>
      </c>
      <c r="F210" s="3" t="n">
        <v>6265</v>
      </c>
      <c r="G210" s="3">
        <f>IFERROR(E210/F210,0)</f>
        <v/>
      </c>
      <c r="H210" s="3" t="n">
        <v>147</v>
      </c>
      <c r="I210" s="2" t="n">
        <v>36</v>
      </c>
      <c r="J210" s="3">
        <f>IFERROR(E210/H210,0)</f>
        <v/>
      </c>
      <c r="K210" s="10">
        <f>E210/'По разделам'!$B$21</f>
        <v/>
      </c>
      <c r="L210" s="4">
        <f>L209+K210</f>
        <v/>
      </c>
      <c r="M210" s="2" t="inlineStr">
        <is>
          <t>02799</t>
        </is>
      </c>
      <c r="N210" s="2" t="inlineStr">
        <is>
          <t>https://app.redstat.kz/niche/02799?event_date=2026-08-01</t>
        </is>
      </c>
      <c r="O210" s="2" t="inlineStr">
        <is>
          <t>https://kaspi.kz/shop/c/massage%20chairs/</t>
        </is>
      </c>
    </row>
    <row r="211">
      <c r="A211" s="2" t="n">
        <v>210</v>
      </c>
      <c r="B211" s="2" t="inlineStr">
        <is>
          <t>Чехлы для салона</t>
        </is>
      </c>
      <c r="C211" s="2" t="inlineStr">
        <is>
          <t>Автотовары</t>
        </is>
      </c>
      <c r="D211" s="2" t="inlineStr">
        <is>
          <t>Автотовары → Автоаксессуары → Чехлы для салона</t>
        </is>
      </c>
      <c r="E211" s="3" t="n">
        <v>158764030</v>
      </c>
      <c r="F211" s="3" t="n">
        <v>5416</v>
      </c>
      <c r="G211" s="3">
        <f>IFERROR(E211/F211,0)</f>
        <v/>
      </c>
      <c r="H211" s="3" t="n">
        <v>2519</v>
      </c>
      <c r="I211" s="2" t="n">
        <v>123</v>
      </c>
      <c r="J211" s="3">
        <f>IFERROR(E211/H211,0)</f>
        <v/>
      </c>
      <c r="K211" s="10">
        <f>E211/'По разделам'!$B$21</f>
        <v/>
      </c>
      <c r="L211" s="4">
        <f>L210+K211</f>
        <v/>
      </c>
      <c r="M211" s="2" t="inlineStr">
        <is>
          <t>00912</t>
        </is>
      </c>
      <c r="N211" s="2" t="inlineStr">
        <is>
          <t>https://app.redstat.kz/niche/00912?event_date=2026-08-01</t>
        </is>
      </c>
      <c r="O211" s="2" t="inlineStr">
        <is>
          <t>https://kaspi.kz/shop/c/automotive%20seat%20covers/</t>
        </is>
      </c>
    </row>
    <row r="212">
      <c r="A212" s="2" t="n">
        <v>211</v>
      </c>
      <c r="B212" s="2" t="inlineStr">
        <is>
          <t>Мужское нижнее белье</t>
        </is>
      </c>
      <c r="C212" s="2" t="inlineStr">
        <is>
          <t>Одежда</t>
        </is>
      </c>
      <c r="D212" s="2" t="inlineStr">
        <is>
          <t>Одежда → Мужчинам → Мужское нижнее белье → Мужское нижнее белье</t>
        </is>
      </c>
      <c r="E212" s="3" t="n">
        <v>157420727</v>
      </c>
      <c r="F212" s="3" t="n">
        <v>66688</v>
      </c>
      <c r="G212" s="3">
        <f>IFERROR(E212/F212,0)</f>
        <v/>
      </c>
      <c r="H212" s="3" t="n">
        <v>4208</v>
      </c>
      <c r="I212" s="2" t="n">
        <v>354</v>
      </c>
      <c r="J212" s="3">
        <f>IFERROR(E212/H212,0)</f>
        <v/>
      </c>
      <c r="K212" s="10">
        <f>E212/'По разделам'!$B$21</f>
        <v/>
      </c>
      <c r="L212" s="4">
        <f>L211+K212</f>
        <v/>
      </c>
      <c r="M212" s="2" t="inlineStr">
        <is>
          <t>qf423f918f2e791e</t>
        </is>
      </c>
      <c r="N212" s="2" t="inlineStr">
        <is>
          <t>https://app.redstat.kz/niche/qf423f918f2e791e?event_date=2026-08-01</t>
        </is>
      </c>
      <c r="O212" s="2" t="inlineStr"/>
    </row>
    <row r="213">
      <c r="A213" s="2" t="n">
        <v>212</v>
      </c>
      <c r="B213" s="2" t="inlineStr">
        <is>
          <t>Текстиль для кухни</t>
        </is>
      </c>
      <c r="C213" s="2" t="inlineStr">
        <is>
          <t>Товары для дома и дачи</t>
        </is>
      </c>
      <c r="D213" s="2" t="inlineStr">
        <is>
          <t>Товары для дома и дачи → Домашний текстиль → Текстиль для кухни → Текстиль для кухни</t>
        </is>
      </c>
      <c r="E213" s="3" t="n">
        <v>156491796</v>
      </c>
      <c r="F213" s="3" t="n">
        <v>32518</v>
      </c>
      <c r="G213" s="3">
        <f>IFERROR(E213/F213,0)</f>
        <v/>
      </c>
      <c r="H213" s="3" t="n">
        <v>4971</v>
      </c>
      <c r="I213" s="2" t="n">
        <v>349</v>
      </c>
      <c r="J213" s="3">
        <f>IFERROR(E213/H213,0)</f>
        <v/>
      </c>
      <c r="K213" s="10">
        <f>E213/'По разделам'!$B$21</f>
        <v/>
      </c>
      <c r="L213" s="4">
        <f>L212+K213</f>
        <v/>
      </c>
      <c r="M213" s="2" t="inlineStr">
        <is>
          <t>q34dced21c4eb6cc</t>
        </is>
      </c>
      <c r="N213" s="2" t="inlineStr">
        <is>
          <t>https://app.redstat.kz/niche/q34dced21c4eb6cc?event_date=2026-08-01</t>
        </is>
      </c>
      <c r="O213" s="2" t="inlineStr"/>
    </row>
    <row r="214">
      <c r="A214" s="2" t="n">
        <v>213</v>
      </c>
      <c r="B214" s="2" t="inlineStr">
        <is>
          <t>Уход за салоном автомобиля</t>
        </is>
      </c>
      <c r="C214" s="2" t="inlineStr">
        <is>
          <t>Автотовары</t>
        </is>
      </c>
      <c r="D214" s="2" t="inlineStr">
        <is>
          <t>Автотовары → Автохимия и автокосметика → Уход за салоном автомобиля → Уход за салоном автомобиля</t>
        </is>
      </c>
      <c r="E214" s="3" t="n">
        <v>155963394</v>
      </c>
      <c r="F214" s="3" t="n">
        <v>24972</v>
      </c>
      <c r="G214" s="3">
        <f>IFERROR(E214/F214,0)</f>
        <v/>
      </c>
      <c r="H214" s="3" t="n">
        <v>823</v>
      </c>
      <c r="I214" s="2" t="n">
        <v>141</v>
      </c>
      <c r="J214" s="3">
        <f>IFERROR(E214/H214,0)</f>
        <v/>
      </c>
      <c r="K214" s="10">
        <f>E214/'По разделам'!$B$21</f>
        <v/>
      </c>
      <c r="L214" s="4">
        <f>L213+K214</f>
        <v/>
      </c>
      <c r="M214" s="2" t="inlineStr">
        <is>
          <t>qdca639df2682180</t>
        </is>
      </c>
      <c r="N214" s="2" t="inlineStr">
        <is>
          <t>https://app.redstat.kz/niche/qdca639df2682180?event_date=2026-08-01</t>
        </is>
      </c>
      <c r="O214" s="2" t="inlineStr"/>
    </row>
    <row r="215">
      <c r="A215" s="2" t="n">
        <v>214</v>
      </c>
      <c r="B215" s="2" t="inlineStr">
        <is>
          <t>Зарядные устройства для кемпинга</t>
        </is>
      </c>
      <c r="C215" s="2" t="inlineStr">
        <is>
          <t>Спорт, туризм</t>
        </is>
      </c>
      <c r="D215" s="2" t="inlineStr">
        <is>
          <t>Спорт, туризм → Туризм и отдых на природе → Зарядные устройства для кемпинга → Зарядные устройства для кемпинга</t>
        </is>
      </c>
      <c r="E215" s="3" t="n">
        <v>155848442</v>
      </c>
      <c r="F215" s="3" t="n">
        <v>915</v>
      </c>
      <c r="G215" s="3">
        <f>IFERROR(E215/F215,0)</f>
        <v/>
      </c>
      <c r="H215" s="3" t="n">
        <v>182</v>
      </c>
      <c r="I215" s="2" t="n">
        <v>38</v>
      </c>
      <c r="J215" s="3">
        <f>IFERROR(E215/H215,0)</f>
        <v/>
      </c>
      <c r="K215" s="10">
        <f>E215/'По разделам'!$B$21</f>
        <v/>
      </c>
      <c r="L215" s="4">
        <f>L214+K215</f>
        <v/>
      </c>
      <c r="M215" s="2" t="inlineStr">
        <is>
          <t>q2630b2c96921384</t>
        </is>
      </c>
      <c r="N215" s="2" t="inlineStr">
        <is>
          <t>https://app.redstat.kz/niche/q2630b2c96921384?event_date=2026-08-01</t>
        </is>
      </c>
      <c r="O215" s="2" t="inlineStr"/>
    </row>
    <row r="216">
      <c r="A216" s="2" t="n">
        <v>215</v>
      </c>
      <c r="B216" s="2" t="inlineStr">
        <is>
          <t>Конструкторы</t>
        </is>
      </c>
      <c r="C216" s="2" t="inlineStr">
        <is>
          <t>Детские товары</t>
        </is>
      </c>
      <c r="D216" s="2" t="inlineStr">
        <is>
          <t>Детские товары → Игрушки → Конструкторы</t>
        </is>
      </c>
      <c r="E216" s="3" t="n">
        <v>155597089</v>
      </c>
      <c r="F216" s="3" t="n">
        <v>19160</v>
      </c>
      <c r="G216" s="3">
        <f>IFERROR(E216/F216,0)</f>
        <v/>
      </c>
      <c r="H216" s="3" t="n">
        <v>2122</v>
      </c>
      <c r="I216" s="2" t="n">
        <v>208</v>
      </c>
      <c r="J216" s="3">
        <f>IFERROR(E216/H216,0)</f>
        <v/>
      </c>
      <c r="K216" s="10">
        <f>E216/'По разделам'!$B$21</f>
        <v/>
      </c>
      <c r="L216" s="4">
        <f>L215+K216</f>
        <v/>
      </c>
      <c r="M216" s="2" t="inlineStr">
        <is>
          <t>00087</t>
        </is>
      </c>
      <c r="N216" s="2" t="inlineStr">
        <is>
          <t>https://app.redstat.kz/niche/00087?event_date=2026-08-01</t>
        </is>
      </c>
      <c r="O216" s="2" t="inlineStr">
        <is>
          <t>https://kaspi.kz/shop/c/construction/</t>
        </is>
      </c>
    </row>
    <row r="217">
      <c r="A217" s="2" t="n">
        <v>216</v>
      </c>
      <c r="B217" s="2" t="inlineStr">
        <is>
          <t>Души, гарнитуры и аксессуары</t>
        </is>
      </c>
      <c r="C217" s="2" t="inlineStr">
        <is>
          <t>Строительство, ремонт</t>
        </is>
      </c>
      <c r="D217" s="2" t="inlineStr">
        <is>
          <t>Строительство, ремонт → Сантехника → Души, гарнитуры и аксессуары → Души, гарнитуры и аксессуары</t>
        </is>
      </c>
      <c r="E217" s="3" t="n">
        <v>153988440</v>
      </c>
      <c r="F217" s="3" t="n">
        <v>11166</v>
      </c>
      <c r="G217" s="3">
        <f>IFERROR(E217/F217,0)</f>
        <v/>
      </c>
      <c r="H217" s="3" t="n">
        <v>1219</v>
      </c>
      <c r="I217" s="2" t="n">
        <v>153</v>
      </c>
      <c r="J217" s="3">
        <f>IFERROR(E217/H217,0)</f>
        <v/>
      </c>
      <c r="K217" s="10">
        <f>E217/'По разделам'!$B$21</f>
        <v/>
      </c>
      <c r="L217" s="4">
        <f>L216+K217</f>
        <v/>
      </c>
      <c r="M217" s="2" t="inlineStr">
        <is>
          <t>qc5d9464a370d4c3</t>
        </is>
      </c>
      <c r="N217" s="2" t="inlineStr">
        <is>
          <t>https://app.redstat.kz/niche/qc5d9464a370d4c3?event_date=2026-08-01</t>
        </is>
      </c>
      <c r="O217" s="2" t="inlineStr"/>
    </row>
    <row r="218">
      <c r="A218" s="2" t="n">
        <v>217</v>
      </c>
      <c r="B218" s="2" t="inlineStr">
        <is>
          <t>Кисти, спонжи, точилки</t>
        </is>
      </c>
      <c r="C218" s="2" t="inlineStr">
        <is>
          <t>Красота и здоровье</t>
        </is>
      </c>
      <c r="D218" s="2" t="inlineStr">
        <is>
          <t>Красота и здоровье → Декоративная косметика → Кисти, спонжи, точилки → Кисти, спонжи, точилки</t>
        </is>
      </c>
      <c r="E218" s="3" t="n">
        <v>152807511</v>
      </c>
      <c r="F218" s="3" t="n">
        <v>145100</v>
      </c>
      <c r="G218" s="3">
        <f>IFERROR(E218/F218,0)</f>
        <v/>
      </c>
      <c r="H218" s="3" t="n">
        <v>1683</v>
      </c>
      <c r="I218" s="2" t="n">
        <v>327</v>
      </c>
      <c r="J218" s="3">
        <f>IFERROR(E218/H218,0)</f>
        <v/>
      </c>
      <c r="K218" s="10">
        <f>E218/'По разделам'!$B$21</f>
        <v/>
      </c>
      <c r="L218" s="4">
        <f>L217+K218</f>
        <v/>
      </c>
      <c r="M218" s="2" t="inlineStr">
        <is>
          <t>q9fd5fe12a7cf9e9</t>
        </is>
      </c>
      <c r="N218" s="2" t="inlineStr">
        <is>
          <t>https://app.redstat.kz/niche/q9fd5fe12a7cf9e9?event_date=2026-08-01</t>
        </is>
      </c>
      <c r="O218" s="2" t="inlineStr"/>
    </row>
    <row r="219">
      <c r="A219" s="2" t="n">
        <v>218</v>
      </c>
      <c r="B219" s="2" t="inlineStr">
        <is>
          <t>Техника для приготовления десертов</t>
        </is>
      </c>
      <c r="C219" s="2" t="inlineStr">
        <is>
          <t>Бытовая техника</t>
        </is>
      </c>
      <c r="D219" s="2" t="inlineStr">
        <is>
          <t>Бытовая техника → Мелкая техника для кухни → Техника для приготовления десертов → Техника для приготовления десертов</t>
        </is>
      </c>
      <c r="E219" s="3" t="n">
        <v>151696092</v>
      </c>
      <c r="F219" s="3" t="n">
        <v>9149</v>
      </c>
      <c r="G219" s="3">
        <f>IFERROR(E219/F219,0)</f>
        <v/>
      </c>
      <c r="H219" s="3" t="n">
        <v>653</v>
      </c>
      <c r="I219" s="2" t="n">
        <v>173</v>
      </c>
      <c r="J219" s="3">
        <f>IFERROR(E219/H219,0)</f>
        <v/>
      </c>
      <c r="K219" s="10">
        <f>E219/'По разделам'!$B$21</f>
        <v/>
      </c>
      <c r="L219" s="4">
        <f>L218+K219</f>
        <v/>
      </c>
      <c r="M219" s="2" t="inlineStr">
        <is>
          <t>q7fce0affa51cb10</t>
        </is>
      </c>
      <c r="N219" s="2" t="inlineStr">
        <is>
          <t>https://app.redstat.kz/niche/q7fce0affa51cb10?event_date=2026-08-01</t>
        </is>
      </c>
      <c r="O219" s="2" t="inlineStr"/>
    </row>
    <row r="220">
      <c r="A220" s="2" t="n">
        <v>219</v>
      </c>
      <c r="B220" s="2" t="inlineStr">
        <is>
          <t>Аксессуары для планшетов</t>
        </is>
      </c>
      <c r="C220" s="2" t="inlineStr">
        <is>
          <t>Компьютеры</t>
        </is>
      </c>
      <c r="D220" s="2" t="inlineStr">
        <is>
          <t>Компьютеры → Планшеты и аксессуары → Аксессуары для планшетов → Аксессуары для планшетов</t>
        </is>
      </c>
      <c r="E220" s="3" t="n">
        <v>150668128</v>
      </c>
      <c r="F220" s="3" t="n">
        <v>17076</v>
      </c>
      <c r="G220" s="3">
        <f>IFERROR(E220/F220,0)</f>
        <v/>
      </c>
      <c r="H220" s="3" t="n">
        <v>2667</v>
      </c>
      <c r="I220" s="2" t="n">
        <v>154</v>
      </c>
      <c r="J220" s="3">
        <f>IFERROR(E220/H220,0)</f>
        <v/>
      </c>
      <c r="K220" s="10">
        <f>E220/'По разделам'!$B$21</f>
        <v/>
      </c>
      <c r="L220" s="4">
        <f>L219+K220</f>
        <v/>
      </c>
      <c r="M220" s="2" t="inlineStr">
        <is>
          <t>q27b24793ed66383</t>
        </is>
      </c>
      <c r="N220" s="2" t="inlineStr">
        <is>
          <t>https://app.redstat.kz/niche/q27b24793ed66383?event_date=2026-08-01</t>
        </is>
      </c>
      <c r="O220" s="2" t="inlineStr"/>
    </row>
    <row r="221">
      <c r="A221" s="2" t="n">
        <v>220</v>
      </c>
      <c r="B221" s="2" t="inlineStr">
        <is>
          <t>Мужские футболки и майки</t>
        </is>
      </c>
      <c r="C221" s="2" t="inlineStr">
        <is>
          <t>Одежда</t>
        </is>
      </c>
      <c r="D221" s="2" t="inlineStr">
        <is>
          <t>Одежда → Мужчинам → Мужские футболки и майки</t>
        </is>
      </c>
      <c r="E221" s="3" t="n">
        <v>150660111</v>
      </c>
      <c r="F221" s="3" t="n">
        <v>24900</v>
      </c>
      <c r="G221" s="3">
        <f>IFERROR(E221/F221,0)</f>
        <v/>
      </c>
      <c r="H221" s="3" t="n">
        <v>5710</v>
      </c>
      <c r="I221" s="2" t="n">
        <v>373</v>
      </c>
      <c r="J221" s="3">
        <f>IFERROR(E221/H221,0)</f>
        <v/>
      </c>
      <c r="K221" s="10">
        <f>E221/'По разделам'!$B$21</f>
        <v/>
      </c>
      <c r="L221" s="4">
        <f>L220+K221</f>
        <v/>
      </c>
      <c r="M221" s="2" t="inlineStr">
        <is>
          <t>01407</t>
        </is>
      </c>
      <c r="N221" s="2" t="inlineStr">
        <is>
          <t>https://app.redstat.kz/niche/01407?event_date=2026-08-01</t>
        </is>
      </c>
      <c r="O221" s="2" t="inlineStr">
        <is>
          <t>https://kaspi.kz/shop/c/men%20t-shirts/</t>
        </is>
      </c>
    </row>
    <row r="222">
      <c r="A222" s="2" t="n">
        <v>221</v>
      </c>
      <c r="B222" s="2" t="inlineStr">
        <is>
          <t>Средства для душа</t>
        </is>
      </c>
      <c r="C222" s="2" t="inlineStr">
        <is>
          <t>Красота и здоровье</t>
        </is>
      </c>
      <c r="D222" s="2" t="inlineStr">
        <is>
          <t>Красота и здоровье → Уход за телом → Средства для душа</t>
        </is>
      </c>
      <c r="E222" s="3" t="n">
        <v>149917162</v>
      </c>
      <c r="F222" s="3" t="n">
        <v>43631</v>
      </c>
      <c r="G222" s="3">
        <f>IFERROR(E222/F222,0)</f>
        <v/>
      </c>
      <c r="H222" s="3" t="n">
        <v>2058</v>
      </c>
      <c r="I222" s="2" t="n">
        <v>483</v>
      </c>
      <c r="J222" s="3">
        <f>IFERROR(E222/H222,0)</f>
        <v/>
      </c>
      <c r="K222" s="10">
        <f>E222/'По разделам'!$B$21</f>
        <v/>
      </c>
      <c r="L222" s="4">
        <f>L221+K222</f>
        <v/>
      </c>
      <c r="M222" s="2" t="inlineStr">
        <is>
          <t>05002</t>
        </is>
      </c>
      <c r="N222" s="2" t="inlineStr">
        <is>
          <t>https://app.redstat.kz/niche/05002?event_date=2026-08-01</t>
        </is>
      </c>
      <c r="O222" s="2" t="inlineStr">
        <is>
          <t>https://kaspi.kz/shop/c/bath%20and%20shower%20gels/</t>
        </is>
      </c>
    </row>
    <row r="223">
      <c r="A223" s="2" t="n">
        <v>222</v>
      </c>
      <c r="B223" s="2" t="inlineStr">
        <is>
          <t>Швейные машины</t>
        </is>
      </c>
      <c r="C223" s="2" t="inlineStr">
        <is>
          <t>Бытовая техника</t>
        </is>
      </c>
      <c r="D223" s="2" t="inlineStr">
        <is>
          <t>Бытовая техника → Малая техника для дома → Швейные машины</t>
        </is>
      </c>
      <c r="E223" s="3" t="n">
        <v>149886909</v>
      </c>
      <c r="F223" s="3" t="n">
        <v>2801</v>
      </c>
      <c r="G223" s="3">
        <f>IFERROR(E223/F223,0)</f>
        <v/>
      </c>
      <c r="H223" s="3" t="n">
        <v>271</v>
      </c>
      <c r="I223" s="2" t="n">
        <v>46</v>
      </c>
      <c r="J223" s="3">
        <f>IFERROR(E223/H223,0)</f>
        <v/>
      </c>
      <c r="K223" s="10">
        <f>E223/'По разделам'!$B$21</f>
        <v/>
      </c>
      <c r="L223" s="4">
        <f>L222+K223</f>
        <v/>
      </c>
      <c r="M223" s="2" t="inlineStr">
        <is>
          <t>00053</t>
        </is>
      </c>
      <c r="N223" s="2" t="inlineStr">
        <is>
          <t>https://app.redstat.kz/niche/00053?event_date=2026-08-01</t>
        </is>
      </c>
      <c r="O223" s="2" t="inlineStr">
        <is>
          <t>https://kaspi.kz/shop/c/sewing%20machines/</t>
        </is>
      </c>
    </row>
    <row r="224">
      <c r="A224" s="2" t="n">
        <v>223</v>
      </c>
      <c r="B224" s="2" t="inlineStr">
        <is>
          <t>Средства для укладки</t>
        </is>
      </c>
      <c r="C224" s="2" t="inlineStr">
        <is>
          <t>Красота и здоровье</t>
        </is>
      </c>
      <c r="D224" s="2" t="inlineStr">
        <is>
          <t>Красота и здоровье → Уход за волосами → Средства для укладки</t>
        </is>
      </c>
      <c r="E224" s="3" t="n">
        <v>149539992</v>
      </c>
      <c r="F224" s="3" t="n">
        <v>33774</v>
      </c>
      <c r="G224" s="3">
        <f>IFERROR(E224/F224,0)</f>
        <v/>
      </c>
      <c r="H224" s="3" t="n">
        <v>1532</v>
      </c>
      <c r="I224" s="2" t="n">
        <v>205</v>
      </c>
      <c r="J224" s="3">
        <f>IFERROR(E224/H224,0)</f>
        <v/>
      </c>
      <c r="K224" s="10">
        <f>E224/'По разделам'!$B$21</f>
        <v/>
      </c>
      <c r="L224" s="4">
        <f>L223+K224</f>
        <v/>
      </c>
      <c r="M224" s="2" t="inlineStr">
        <is>
          <t>01465</t>
        </is>
      </c>
      <c r="N224" s="2" t="inlineStr">
        <is>
          <t>https://app.redstat.kz/niche/01465?event_date=2026-08-01</t>
        </is>
      </c>
      <c r="O224" s="2" t="inlineStr">
        <is>
          <t>https://kaspi.kz/shop/c/hair%20fixation%20sprays/</t>
        </is>
      </c>
    </row>
    <row r="225">
      <c r="A225" s="2" t="n">
        <v>224</v>
      </c>
      <c r="B225" s="2" t="inlineStr">
        <is>
          <t>Декоративные средства для бровей</t>
        </is>
      </c>
      <c r="C225" s="2" t="inlineStr">
        <is>
          <t>Красота и здоровье</t>
        </is>
      </c>
      <c r="D225" s="2" t="inlineStr">
        <is>
          <t>Красота и здоровье → Косметика и аксессуары для бровей и ресниц → Декоративные средства для бровей</t>
        </is>
      </c>
      <c r="E225" s="3" t="n">
        <v>145492211</v>
      </c>
      <c r="F225" s="3" t="n">
        <v>111242</v>
      </c>
      <c r="G225" s="3">
        <f>IFERROR(E225/F225,0)</f>
        <v/>
      </c>
      <c r="H225" s="3" t="n">
        <v>868</v>
      </c>
      <c r="I225" s="2" t="n">
        <v>174</v>
      </c>
      <c r="J225" s="3">
        <f>IFERROR(E225/H225,0)</f>
        <v/>
      </c>
      <c r="K225" s="10">
        <f>E225/'По разделам'!$B$21</f>
        <v/>
      </c>
      <c r="L225" s="4">
        <f>L224+K225</f>
        <v/>
      </c>
      <c r="M225" s="2" t="inlineStr">
        <is>
          <t>07013</t>
        </is>
      </c>
      <c r="N225" s="2" t="inlineStr">
        <is>
          <t>https://app.redstat.kz/niche/07013?event_date=2026-08-01</t>
        </is>
      </c>
      <c r="O225" s="2" t="inlineStr">
        <is>
          <t>https://kaspi.kz/shop/c/decorative%20products/</t>
        </is>
      </c>
    </row>
    <row r="226">
      <c r="A226" s="2" t="n">
        <v>225</v>
      </c>
      <c r="B226" s="2" t="inlineStr">
        <is>
          <t>Сервировка стола</t>
        </is>
      </c>
      <c r="C226" s="2" t="inlineStr">
        <is>
          <t>Товары для дома и дачи</t>
        </is>
      </c>
      <c r="D226" s="2" t="inlineStr">
        <is>
          <t>Товары для дома и дачи → Посуда и принадлежности → Сервировка стола → Сервировка стола</t>
        </is>
      </c>
      <c r="E226" s="3" t="n">
        <v>145230409</v>
      </c>
      <c r="F226" s="3" t="n">
        <v>24456</v>
      </c>
      <c r="G226" s="3">
        <f>IFERROR(E226/F226,0)</f>
        <v/>
      </c>
      <c r="H226" s="3" t="n">
        <v>3727</v>
      </c>
      <c r="I226" s="2" t="n">
        <v>471</v>
      </c>
      <c r="J226" s="3">
        <f>IFERROR(E226/H226,0)</f>
        <v/>
      </c>
      <c r="K226" s="10">
        <f>E226/'По разделам'!$B$21</f>
        <v/>
      </c>
      <c r="L226" s="4">
        <f>L225+K226</f>
        <v/>
      </c>
      <c r="M226" s="2" t="inlineStr">
        <is>
          <t>q04b1892404344ae</t>
        </is>
      </c>
      <c r="N226" s="2" t="inlineStr">
        <is>
          <t>https://app.redstat.kz/niche/q04b1892404344ae?event_date=2026-08-01</t>
        </is>
      </c>
      <c r="O226" s="2" t="inlineStr"/>
    </row>
    <row r="227">
      <c r="A227" s="2" t="n">
        <v>226</v>
      </c>
      <c r="B227" s="2" t="inlineStr">
        <is>
          <t>Объективы</t>
        </is>
      </c>
      <c r="C227" s="2" t="inlineStr">
        <is>
          <t>ТВ, Аудио, Видео</t>
        </is>
      </c>
      <c r="D227" s="2" t="inlineStr">
        <is>
          <t>ТВ, Аудио, Видео → Фото- и видеокамеры → Объективы</t>
        </is>
      </c>
      <c r="E227" s="3" t="n">
        <v>145213549</v>
      </c>
      <c r="F227" s="3" t="n">
        <v>483</v>
      </c>
      <c r="G227" s="3">
        <f>IFERROR(E227/F227,0)</f>
        <v/>
      </c>
      <c r="H227" s="3" t="n">
        <v>154</v>
      </c>
      <c r="I227" s="2" t="n">
        <v>11</v>
      </c>
      <c r="J227" s="3">
        <f>IFERROR(E227/H227,0)</f>
        <v/>
      </c>
      <c r="K227" s="10">
        <f>E227/'По разделам'!$B$21</f>
        <v/>
      </c>
      <c r="L227" s="4">
        <f>L226+K227</f>
        <v/>
      </c>
      <c r="M227" s="2" t="inlineStr">
        <is>
          <t>00593</t>
        </is>
      </c>
      <c r="N227" s="2" t="inlineStr">
        <is>
          <t>https://app.redstat.kz/niche/00593?event_date=2026-08-01</t>
        </is>
      </c>
      <c r="O227" s="2" t="inlineStr">
        <is>
          <t>https://kaspi.kz/shop/c/camera%20lenses/</t>
        </is>
      </c>
    </row>
    <row r="228">
      <c r="A228" s="2" t="n">
        <v>227</v>
      </c>
      <c r="B228" s="2" t="inlineStr">
        <is>
          <t>Мужская верхняя одежда</t>
        </is>
      </c>
      <c r="C228" s="2" t="inlineStr">
        <is>
          <t>Одежда</t>
        </is>
      </c>
      <c r="D228" s="2" t="inlineStr">
        <is>
          <t>Одежда → Мужчинам → Мужская верхняя одежда → Мужская верхняя одежда</t>
        </is>
      </c>
      <c r="E228" s="3" t="n">
        <v>144319242</v>
      </c>
      <c r="F228" s="3" t="n">
        <v>4521</v>
      </c>
      <c r="G228" s="3">
        <f>IFERROR(E228/F228,0)</f>
        <v/>
      </c>
      <c r="H228" s="3" t="n">
        <v>2746</v>
      </c>
      <c r="I228" s="2" t="n">
        <v>321</v>
      </c>
      <c r="J228" s="3">
        <f>IFERROR(E228/H228,0)</f>
        <v/>
      </c>
      <c r="K228" s="10">
        <f>E228/'По разделам'!$B$21</f>
        <v/>
      </c>
      <c r="L228" s="4">
        <f>L227+K228</f>
        <v/>
      </c>
      <c r="M228" s="2" t="inlineStr">
        <is>
          <t>q1d0ce60b1ee0698</t>
        </is>
      </c>
      <c r="N228" s="2" t="inlineStr">
        <is>
          <t>https://app.redstat.kz/niche/q1d0ce60b1ee0698?event_date=2026-08-01</t>
        </is>
      </c>
      <c r="O228" s="2" t="inlineStr"/>
    </row>
    <row r="229">
      <c r="A229" s="2" t="n">
        <v>228</v>
      </c>
      <c r="B229" s="2" t="inlineStr">
        <is>
          <t>Пневмоинструменты</t>
        </is>
      </c>
      <c r="C229" s="2" t="inlineStr">
        <is>
          <t>Строительство, ремонт</t>
        </is>
      </c>
      <c r="D229" s="2" t="inlineStr">
        <is>
          <t>Строительство, ремонт → Инструменты → Пневмоинструменты → Пневмоинструменты</t>
        </is>
      </c>
      <c r="E229" s="3" t="n">
        <v>140450938</v>
      </c>
      <c r="F229" s="3" t="n">
        <v>1738</v>
      </c>
      <c r="G229" s="3">
        <f>IFERROR(E229/F229,0)</f>
        <v/>
      </c>
      <c r="H229" s="3" t="n">
        <v>460</v>
      </c>
      <c r="I229" s="2" t="n">
        <v>120</v>
      </c>
      <c r="J229" s="3">
        <f>IFERROR(E229/H229,0)</f>
        <v/>
      </c>
      <c r="K229" s="10">
        <f>E229/'По разделам'!$B$21</f>
        <v/>
      </c>
      <c r="L229" s="4">
        <f>L228+K229</f>
        <v/>
      </c>
      <c r="M229" s="2" t="inlineStr">
        <is>
          <t>q9f44b919f615678</t>
        </is>
      </c>
      <c r="N229" s="2" t="inlineStr">
        <is>
          <t>https://app.redstat.kz/niche/q9f44b919f615678?event_date=2026-08-01</t>
        </is>
      </c>
      <c r="O229" s="2" t="inlineStr"/>
    </row>
    <row r="230">
      <c r="A230" s="2" t="n">
        <v>229</v>
      </c>
      <c r="B230" s="2" t="inlineStr">
        <is>
          <t>Ручки и расходники для ручек</t>
        </is>
      </c>
      <c r="C230" s="2" t="inlineStr">
        <is>
          <t>Канцелярские товары</t>
        </is>
      </c>
      <c r="D230" s="2" t="inlineStr">
        <is>
          <t>Канцелярские товары → Письменные принадлежности → Ручки и расходники для ручек → Ручки и расходники для ручек</t>
        </is>
      </c>
      <c r="E230" s="3" t="n">
        <v>139724028</v>
      </c>
      <c r="F230" s="3" t="n">
        <v>202925</v>
      </c>
      <c r="G230" s="3">
        <f>IFERROR(E230/F230,0)</f>
        <v/>
      </c>
      <c r="H230" s="3" t="n">
        <v>3197</v>
      </c>
      <c r="I230" s="2" t="n">
        <v>212</v>
      </c>
      <c r="J230" s="3">
        <f>IFERROR(E230/H230,0)</f>
        <v/>
      </c>
      <c r="K230" s="10">
        <f>E230/'По разделам'!$B$21</f>
        <v/>
      </c>
      <c r="L230" s="4">
        <f>L229+K230</f>
        <v/>
      </c>
      <c r="M230" s="2" t="inlineStr">
        <is>
          <t>qb16fdfcce93eec5</t>
        </is>
      </c>
      <c r="N230" s="2" t="inlineStr">
        <is>
          <t>https://app.redstat.kz/niche/qb16fdfcce93eec5?event_date=2026-08-01</t>
        </is>
      </c>
      <c r="O230" s="2" t="inlineStr"/>
    </row>
    <row r="231">
      <c r="A231" s="2" t="n">
        <v>230</v>
      </c>
      <c r="B231" s="2" t="inlineStr">
        <is>
          <t>Колонки и сабвуферы</t>
        </is>
      </c>
      <c r="C231" s="2" t="inlineStr">
        <is>
          <t>Автотовары</t>
        </is>
      </c>
      <c r="D231" s="2" t="inlineStr">
        <is>
          <t>Автотовары → Автоакустика → Колонки и сабвуферы</t>
        </is>
      </c>
      <c r="E231" s="3" t="n">
        <v>138005849</v>
      </c>
      <c r="F231" s="3" t="n">
        <v>3547</v>
      </c>
      <c r="G231" s="3">
        <f>IFERROR(E231/F231,0)</f>
        <v/>
      </c>
      <c r="H231" s="3" t="n">
        <v>823</v>
      </c>
      <c r="I231" s="2" t="n">
        <v>72</v>
      </c>
      <c r="J231" s="3">
        <f>IFERROR(E231/H231,0)</f>
        <v/>
      </c>
      <c r="K231" s="10">
        <f>E231/'По разделам'!$B$21</f>
        <v/>
      </c>
      <c r="L231" s="4">
        <f>L230+K231</f>
        <v/>
      </c>
      <c r="M231" s="2" t="inlineStr">
        <is>
          <t>00074</t>
        </is>
      </c>
      <c r="N231" s="2" t="inlineStr">
        <is>
          <t>https://app.redstat.kz/niche/00074?event_date=2026-08-01</t>
        </is>
      </c>
      <c r="O231" s="2" t="inlineStr">
        <is>
          <t>https://kaspi.kz/shop/c/car%20acoustic/</t>
        </is>
      </c>
    </row>
    <row r="232">
      <c r="A232" s="2" t="n">
        <v>231</v>
      </c>
      <c r="B232" s="2" t="inlineStr">
        <is>
          <t>Ванны и комплектующие</t>
        </is>
      </c>
      <c r="C232" s="2" t="inlineStr">
        <is>
          <t>Строительство, ремонт</t>
        </is>
      </c>
      <c r="D232" s="2" t="inlineStr">
        <is>
          <t>Строительство, ремонт → Сантехника → Ванны и комплектующие → Ванны и комплектующие</t>
        </is>
      </c>
      <c r="E232" s="3" t="n">
        <v>136950151</v>
      </c>
      <c r="F232" s="3" t="n">
        <v>4112</v>
      </c>
      <c r="G232" s="3">
        <f>IFERROR(E232/F232,0)</f>
        <v/>
      </c>
      <c r="H232" s="3" t="n">
        <v>589</v>
      </c>
      <c r="I232" s="2" t="n">
        <v>79</v>
      </c>
      <c r="J232" s="3">
        <f>IFERROR(E232/H232,0)</f>
        <v/>
      </c>
      <c r="K232" s="10">
        <f>E232/'По разделам'!$B$21</f>
        <v/>
      </c>
      <c r="L232" s="4">
        <f>L231+K232</f>
        <v/>
      </c>
      <c r="M232" s="2" t="inlineStr">
        <is>
          <t>q4d91381ca8bac4f</t>
        </is>
      </c>
      <c r="N232" s="2" t="inlineStr">
        <is>
          <t>https://app.redstat.kz/niche/q4d91381ca8bac4f?event_date=2026-08-01</t>
        </is>
      </c>
      <c r="O232" s="2" t="inlineStr"/>
    </row>
    <row r="233">
      <c r="A233" s="2" t="n">
        <v>232</v>
      </c>
      <c r="B233" s="2" t="inlineStr">
        <is>
          <t>Пеналы</t>
        </is>
      </c>
      <c r="C233" s="2" t="inlineStr">
        <is>
          <t>Канцелярские товары</t>
        </is>
      </c>
      <c r="D233" s="2" t="inlineStr">
        <is>
          <t>Канцелярские товары → Школьные принадлежности → Пеналы</t>
        </is>
      </c>
      <c r="E233" s="3" t="n">
        <v>136302730</v>
      </c>
      <c r="F233" s="3" t="n">
        <v>114624</v>
      </c>
      <c r="G233" s="3">
        <f>IFERROR(E233/F233,0)</f>
        <v/>
      </c>
      <c r="H233" s="3" t="n">
        <v>2472</v>
      </c>
      <c r="I233" s="2" t="n">
        <v>195</v>
      </c>
      <c r="J233" s="3">
        <f>IFERROR(E233/H233,0)</f>
        <v/>
      </c>
      <c r="K233" s="10">
        <f>E233/'По разделам'!$B$21</f>
        <v/>
      </c>
      <c r="L233" s="4">
        <f>L232+K233</f>
        <v/>
      </c>
      <c r="M233" s="2" t="inlineStr">
        <is>
          <t>04293</t>
        </is>
      </c>
      <c r="N233" s="2" t="inlineStr">
        <is>
          <t>https://app.redstat.kz/niche/04293?event_date=2026-08-01</t>
        </is>
      </c>
      <c r="O233" s="2" t="inlineStr">
        <is>
          <t>https://kaspi.kz/shop/c/pencil%20cases/</t>
        </is>
      </c>
    </row>
    <row r="234">
      <c r="A234" s="2" t="n">
        <v>233</v>
      </c>
      <c r="B234" s="2" t="inlineStr">
        <is>
          <t>Проекторы</t>
        </is>
      </c>
      <c r="C234" s="2" t="inlineStr">
        <is>
          <t>ТВ, Аудио, Видео</t>
        </is>
      </c>
      <c r="D234" s="2" t="inlineStr">
        <is>
          <t>ТВ, Аудио, Видео → Видеотехника → Проекторы</t>
        </is>
      </c>
      <c r="E234" s="3" t="n">
        <v>134260595</v>
      </c>
      <c r="F234" s="3" t="n">
        <v>4094</v>
      </c>
      <c r="G234" s="3">
        <f>IFERROR(E234/F234,0)</f>
        <v/>
      </c>
      <c r="H234" s="3" t="n">
        <v>237</v>
      </c>
      <c r="I234" s="2" t="n">
        <v>91</v>
      </c>
      <c r="J234" s="3">
        <f>IFERROR(E234/H234,0)</f>
        <v/>
      </c>
      <c r="K234" s="10">
        <f>E234/'По разделам'!$B$21</f>
        <v/>
      </c>
      <c r="L234" s="4">
        <f>L233+K234</f>
        <v/>
      </c>
      <c r="M234" s="2" t="inlineStr">
        <is>
          <t>00114</t>
        </is>
      </c>
      <c r="N234" s="2" t="inlineStr">
        <is>
          <t>https://app.redstat.kz/niche/00114?event_date=2026-08-01</t>
        </is>
      </c>
      <c r="O234" s="2" t="inlineStr">
        <is>
          <t>https://kaspi.kz/shop/c/video%20projectors/</t>
        </is>
      </c>
    </row>
    <row r="235">
      <c r="A235" s="2" t="n">
        <v>234</v>
      </c>
      <c r="B235" s="2" t="inlineStr">
        <is>
          <t>Пудры</t>
        </is>
      </c>
      <c r="C235" s="2" t="inlineStr">
        <is>
          <t>Красота и здоровье</t>
        </is>
      </c>
      <c r="D235" s="2" t="inlineStr">
        <is>
          <t>Красота и здоровье → Декоративная косметика → Пудры</t>
        </is>
      </c>
      <c r="E235" s="3" t="n">
        <v>133868574</v>
      </c>
      <c r="F235" s="3" t="n">
        <v>45593</v>
      </c>
      <c r="G235" s="3">
        <f>IFERROR(E235/F235,0)</f>
        <v/>
      </c>
      <c r="H235" s="3" t="n">
        <v>820</v>
      </c>
      <c r="I235" s="2" t="n">
        <v>169</v>
      </c>
      <c r="J235" s="3">
        <f>IFERROR(E235/H235,0)</f>
        <v/>
      </c>
      <c r="K235" s="10">
        <f>E235/'По разделам'!$B$21</f>
        <v/>
      </c>
      <c r="L235" s="4">
        <f>L234+K235</f>
        <v/>
      </c>
      <c r="M235" s="2" t="inlineStr">
        <is>
          <t>00949</t>
        </is>
      </c>
      <c r="N235" s="2" t="inlineStr">
        <is>
          <t>https://app.redstat.kz/niche/00949?event_date=2026-08-01</t>
        </is>
      </c>
      <c r="O235" s="2" t="inlineStr">
        <is>
          <t>https://kaspi.kz/shop/c/powders/</t>
        </is>
      </c>
    </row>
    <row r="236">
      <c r="A236" s="2" t="n">
        <v>235</v>
      </c>
      <c r="B236" s="2" t="inlineStr">
        <is>
          <t>Комплекты для гостиной</t>
        </is>
      </c>
      <c r="C236" s="2" t="inlineStr">
        <is>
          <t>Мебель</t>
        </is>
      </c>
      <c r="D236" s="2" t="inlineStr">
        <is>
          <t>Мебель → Гостиная → Комплекты для гостиной</t>
        </is>
      </c>
      <c r="E236" s="3" t="n">
        <v>133776922</v>
      </c>
      <c r="F236" s="3" t="n">
        <v>699</v>
      </c>
      <c r="G236" s="3">
        <f>IFERROR(E236/F236,0)</f>
        <v/>
      </c>
      <c r="H236" s="3" t="n">
        <v>242</v>
      </c>
      <c r="I236" s="2" t="n">
        <v>49</v>
      </c>
      <c r="J236" s="3">
        <f>IFERROR(E236/H236,0)</f>
        <v/>
      </c>
      <c r="K236" s="10">
        <f>E236/'По разделам'!$B$21</f>
        <v/>
      </c>
      <c r="L236" s="4">
        <f>L235+K236</f>
        <v/>
      </c>
      <c r="M236" s="2" t="inlineStr">
        <is>
          <t>00590</t>
        </is>
      </c>
      <c r="N236" s="2" t="inlineStr">
        <is>
          <t>https://app.redstat.kz/niche/00590?event_date=2026-08-01</t>
        </is>
      </c>
      <c r="O236" s="2" t="inlineStr">
        <is>
          <t>https://kaspi.kz/shop/c/modular%20living%20rooms/</t>
        </is>
      </c>
    </row>
    <row r="237">
      <c r="A237" s="2" t="n">
        <v>236</v>
      </c>
      <c r="B237" s="2" t="inlineStr">
        <is>
          <t>Художественная литература</t>
        </is>
      </c>
      <c r="C237" s="2" t="inlineStr">
        <is>
          <t>Досуг, книги</t>
        </is>
      </c>
      <c r="D237" s="2" t="inlineStr">
        <is>
          <t>Досуг, книги → Книги → Художественная литература</t>
        </is>
      </c>
      <c r="E237" s="3" t="n">
        <v>132931361</v>
      </c>
      <c r="F237" s="3" t="n">
        <v>27033</v>
      </c>
      <c r="G237" s="3">
        <f>IFERROR(E237/F237,0)</f>
        <v/>
      </c>
      <c r="H237" s="3" t="n">
        <v>4699</v>
      </c>
      <c r="I237" s="2" t="n">
        <v>241</v>
      </c>
      <c r="J237" s="3">
        <f>IFERROR(E237/H237,0)</f>
        <v/>
      </c>
      <c r="K237" s="10">
        <f>E237/'По разделам'!$B$21</f>
        <v/>
      </c>
      <c r="L237" s="4">
        <f>L236+K237</f>
        <v/>
      </c>
      <c r="M237" s="2" t="inlineStr">
        <is>
          <t>00740</t>
        </is>
      </c>
      <c r="N237" s="2" t="inlineStr">
        <is>
          <t>https://app.redstat.kz/niche/00740?event_date=2026-08-01</t>
        </is>
      </c>
      <c r="O237" s="2" t="inlineStr">
        <is>
          <t>https://kaspi.kz/shop/c/fiction/</t>
        </is>
      </c>
    </row>
    <row r="238">
      <c r="A238" s="2" t="n">
        <v>237</v>
      </c>
      <c r="B238" s="2" t="inlineStr">
        <is>
          <t>Скутеры и мопеды</t>
        </is>
      </c>
      <c r="C238" s="2" t="inlineStr">
        <is>
          <t>Автотовары</t>
        </is>
      </c>
      <c r="D238" s="2" t="inlineStr">
        <is>
          <t>Автотовары → Мототехника → Скутеры и мопеды</t>
        </is>
      </c>
      <c r="E238" s="3" t="n">
        <v>132623027</v>
      </c>
      <c r="F238" s="3" t="n">
        <v>384</v>
      </c>
      <c r="G238" s="3">
        <f>IFERROR(E238/F238,0)</f>
        <v/>
      </c>
      <c r="H238" s="3" t="n">
        <v>63</v>
      </c>
      <c r="I238" s="2" t="n">
        <v>27</v>
      </c>
      <c r="J238" s="3">
        <f>IFERROR(E238/H238,0)</f>
        <v/>
      </c>
      <c r="K238" s="10">
        <f>E238/'По разделам'!$B$21</f>
        <v/>
      </c>
      <c r="L238" s="4">
        <f>L237+K238</f>
        <v/>
      </c>
      <c r="M238" s="2" t="inlineStr">
        <is>
          <t>00840</t>
        </is>
      </c>
      <c r="N238" s="2" t="inlineStr">
        <is>
          <t>https://app.redstat.kz/niche/00840?event_date=2026-08-01</t>
        </is>
      </c>
      <c r="O238" s="2" t="inlineStr">
        <is>
          <t>https://kaspi.kz/shop/c/scooters/</t>
        </is>
      </c>
    </row>
    <row r="239">
      <c r="A239" s="2" t="n">
        <v>238</v>
      </c>
      <c r="B239" s="2" t="inlineStr">
        <is>
          <t>Детские велосипеды и веломобили</t>
        </is>
      </c>
      <c r="C239" s="2" t="inlineStr">
        <is>
          <t>Детские товары</t>
        </is>
      </c>
      <c r="D239" s="2" t="inlineStr">
        <is>
          <t>Детские товары → Детский транспорт → Детские велосипеды и веломобили</t>
        </is>
      </c>
      <c r="E239" s="3" t="n">
        <v>131768285</v>
      </c>
      <c r="F239" s="3" t="n">
        <v>4469</v>
      </c>
      <c r="G239" s="3">
        <f>IFERROR(E239/F239,0)</f>
        <v/>
      </c>
      <c r="H239" s="3" t="n">
        <v>625</v>
      </c>
      <c r="I239" s="2" t="n">
        <v>86</v>
      </c>
      <c r="J239" s="3">
        <f>IFERROR(E239/H239,0)</f>
        <v/>
      </c>
      <c r="K239" s="10">
        <f>E239/'По разделам'!$B$21</f>
        <v/>
      </c>
      <c r="L239" s="4">
        <f>L238+K239</f>
        <v/>
      </c>
      <c r="M239" s="2" t="inlineStr">
        <is>
          <t>04455</t>
        </is>
      </c>
      <c r="N239" s="2" t="inlineStr">
        <is>
          <t>https://app.redstat.kz/niche/04455?event_date=2026-08-01</t>
        </is>
      </c>
      <c r="O239" s="2" t="inlineStr">
        <is>
          <t>https://kaspi.kz/shop/c/tricycle/</t>
        </is>
      </c>
    </row>
    <row r="240">
      <c r="A240" s="2" t="n">
        <v>239</v>
      </c>
      <c r="B240" s="2" t="inlineStr">
        <is>
          <t>Автохолодильники</t>
        </is>
      </c>
      <c r="C240" s="2" t="inlineStr">
        <is>
          <t>Автотовары</t>
        </is>
      </c>
      <c r="D240" s="2" t="inlineStr">
        <is>
          <t>Автотовары → Автомобильное оборудование → Автохолодильники</t>
        </is>
      </c>
      <c r="E240" s="3" t="n">
        <v>130055563</v>
      </c>
      <c r="F240" s="3" t="n">
        <v>1307</v>
      </c>
      <c r="G240" s="3">
        <f>IFERROR(E240/F240,0)</f>
        <v/>
      </c>
      <c r="H240" s="3" t="n">
        <v>161</v>
      </c>
      <c r="I240" s="2" t="n">
        <v>28</v>
      </c>
      <c r="J240" s="3">
        <f>IFERROR(E240/H240,0)</f>
        <v/>
      </c>
      <c r="K240" s="10">
        <f>E240/'По разделам'!$B$21</f>
        <v/>
      </c>
      <c r="L240" s="4">
        <f>L239+K240</f>
        <v/>
      </c>
      <c r="M240" s="2" t="inlineStr">
        <is>
          <t>01051</t>
        </is>
      </c>
      <c r="N240" s="2" t="inlineStr">
        <is>
          <t>https://app.redstat.kz/niche/01051?event_date=2026-08-01</t>
        </is>
      </c>
      <c r="O240" s="2" t="inlineStr">
        <is>
          <t>https://kaspi.kz/shop/c/car%20refrigerators/</t>
        </is>
      </c>
    </row>
    <row r="241">
      <c r="A241" s="2" t="n">
        <v>240</v>
      </c>
      <c r="B241" s="2" t="inlineStr">
        <is>
          <t>Основы и фиксаторы для макияжа</t>
        </is>
      </c>
      <c r="C241" s="2" t="inlineStr">
        <is>
          <t>Красота и здоровье</t>
        </is>
      </c>
      <c r="D241" s="2" t="inlineStr">
        <is>
          <t>Красота и здоровье → Декоративная косметика → Основы и фиксаторы для макияжа</t>
        </is>
      </c>
      <c r="E241" s="3" t="n">
        <v>129955999</v>
      </c>
      <c r="F241" s="3" t="n">
        <v>47590</v>
      </c>
      <c r="G241" s="3">
        <f>IFERROR(E241/F241,0)</f>
        <v/>
      </c>
      <c r="H241" s="3" t="n">
        <v>476</v>
      </c>
      <c r="I241" s="2" t="n">
        <v>147</v>
      </c>
      <c r="J241" s="3">
        <f>IFERROR(E241/H241,0)</f>
        <v/>
      </c>
      <c r="K241" s="10">
        <f>E241/'По разделам'!$B$21</f>
        <v/>
      </c>
      <c r="L241" s="4">
        <f>L240+K241</f>
        <v/>
      </c>
      <c r="M241" s="2" t="inlineStr">
        <is>
          <t>04972</t>
        </is>
      </c>
      <c r="N241" s="2" t="inlineStr">
        <is>
          <t>https://app.redstat.kz/niche/04972?event_date=2026-08-01</t>
        </is>
      </c>
      <c r="O241" s="2" t="inlineStr">
        <is>
          <t>https://kaspi.kz/shop/c/foundation%20primers/</t>
        </is>
      </c>
    </row>
    <row r="242">
      <c r="A242" s="2" t="n">
        <v>241</v>
      </c>
      <c r="B242" s="2" t="inlineStr">
        <is>
          <t>Гантели и наборы гантелей</t>
        </is>
      </c>
      <c r="C242" s="2" t="inlineStr">
        <is>
          <t>Спорт, туризм</t>
        </is>
      </c>
      <c r="D242" s="2" t="inlineStr">
        <is>
          <t>Спорт, туризм → Товары для фитнеса → Гантели и наборы гантелей</t>
        </is>
      </c>
      <c r="E242" s="3" t="n">
        <v>129291070</v>
      </c>
      <c r="F242" s="3" t="n">
        <v>12837</v>
      </c>
      <c r="G242" s="3">
        <f>IFERROR(E242/F242,0)</f>
        <v/>
      </c>
      <c r="H242" s="3" t="n">
        <v>503</v>
      </c>
      <c r="I242" s="2" t="n">
        <v>76</v>
      </c>
      <c r="J242" s="3">
        <f>IFERROR(E242/H242,0)</f>
        <v/>
      </c>
      <c r="K242" s="10">
        <f>E242/'По разделам'!$B$21</f>
        <v/>
      </c>
      <c r="L242" s="4">
        <f>L241+K242</f>
        <v/>
      </c>
      <c r="M242" s="2" t="inlineStr">
        <is>
          <t>00895</t>
        </is>
      </c>
      <c r="N242" s="2" t="inlineStr">
        <is>
          <t>https://app.redstat.kz/niche/00895?event_date=2026-08-01</t>
        </is>
      </c>
      <c r="O242" s="2" t="inlineStr">
        <is>
          <t>https://kaspi.kz/shop/c/dumbbells/</t>
        </is>
      </c>
    </row>
    <row r="243">
      <c r="A243" s="2" t="n">
        <v>242</v>
      </c>
      <c r="B243" s="2" t="inlineStr">
        <is>
          <t>Электробритвы</t>
        </is>
      </c>
      <c r="C243" s="2" t="inlineStr">
        <is>
          <t>Красота и здоровье</t>
        </is>
      </c>
      <c r="D243" s="2" t="inlineStr">
        <is>
          <t>Красота и здоровье → Техника и оборудование для красоты → Электробритвы</t>
        </is>
      </c>
      <c r="E243" s="3" t="n">
        <v>127991479</v>
      </c>
      <c r="F243" s="3" t="n">
        <v>10339</v>
      </c>
      <c r="G243" s="3">
        <f>IFERROR(E243/F243,0)</f>
        <v/>
      </c>
      <c r="H243" s="3" t="n">
        <v>755</v>
      </c>
      <c r="I243" s="2" t="n">
        <v>186</v>
      </c>
      <c r="J243" s="3">
        <f>IFERROR(E243/H243,0)</f>
        <v/>
      </c>
      <c r="K243" s="10">
        <f>E243/'По разделам'!$B$21</f>
        <v/>
      </c>
      <c r="L243" s="4">
        <f>L242+K243</f>
        <v/>
      </c>
      <c r="M243" s="2" t="inlineStr">
        <is>
          <t>00729</t>
        </is>
      </c>
      <c r="N243" s="2" t="inlineStr">
        <is>
          <t>https://app.redstat.kz/niche/00729?event_date=2026-08-01</t>
        </is>
      </c>
      <c r="O243" s="2" t="inlineStr">
        <is>
          <t>https://kaspi.kz/shop/c/shavers/</t>
        </is>
      </c>
    </row>
    <row r="244">
      <c r="A244" s="2" t="n">
        <v>243</v>
      </c>
      <c r="B244" s="2" t="inlineStr">
        <is>
          <t>Офисная бумага и пленка</t>
        </is>
      </c>
      <c r="C244" s="2" t="inlineStr">
        <is>
          <t>Канцелярские товары</t>
        </is>
      </c>
      <c r="D244" s="2" t="inlineStr">
        <is>
          <t>Канцелярские товары → Бумага и бумажная продукция → Офисная бумага и пленка</t>
        </is>
      </c>
      <c r="E244" s="3" t="n">
        <v>127869466</v>
      </c>
      <c r="F244" s="3" t="n">
        <v>35335</v>
      </c>
      <c r="G244" s="3">
        <f>IFERROR(E244/F244,0)</f>
        <v/>
      </c>
      <c r="H244" s="3" t="n">
        <v>937</v>
      </c>
      <c r="I244" s="2" t="n">
        <v>98</v>
      </c>
      <c r="J244" s="3">
        <f>IFERROR(E244/H244,0)</f>
        <v/>
      </c>
      <c r="K244" s="10">
        <f>E244/'По разделам'!$B$21</f>
        <v/>
      </c>
      <c r="L244" s="4">
        <f>L243+K244</f>
        <v/>
      </c>
      <c r="M244" s="2" t="inlineStr">
        <is>
          <t>04233</t>
        </is>
      </c>
      <c r="N244" s="2" t="inlineStr">
        <is>
          <t>https://app.redstat.kz/niche/04233?event_date=2026-08-01</t>
        </is>
      </c>
      <c r="O244" s="2" t="inlineStr">
        <is>
          <t>https://kaspi.kz/shop/c/office%20paper/</t>
        </is>
      </c>
    </row>
    <row r="245">
      <c r="A245" s="2" t="n">
        <v>244</v>
      </c>
      <c r="B245" s="2" t="inlineStr">
        <is>
          <t>Оперативная память</t>
        </is>
      </c>
      <c r="C245" s="2" t="inlineStr">
        <is>
          <t>Компьютеры</t>
        </is>
      </c>
      <c r="D245" s="2" t="inlineStr">
        <is>
          <t>Компьютеры → Комплектующие → Оперативная память</t>
        </is>
      </c>
      <c r="E245" s="3" t="n">
        <v>125923652</v>
      </c>
      <c r="F245" s="3" t="n">
        <v>1292</v>
      </c>
      <c r="G245" s="3">
        <f>IFERROR(E245/F245,0)</f>
        <v/>
      </c>
      <c r="H245" s="3" t="n">
        <v>416</v>
      </c>
      <c r="I245" s="2" t="n">
        <v>48</v>
      </c>
      <c r="J245" s="3">
        <f>IFERROR(E245/H245,0)</f>
        <v/>
      </c>
      <c r="K245" s="10">
        <f>E245/'По разделам'!$B$21</f>
        <v/>
      </c>
      <c r="L245" s="4">
        <f>L244+K245</f>
        <v/>
      </c>
      <c r="M245" s="2" t="inlineStr">
        <is>
          <t>00068</t>
        </is>
      </c>
      <c r="N245" s="2" t="inlineStr">
        <is>
          <t>https://app.redstat.kz/niche/00068?event_date=2026-08-01</t>
        </is>
      </c>
      <c r="O245" s="2" t="inlineStr">
        <is>
          <t>https://kaspi.kz/shop/c/ram/</t>
        </is>
      </c>
    </row>
    <row r="246">
      <c r="A246" s="2" t="n">
        <v>245</v>
      </c>
      <c r="B246" s="2" t="inlineStr">
        <is>
          <t>Игровые контроллеры</t>
        </is>
      </c>
      <c r="C246" s="2" t="inlineStr">
        <is>
          <t>ТВ, Аудио, Видео</t>
        </is>
      </c>
      <c r="D246" s="2" t="inlineStr">
        <is>
          <t>ТВ, Аудио, Видео → Развлечения → Игровые контроллеры</t>
        </is>
      </c>
      <c r="E246" s="3" t="n">
        <v>125710741</v>
      </c>
      <c r="F246" s="3" t="n">
        <v>6153</v>
      </c>
      <c r="G246" s="3">
        <f>IFERROR(E246/F246,0)</f>
        <v/>
      </c>
      <c r="H246" s="3" t="n">
        <v>447</v>
      </c>
      <c r="I246" s="2" t="n">
        <v>77</v>
      </c>
      <c r="J246" s="3">
        <f>IFERROR(E246/H246,0)</f>
        <v/>
      </c>
      <c r="K246" s="10">
        <f>E246/'По разделам'!$B$21</f>
        <v/>
      </c>
      <c r="L246" s="4">
        <f>L245+K246</f>
        <v/>
      </c>
      <c r="M246" s="2" t="inlineStr">
        <is>
          <t>04681</t>
        </is>
      </c>
      <c r="N246" s="2" t="inlineStr">
        <is>
          <t>https://app.redstat.kz/niche/04681?event_date=2026-08-01</t>
        </is>
      </c>
      <c r="O246" s="2" t="inlineStr">
        <is>
          <t>https://kaspi.kz/shop/c/controllers/</t>
        </is>
      </c>
    </row>
    <row r="247">
      <c r="A247" s="2" t="n">
        <v>246</v>
      </c>
      <c r="B247" s="2" t="inlineStr">
        <is>
          <t>Чайники, кофейники и самовары</t>
        </is>
      </c>
      <c r="C247" s="2" t="inlineStr">
        <is>
          <t>Товары для дома и дачи</t>
        </is>
      </c>
      <c r="D247" s="2" t="inlineStr">
        <is>
          <t>Товары для дома и дачи → Посуда и принадлежности → Чайники, кофейники и самовары → Чайники, кофейники и самовары</t>
        </is>
      </c>
      <c r="E247" s="3" t="n">
        <v>123659027</v>
      </c>
      <c r="F247" s="3" t="n">
        <v>15164</v>
      </c>
      <c r="G247" s="3">
        <f>IFERROR(E247/F247,0)</f>
        <v/>
      </c>
      <c r="H247" s="3" t="n">
        <v>2062</v>
      </c>
      <c r="I247" s="2" t="n">
        <v>310</v>
      </c>
      <c r="J247" s="3">
        <f>IFERROR(E247/H247,0)</f>
        <v/>
      </c>
      <c r="K247" s="10">
        <f>E247/'По разделам'!$B$21</f>
        <v/>
      </c>
      <c r="L247" s="4">
        <f>L246+K247</f>
        <v/>
      </c>
      <c r="M247" s="2" t="inlineStr">
        <is>
          <t>qa44d5aa97cde96f</t>
        </is>
      </c>
      <c r="N247" s="2" t="inlineStr">
        <is>
          <t>https://app.redstat.kz/niche/qa44d5aa97cde96f?event_date=2026-08-01</t>
        </is>
      </c>
      <c r="O247" s="2" t="inlineStr"/>
    </row>
    <row r="248">
      <c r="A248" s="2" t="n">
        <v>247</v>
      </c>
      <c r="B248" s="2" t="inlineStr">
        <is>
          <t>Коврики для автомобиля и аксессуары</t>
        </is>
      </c>
      <c r="C248" s="2" t="inlineStr">
        <is>
          <t>Автотовары</t>
        </is>
      </c>
      <c r="D248" s="2" t="inlineStr">
        <is>
          <t>Автотовары → Автоаксессуары → Коврики для автомобиля и аксессуары → Коврики для автомобиля и аксессуары</t>
        </is>
      </c>
      <c r="E248" s="3" t="n">
        <v>123598351</v>
      </c>
      <c r="F248" s="3" t="n">
        <v>4779</v>
      </c>
      <c r="G248" s="3">
        <f>IFERROR(E248/F248,0)</f>
        <v/>
      </c>
      <c r="H248" s="3" t="n">
        <v>1958</v>
      </c>
      <c r="I248" s="2" t="n">
        <v>148</v>
      </c>
      <c r="J248" s="3">
        <f>IFERROR(E248/H248,0)</f>
        <v/>
      </c>
      <c r="K248" s="10">
        <f>E248/'По разделам'!$B$21</f>
        <v/>
      </c>
      <c r="L248" s="4">
        <f>L247+K248</f>
        <v/>
      </c>
      <c r="M248" s="2" t="inlineStr">
        <is>
          <t>qe78274f8627176c</t>
        </is>
      </c>
      <c r="N248" s="2" t="inlineStr">
        <is>
          <t>https://app.redstat.kz/niche/qe78274f8627176c?event_date=2026-08-01</t>
        </is>
      </c>
      <c r="O248" s="2" t="inlineStr"/>
    </row>
    <row r="249">
      <c r="A249" s="2" t="n">
        <v>248</v>
      </c>
      <c r="B249" s="2" t="inlineStr">
        <is>
          <t>Женские спортивные костюмы</t>
        </is>
      </c>
      <c r="C249" s="2" t="inlineStr">
        <is>
          <t>Одежда</t>
        </is>
      </c>
      <c r="D249" s="2" t="inlineStr">
        <is>
          <t>Одежда → Женщинам → Женские спортивные костюмы</t>
        </is>
      </c>
      <c r="E249" s="3" t="n">
        <v>122428853</v>
      </c>
      <c r="F249" s="3" t="n">
        <v>10252</v>
      </c>
      <c r="G249" s="3">
        <f>IFERROR(E249/F249,0)</f>
        <v/>
      </c>
      <c r="H249" s="3" t="n">
        <v>3023</v>
      </c>
      <c r="I249" s="2" t="n">
        <v>271</v>
      </c>
      <c r="J249" s="3">
        <f>IFERROR(E249/H249,0)</f>
        <v/>
      </c>
      <c r="K249" s="10">
        <f>E249/'По разделам'!$B$21</f>
        <v/>
      </c>
      <c r="L249" s="4">
        <f>L248+K249</f>
        <v/>
      </c>
      <c r="M249" s="2" t="inlineStr">
        <is>
          <t>01218</t>
        </is>
      </c>
      <c r="N249" s="2" t="inlineStr">
        <is>
          <t>https://app.redstat.kz/niche/01218?event_date=2026-08-01</t>
        </is>
      </c>
      <c r="O249" s="2" t="inlineStr">
        <is>
          <t>https://kaspi.kz/shop/c/women%20sport%20suits/</t>
        </is>
      </c>
    </row>
    <row r="250">
      <c r="A250" s="2" t="n">
        <v>249</v>
      </c>
      <c r="B250" s="2" t="inlineStr">
        <is>
          <t>Раскладушки</t>
        </is>
      </c>
      <c r="C250" s="2" t="inlineStr">
        <is>
          <t>Мебель</t>
        </is>
      </c>
      <c r="D250" s="2" t="inlineStr">
        <is>
          <t>Мебель → Спальня → Раскладушки</t>
        </is>
      </c>
      <c r="E250" s="3" t="n">
        <v>121545129</v>
      </c>
      <c r="F250" s="3" t="n">
        <v>6081</v>
      </c>
      <c r="G250" s="3">
        <f>IFERROR(E250/F250,0)</f>
        <v/>
      </c>
      <c r="H250" s="3" t="n">
        <v>214</v>
      </c>
      <c r="I250" s="2" t="n">
        <v>66</v>
      </c>
      <c r="J250" s="3">
        <f>IFERROR(E250/H250,0)</f>
        <v/>
      </c>
      <c r="K250" s="10">
        <f>E250/'По разделам'!$B$21</f>
        <v/>
      </c>
      <c r="L250" s="4">
        <f>L249+K250</f>
        <v/>
      </c>
      <c r="M250" s="2" t="inlineStr">
        <is>
          <t>05528</t>
        </is>
      </c>
      <c r="N250" s="2" t="inlineStr">
        <is>
          <t>https://app.redstat.kz/niche/05528?event_date=2026-08-01</t>
        </is>
      </c>
      <c r="O250" s="2" t="inlineStr">
        <is>
          <t>https://kaspi.kz/shop/c/camping%20cots/</t>
        </is>
      </c>
    </row>
    <row r="251">
      <c r="A251" s="2" t="n">
        <v>250</v>
      </c>
      <c r="B251" s="2" t="inlineStr">
        <is>
          <t>Аксессуары для волос</t>
        </is>
      </c>
      <c r="C251" s="2" t="inlineStr">
        <is>
          <t>Красота и здоровье</t>
        </is>
      </c>
      <c r="D251" s="2" t="inlineStr">
        <is>
          <t>Красота и здоровье → Уход за волосами → Аксессуары для волос</t>
        </is>
      </c>
      <c r="E251" s="3" t="n">
        <v>121366873</v>
      </c>
      <c r="F251" s="3" t="n">
        <v>196180</v>
      </c>
      <c r="G251" s="3">
        <f>IFERROR(E251/F251,0)</f>
        <v/>
      </c>
      <c r="H251" s="3" t="n">
        <v>4979</v>
      </c>
      <c r="I251" s="2" t="n">
        <v>370</v>
      </c>
      <c r="J251" s="3">
        <f>IFERROR(E251/H251,0)</f>
        <v/>
      </c>
      <c r="K251" s="10">
        <f>E251/'По разделам'!$B$21</f>
        <v/>
      </c>
      <c r="L251" s="4">
        <f>L250+K251</f>
        <v/>
      </c>
      <c r="M251" s="2" t="inlineStr">
        <is>
          <t>02643</t>
        </is>
      </c>
      <c r="N251" s="2" t="inlineStr">
        <is>
          <t>https://app.redstat.kz/niche/02643?event_date=2026-08-01</t>
        </is>
      </c>
      <c r="O251" s="2" t="inlineStr">
        <is>
          <t>https://kaspi.kz/shop/c/hair%20accessories/</t>
        </is>
      </c>
    </row>
    <row r="252">
      <c r="A252" s="2" t="n">
        <v>251</v>
      </c>
      <c r="B252" s="2" t="inlineStr">
        <is>
          <t>Мужские толстовки и свитшоты</t>
        </is>
      </c>
      <c r="C252" s="2" t="inlineStr">
        <is>
          <t>Одежда</t>
        </is>
      </c>
      <c r="D252" s="2" t="inlineStr">
        <is>
          <t>Одежда → Мужчинам → Мужские толстовки и свитшоты</t>
        </is>
      </c>
      <c r="E252" s="3" t="n">
        <v>118852397</v>
      </c>
      <c r="F252" s="3" t="n">
        <v>7107</v>
      </c>
      <c r="G252" s="3">
        <f>IFERROR(E252/F252,0)</f>
        <v/>
      </c>
      <c r="H252" s="3" t="n">
        <v>1886</v>
      </c>
      <c r="I252" s="2" t="n">
        <v>156</v>
      </c>
      <c r="J252" s="3">
        <f>IFERROR(E252/H252,0)</f>
        <v/>
      </c>
      <c r="K252" s="10">
        <f>E252/'По разделам'!$B$21</f>
        <v/>
      </c>
      <c r="L252" s="4">
        <f>L251+K252</f>
        <v/>
      </c>
      <c r="M252" s="2" t="inlineStr">
        <is>
          <t>01328</t>
        </is>
      </c>
      <c r="N252" s="2" t="inlineStr">
        <is>
          <t>https://app.redstat.kz/niche/01328?event_date=2026-08-01</t>
        </is>
      </c>
      <c r="O252" s="2" t="inlineStr">
        <is>
          <t>https://kaspi.kz/shop/c/men%20hoodies/</t>
        </is>
      </c>
    </row>
    <row r="253">
      <c r="A253" s="2" t="n">
        <v>252</v>
      </c>
      <c r="B253" s="2" t="inlineStr">
        <is>
          <t>Степперы</t>
        </is>
      </c>
      <c r="C253" s="2" t="inlineStr">
        <is>
          <t>Спорт, туризм</t>
        </is>
      </c>
      <c r="D253" s="2" t="inlineStr">
        <is>
          <t>Спорт, туризм → Тренажеры → Степперы</t>
        </is>
      </c>
      <c r="E253" s="3" t="n">
        <v>118405543</v>
      </c>
      <c r="F253" s="3" t="n">
        <v>13748</v>
      </c>
      <c r="G253" s="3">
        <f>IFERROR(E253/F253,0)</f>
        <v/>
      </c>
      <c r="H253" s="3" t="n">
        <v>232</v>
      </c>
      <c r="I253" s="2" t="n">
        <v>103</v>
      </c>
      <c r="J253" s="3">
        <f>IFERROR(E253/H253,0)</f>
        <v/>
      </c>
      <c r="K253" s="10">
        <f>E253/'По разделам'!$B$21</f>
        <v/>
      </c>
      <c r="L253" s="4">
        <f>L252+K253</f>
        <v/>
      </c>
      <c r="M253" s="2" t="inlineStr">
        <is>
          <t>00898</t>
        </is>
      </c>
      <c r="N253" s="2" t="inlineStr">
        <is>
          <t>https://app.redstat.kz/niche/00898?event_date=2026-08-01</t>
        </is>
      </c>
      <c r="O253" s="2" t="inlineStr">
        <is>
          <t>https://kaspi.kz/shop/c/step%20machines/</t>
        </is>
      </c>
    </row>
    <row r="254">
      <c r="A254" s="2" t="n">
        <v>253</v>
      </c>
      <c r="B254" s="2" t="inlineStr">
        <is>
          <t>Женская домашняя одежда</t>
        </is>
      </c>
      <c r="C254" s="2" t="inlineStr">
        <is>
          <t>Одежда</t>
        </is>
      </c>
      <c r="D254" s="2" t="inlineStr">
        <is>
          <t>Одежда → Женщинам → Женская домашняя одежда → Женская домашняя одежда</t>
        </is>
      </c>
      <c r="E254" s="3" t="n">
        <v>118011873</v>
      </c>
      <c r="F254" s="3" t="n">
        <v>34670</v>
      </c>
      <c r="G254" s="3">
        <f>IFERROR(E254/F254,0)</f>
        <v/>
      </c>
      <c r="H254" s="3" t="n">
        <v>4052</v>
      </c>
      <c r="I254" s="2" t="n">
        <v>331</v>
      </c>
      <c r="J254" s="3">
        <f>IFERROR(E254/H254,0)</f>
        <v/>
      </c>
      <c r="K254" s="10">
        <f>E254/'По разделам'!$B$21</f>
        <v/>
      </c>
      <c r="L254" s="4">
        <f>L253+K254</f>
        <v/>
      </c>
      <c r="M254" s="2" t="inlineStr">
        <is>
          <t>q41e85edb2528c80</t>
        </is>
      </c>
      <c r="N254" s="2" t="inlineStr">
        <is>
          <t>https://app.redstat.kz/niche/q41e85edb2528c80?event_date=2026-08-01</t>
        </is>
      </c>
      <c r="O254" s="2" t="inlineStr"/>
    </row>
    <row r="255">
      <c r="A255" s="2" t="n">
        <v>254</v>
      </c>
      <c r="B255" s="2" t="inlineStr">
        <is>
          <t>Одеяла</t>
        </is>
      </c>
      <c r="C255" s="2" t="inlineStr">
        <is>
          <t>Товары для дома и дачи</t>
        </is>
      </c>
      <c r="D255" s="2" t="inlineStr">
        <is>
          <t>Товары для дома и дачи → Домашний текстиль → Одеяла</t>
        </is>
      </c>
      <c r="E255" s="3" t="n">
        <v>117729024</v>
      </c>
      <c r="F255" s="3" t="n">
        <v>12062</v>
      </c>
      <c r="G255" s="3">
        <f>IFERROR(E255/F255,0)</f>
        <v/>
      </c>
      <c r="H255" s="3" t="n">
        <v>1283</v>
      </c>
      <c r="I255" s="2" t="n">
        <v>198</v>
      </c>
      <c r="J255" s="3">
        <f>IFERROR(E255/H255,0)</f>
        <v/>
      </c>
      <c r="K255" s="10">
        <f>E255/'По разделам'!$B$21</f>
        <v/>
      </c>
      <c r="L255" s="4">
        <f>L254+K255</f>
        <v/>
      </c>
      <c r="M255" s="2" t="inlineStr">
        <is>
          <t>00679</t>
        </is>
      </c>
      <c r="N255" s="2" t="inlineStr">
        <is>
          <t>https://app.redstat.kz/niche/00679?event_date=2026-08-01</t>
        </is>
      </c>
      <c r="O255" s="2" t="inlineStr">
        <is>
          <t>https://kaspi.kz/shop/c/bed%20blankets/</t>
        </is>
      </c>
    </row>
    <row r="256">
      <c r="A256" s="2" t="n">
        <v>255</v>
      </c>
      <c r="B256" s="2" t="inlineStr">
        <is>
          <t>Моноблоки</t>
        </is>
      </c>
      <c r="C256" s="2" t="inlineStr">
        <is>
          <t>Компьютеры</t>
        </is>
      </c>
      <c r="D256" s="2" t="inlineStr">
        <is>
          <t>Компьютеры → Настольные компьютеры → Моноблоки</t>
        </is>
      </c>
      <c r="E256" s="3" t="n">
        <v>117289404</v>
      </c>
      <c r="F256" s="3" t="n">
        <v>413</v>
      </c>
      <c r="G256" s="3">
        <f>IFERROR(E256/F256,0)</f>
        <v/>
      </c>
      <c r="H256" s="3" t="n">
        <v>142</v>
      </c>
      <c r="I256" s="2" t="n">
        <v>21</v>
      </c>
      <c r="J256" s="3">
        <f>IFERROR(E256/H256,0)</f>
        <v/>
      </c>
      <c r="K256" s="10">
        <f>E256/'По разделам'!$B$21</f>
        <v/>
      </c>
      <c r="L256" s="4">
        <f>L255+K256</f>
        <v/>
      </c>
      <c r="M256" s="2" t="inlineStr">
        <is>
          <t>05404</t>
        </is>
      </c>
      <c r="N256" s="2" t="inlineStr">
        <is>
          <t>https://app.redstat.kz/niche/05404?event_date=2026-08-01</t>
        </is>
      </c>
      <c r="O256" s="2" t="inlineStr">
        <is>
          <t>https://kaspi.kz/shop/c/monoblocks/</t>
        </is>
      </c>
    </row>
    <row r="257">
      <c r="A257" s="2" t="n">
        <v>256</v>
      </c>
      <c r="B257" s="2" t="inlineStr">
        <is>
          <t>Туристические фонари и аксессуары</t>
        </is>
      </c>
      <c r="C257" s="2" t="inlineStr">
        <is>
          <t>Спорт, туризм</t>
        </is>
      </c>
      <c r="D257" s="2" t="inlineStr">
        <is>
          <t>Спорт, туризм → Туризм и отдых на природе → Туристические фонари и аксессуары → Туристические фонари и аксессуары</t>
        </is>
      </c>
      <c r="E257" s="3" t="n">
        <v>117149920</v>
      </c>
      <c r="F257" s="3" t="n">
        <v>15438</v>
      </c>
      <c r="G257" s="3">
        <f>IFERROR(E257/F257,0)</f>
        <v/>
      </c>
      <c r="H257" s="3" t="n">
        <v>1618</v>
      </c>
      <c r="I257" s="2" t="n">
        <v>336</v>
      </c>
      <c r="J257" s="3">
        <f>IFERROR(E257/H257,0)</f>
        <v/>
      </c>
      <c r="K257" s="10">
        <f>E257/'По разделам'!$B$21</f>
        <v/>
      </c>
      <c r="L257" s="4">
        <f>L256+K257</f>
        <v/>
      </c>
      <c r="M257" s="2" t="inlineStr">
        <is>
          <t>q5093562df1fccc2</t>
        </is>
      </c>
      <c r="N257" s="2" t="inlineStr">
        <is>
          <t>https://app.redstat.kz/niche/q5093562df1fccc2?event_date=2026-08-01</t>
        </is>
      </c>
      <c r="O257" s="2" t="inlineStr"/>
    </row>
    <row r="258">
      <c r="A258" s="2" t="n">
        <v>257</v>
      </c>
      <c r="B258" s="2" t="inlineStr">
        <is>
          <t>Зубные щетки, очистители языка</t>
        </is>
      </c>
      <c r="C258" s="2" t="inlineStr">
        <is>
          <t>Красота и здоровье</t>
        </is>
      </c>
      <c r="D258" s="2" t="inlineStr">
        <is>
          <t>Красота и здоровье → Уход за полостью рта → Зубные щетки, очистители языка</t>
        </is>
      </c>
      <c r="E258" s="3" t="n">
        <v>117075652</v>
      </c>
      <c r="F258" s="3" t="n">
        <v>71118</v>
      </c>
      <c r="G258" s="3">
        <f>IFERROR(E258/F258,0)</f>
        <v/>
      </c>
      <c r="H258" s="3" t="n">
        <v>2264</v>
      </c>
      <c r="I258" s="2" t="n">
        <v>319</v>
      </c>
      <c r="J258" s="3">
        <f>IFERROR(E258/H258,0)</f>
        <v/>
      </c>
      <c r="K258" s="10">
        <f>E258/'По разделам'!$B$21</f>
        <v/>
      </c>
      <c r="L258" s="4">
        <f>L257+K258</f>
        <v/>
      </c>
      <c r="M258" s="2" t="inlineStr">
        <is>
          <t>01763</t>
        </is>
      </c>
      <c r="N258" s="2" t="inlineStr">
        <is>
          <t>https://app.redstat.kz/niche/01763?event_date=2026-08-01</t>
        </is>
      </c>
      <c r="O258" s="2" t="inlineStr">
        <is>
          <t>https://kaspi.kz/shop/c/toothbrushes/</t>
        </is>
      </c>
    </row>
    <row r="259">
      <c r="A259" s="2" t="n">
        <v>258</v>
      </c>
      <c r="B259" s="2" t="inlineStr">
        <is>
          <t>Корпе</t>
        </is>
      </c>
      <c r="C259" s="2" t="inlineStr">
        <is>
          <t>Товары для дома и дачи</t>
        </is>
      </c>
      <c r="D259" s="2" t="inlineStr">
        <is>
          <t>Товары для дома и дачи → Домашний текстиль → Корпе</t>
        </is>
      </c>
      <c r="E259" s="3" t="n">
        <v>116510199</v>
      </c>
      <c r="F259" s="3" t="n">
        <v>7133</v>
      </c>
      <c r="G259" s="3">
        <f>IFERROR(E259/F259,0)</f>
        <v/>
      </c>
      <c r="H259" s="3" t="n">
        <v>605</v>
      </c>
      <c r="I259" s="2" t="n">
        <v>62</v>
      </c>
      <c r="J259" s="3">
        <f>IFERROR(E259/H259,0)</f>
        <v/>
      </c>
      <c r="K259" s="10">
        <f>E259/'По разделам'!$B$21</f>
        <v/>
      </c>
      <c r="L259" s="4">
        <f>L258+K259</f>
        <v/>
      </c>
      <c r="M259" s="2" t="inlineStr">
        <is>
          <t>04136</t>
        </is>
      </c>
      <c r="N259" s="2" t="inlineStr">
        <is>
          <t>https://app.redstat.kz/niche/04136?event_date=2026-08-01</t>
        </is>
      </c>
      <c r="O259" s="2" t="inlineStr">
        <is>
          <t>https://kaspi.kz/shop/c/korpe/</t>
        </is>
      </c>
    </row>
    <row r="260">
      <c r="A260" s="2" t="n">
        <v>259</v>
      </c>
      <c r="B260" s="2" t="inlineStr">
        <is>
          <t>Ирригаторы, скалеры</t>
        </is>
      </c>
      <c r="C260" s="2" t="inlineStr">
        <is>
          <t>Красота и здоровье</t>
        </is>
      </c>
      <c r="D260" s="2" t="inlineStr">
        <is>
          <t>Красота и здоровье → Уход за полостью рта → Ирригаторы, скалеры</t>
        </is>
      </c>
      <c r="E260" s="3" t="n">
        <v>116507220</v>
      </c>
      <c r="F260" s="3" t="n">
        <v>13506</v>
      </c>
      <c r="G260" s="3">
        <f>IFERROR(E260/F260,0)</f>
        <v/>
      </c>
      <c r="H260" s="3" t="n">
        <v>376</v>
      </c>
      <c r="I260" s="2" t="n">
        <v>143</v>
      </c>
      <c r="J260" s="3">
        <f>IFERROR(E260/H260,0)</f>
        <v/>
      </c>
      <c r="K260" s="10">
        <f>E260/'По разделам'!$B$21</f>
        <v/>
      </c>
      <c r="L260" s="4">
        <f>L259+K260</f>
        <v/>
      </c>
      <c r="M260" s="2" t="inlineStr">
        <is>
          <t>00724</t>
        </is>
      </c>
      <c r="N260" s="2" t="inlineStr">
        <is>
          <t>https://app.redstat.kz/niche/00724?event_date=2026-08-01</t>
        </is>
      </c>
      <c r="O260" s="2" t="inlineStr">
        <is>
          <t>https://kaspi.kz/shop/c/water%20flossers/</t>
        </is>
      </c>
    </row>
    <row r="261">
      <c r="A261" s="2" t="n">
        <v>260</v>
      </c>
      <c r="B261" s="2" t="inlineStr">
        <is>
          <t>Грунты и удобрения</t>
        </is>
      </c>
      <c r="C261" s="2" t="inlineStr">
        <is>
          <t>Товары для дома и дачи</t>
        </is>
      </c>
      <c r="D261" s="2" t="inlineStr">
        <is>
          <t>Товары для дома и дачи → Дача, сад и огород → Грунты и удобрения → Грунты и удобрения</t>
        </is>
      </c>
      <c r="E261" s="3" t="n">
        <v>116230033</v>
      </c>
      <c r="F261" s="3" t="n">
        <v>36924</v>
      </c>
      <c r="G261" s="3">
        <f>IFERROR(E261/F261,0)</f>
        <v/>
      </c>
      <c r="H261" s="3" t="n">
        <v>3360</v>
      </c>
      <c r="I261" s="2" t="n">
        <v>284</v>
      </c>
      <c r="J261" s="3">
        <f>IFERROR(E261/H261,0)</f>
        <v/>
      </c>
      <c r="K261" s="10">
        <f>E261/'По разделам'!$B$21</f>
        <v/>
      </c>
      <c r="L261" s="4">
        <f>L260+K261</f>
        <v/>
      </c>
      <c r="M261" s="2" t="inlineStr">
        <is>
          <t>qa1c0c0e5a4b5abc</t>
        </is>
      </c>
      <c r="N261" s="2" t="inlineStr">
        <is>
          <t>https://app.redstat.kz/niche/qa1c0c0e5a4b5abc?event_date=2026-08-01</t>
        </is>
      </c>
      <c r="O261" s="2" t="inlineStr"/>
    </row>
    <row r="262">
      <c r="A262" s="2" t="n">
        <v>261</v>
      </c>
      <c r="B262" s="2" t="inlineStr">
        <is>
          <t>Видеоигры</t>
        </is>
      </c>
      <c r="C262" s="2" t="inlineStr">
        <is>
          <t>ТВ, Аудио, Видео</t>
        </is>
      </c>
      <c r="D262" s="2" t="inlineStr">
        <is>
          <t>ТВ, Аудио, Видео → Развлечения → Видеоигры</t>
        </is>
      </c>
      <c r="E262" s="3" t="n">
        <v>115401994</v>
      </c>
      <c r="F262" s="3" t="n">
        <v>6715</v>
      </c>
      <c r="G262" s="3">
        <f>IFERROR(E262/F262,0)</f>
        <v/>
      </c>
      <c r="H262" s="3" t="n">
        <v>902</v>
      </c>
      <c r="I262" s="2" t="n">
        <v>118</v>
      </c>
      <c r="J262" s="3">
        <f>IFERROR(E262/H262,0)</f>
        <v/>
      </c>
      <c r="K262" s="10">
        <f>E262/'По разделам'!$B$21</f>
        <v/>
      </c>
      <c r="L262" s="4">
        <f>L261+K262</f>
        <v/>
      </c>
      <c r="M262" s="2" t="inlineStr">
        <is>
          <t>00132</t>
        </is>
      </c>
      <c r="N262" s="2" t="inlineStr">
        <is>
          <t>https://app.redstat.kz/niche/00132?event_date=2026-08-01</t>
        </is>
      </c>
      <c r="O262" s="2" t="inlineStr">
        <is>
          <t>https://kaspi.kz/shop/c/videogames/</t>
        </is>
      </c>
    </row>
    <row r="263">
      <c r="A263" s="2" t="n">
        <v>262</v>
      </c>
      <c r="B263" s="2" t="inlineStr">
        <is>
          <t>Мультиварки и техника для варки</t>
        </is>
      </c>
      <c r="C263" s="2" t="inlineStr">
        <is>
          <t>Бытовая техника</t>
        </is>
      </c>
      <c r="D263" s="2" t="inlineStr">
        <is>
          <t>Бытовая техника → Мелкая техника для кухни → Мультиварки и техника для варки → Мультиварки и техника для варки</t>
        </is>
      </c>
      <c r="E263" s="3" t="n">
        <v>115120939</v>
      </c>
      <c r="F263" s="3" t="n">
        <v>4957</v>
      </c>
      <c r="G263" s="3">
        <f>IFERROR(E263/F263,0)</f>
        <v/>
      </c>
      <c r="H263" s="3" t="n">
        <v>406</v>
      </c>
      <c r="I263" s="2" t="n">
        <v>108</v>
      </c>
      <c r="J263" s="3">
        <f>IFERROR(E263/H263,0)</f>
        <v/>
      </c>
      <c r="K263" s="10">
        <f>E263/'По разделам'!$B$21</f>
        <v/>
      </c>
      <c r="L263" s="4">
        <f>L262+K263</f>
        <v/>
      </c>
      <c r="M263" s="2" t="inlineStr">
        <is>
          <t>q19def31589009a3</t>
        </is>
      </c>
      <c r="N263" s="2" t="inlineStr">
        <is>
          <t>https://app.redstat.kz/niche/q19def31589009a3?event_date=2026-08-01</t>
        </is>
      </c>
      <c r="O263" s="2" t="inlineStr"/>
    </row>
    <row r="264">
      <c r="A264" s="2" t="n">
        <v>263</v>
      </c>
      <c r="B264" s="2" t="inlineStr">
        <is>
          <t>Бокалы и стаканы</t>
        </is>
      </c>
      <c r="C264" s="2" t="inlineStr">
        <is>
          <t>Товары для дома и дачи</t>
        </is>
      </c>
      <c r="D264" s="2" t="inlineStr">
        <is>
          <t>Товары для дома и дачи → Посуда и принадлежности → Бокалы и стаканы → Бокалы и стаканы</t>
        </is>
      </c>
      <c r="E264" s="3" t="n">
        <v>113994291</v>
      </c>
      <c r="F264" s="3" t="n">
        <v>19222</v>
      </c>
      <c r="G264" s="3">
        <f>IFERROR(E264/F264,0)</f>
        <v/>
      </c>
      <c r="H264" s="3" t="n">
        <v>3010</v>
      </c>
      <c r="I264" s="2" t="n">
        <v>327</v>
      </c>
      <c r="J264" s="3">
        <f>IFERROR(E264/H264,0)</f>
        <v/>
      </c>
      <c r="K264" s="10">
        <f>E264/'По разделам'!$B$21</f>
        <v/>
      </c>
      <c r="L264" s="4">
        <f>L263+K264</f>
        <v/>
      </c>
      <c r="M264" s="2" t="inlineStr">
        <is>
          <t>04500</t>
        </is>
      </c>
      <c r="N264" s="2" t="inlineStr">
        <is>
          <t>https://app.redstat.kz/niche/04500?event_date=2026-08-01</t>
        </is>
      </c>
      <c r="O264" s="2" t="inlineStr">
        <is>
          <t>https://kaspi.kz/shop/c/glasswares%20and%20drinkwares/</t>
        </is>
      </c>
    </row>
    <row r="265">
      <c r="A265" s="2" t="n">
        <v>264</v>
      </c>
      <c r="B265" s="2" t="inlineStr">
        <is>
          <t>Бетономешалки и комплектующие</t>
        </is>
      </c>
      <c r="C265" s="2" t="inlineStr">
        <is>
          <t>Строительство, ремонт</t>
        </is>
      </c>
      <c r="D265" s="2" t="inlineStr">
        <is>
          <t>Строительство, ремонт → Строительное оборудование → Бетономешалки и комплектующие → Бетономешалки и комплектующие</t>
        </is>
      </c>
      <c r="E265" s="3" t="n">
        <v>113658936</v>
      </c>
      <c r="F265" s="3" t="n">
        <v>1003</v>
      </c>
      <c r="G265" s="3">
        <f>IFERROR(E265/F265,0)</f>
        <v/>
      </c>
      <c r="H265" s="3" t="n">
        <v>119</v>
      </c>
      <c r="I265" s="2" t="n">
        <v>35</v>
      </c>
      <c r="J265" s="3">
        <f>IFERROR(E265/H265,0)</f>
        <v/>
      </c>
      <c r="K265" s="10">
        <f>E265/'По разделам'!$B$21</f>
        <v/>
      </c>
      <c r="L265" s="4">
        <f>L264+K265</f>
        <v/>
      </c>
      <c r="M265" s="2" t="inlineStr">
        <is>
          <t>q03bc43be3d0f492</t>
        </is>
      </c>
      <c r="N265" s="2" t="inlineStr">
        <is>
          <t>https://app.redstat.kz/niche/q03bc43be3d0f492?event_date=2026-08-01</t>
        </is>
      </c>
      <c r="O265" s="2" t="inlineStr"/>
    </row>
    <row r="266">
      <c r="A266" s="2" t="n">
        <v>265</v>
      </c>
      <c r="B266" s="2" t="inlineStr">
        <is>
          <t>Очки виртуальной реальности</t>
        </is>
      </c>
      <c r="C266" s="2" t="inlineStr">
        <is>
          <t>ТВ, Аудио, Видео</t>
        </is>
      </c>
      <c r="D266" s="2" t="inlineStr">
        <is>
          <t>ТВ, Аудио, Видео → Развлечения → Очки виртуальной реальности</t>
        </is>
      </c>
      <c r="E266" s="3" t="n">
        <v>112951287</v>
      </c>
      <c r="F266" s="3" t="n">
        <v>1536</v>
      </c>
      <c r="G266" s="3">
        <f>IFERROR(E266/F266,0)</f>
        <v/>
      </c>
      <c r="H266" s="3" t="n">
        <v>87</v>
      </c>
      <c r="I266" s="2" t="n">
        <v>14</v>
      </c>
      <c r="J266" s="3">
        <f>IFERROR(E266/H266,0)</f>
        <v/>
      </c>
      <c r="K266" s="10">
        <f>E266/'По разделам'!$B$21</f>
        <v/>
      </c>
      <c r="L266" s="4">
        <f>L265+K266</f>
        <v/>
      </c>
      <c r="M266" s="2" t="inlineStr">
        <is>
          <t>00153</t>
        </is>
      </c>
      <c r="N266" s="2" t="inlineStr">
        <is>
          <t>https://app.redstat.kz/niche/00153?event_date=2026-08-01</t>
        </is>
      </c>
      <c r="O266" s="2" t="inlineStr">
        <is>
          <t>https://kaspi.kz/shop/c/vr%20glasses/</t>
        </is>
      </c>
    </row>
    <row r="267">
      <c r="A267" s="2" t="n">
        <v>266</v>
      </c>
      <c r="B267" s="2" t="inlineStr">
        <is>
          <t>Запчасти для велосипедов</t>
        </is>
      </c>
      <c r="C267" s="2" t="inlineStr">
        <is>
          <t>Спорт, туризм</t>
        </is>
      </c>
      <c r="D267" s="2" t="inlineStr">
        <is>
          <t>Спорт, туризм → Велоспорт → Запчасти для велосипедов → Запчасти для велосипедов</t>
        </is>
      </c>
      <c r="E267" s="3" t="n">
        <v>112532138</v>
      </c>
      <c r="F267" s="3" t="n">
        <v>15532</v>
      </c>
      <c r="G267" s="3">
        <f>IFERROR(E267/F267,0)</f>
        <v/>
      </c>
      <c r="H267" s="3" t="n">
        <v>2855</v>
      </c>
      <c r="I267" s="2" t="n">
        <v>258</v>
      </c>
      <c r="J267" s="3">
        <f>IFERROR(E267/H267,0)</f>
        <v/>
      </c>
      <c r="K267" s="10">
        <f>E267/'По разделам'!$B$21</f>
        <v/>
      </c>
      <c r="L267" s="4">
        <f>L266+K267</f>
        <v/>
      </c>
      <c r="M267" s="2" t="inlineStr">
        <is>
          <t>q6bf77cd7e0b2553</t>
        </is>
      </c>
      <c r="N267" s="2" t="inlineStr">
        <is>
          <t>https://app.redstat.kz/niche/q6bf77cd7e0b2553?event_date=2026-08-01</t>
        </is>
      </c>
      <c r="O267" s="2" t="inlineStr"/>
    </row>
    <row r="268">
      <c r="A268" s="2" t="n">
        <v>267</v>
      </c>
      <c r="B268" s="2" t="inlineStr">
        <is>
          <t>Аминокислоты и BCAA</t>
        </is>
      </c>
      <c r="C268" s="2" t="inlineStr">
        <is>
          <t>Спорт, туризм</t>
        </is>
      </c>
      <c r="D268" s="2" t="inlineStr">
        <is>
          <t>Спорт, туризм → Спортивное питание → Аминокислоты и BCAA</t>
        </is>
      </c>
      <c r="E268" s="3" t="n">
        <v>112068485</v>
      </c>
      <c r="F268" s="3" t="n">
        <v>12560</v>
      </c>
      <c r="G268" s="3">
        <f>IFERROR(E268/F268,0)</f>
        <v/>
      </c>
      <c r="H268" s="3" t="n">
        <v>1091</v>
      </c>
      <c r="I268" s="2" t="n">
        <v>151</v>
      </c>
      <c r="J268" s="3">
        <f>IFERROR(E268/H268,0)</f>
        <v/>
      </c>
      <c r="K268" s="10">
        <f>E268/'По разделам'!$B$21</f>
        <v/>
      </c>
      <c r="L268" s="4">
        <f>L267+K268</f>
        <v/>
      </c>
      <c r="M268" s="2" t="inlineStr">
        <is>
          <t>00859</t>
        </is>
      </c>
      <c r="N268" s="2" t="inlineStr">
        <is>
          <t>https://app.redstat.kz/niche/00859?event_date=2026-08-01</t>
        </is>
      </c>
      <c r="O268" s="2" t="inlineStr">
        <is>
          <t>https://kaspi.kz/shop/c/amino%20acids/</t>
        </is>
      </c>
    </row>
    <row r="269">
      <c r="A269" s="2" t="n">
        <v>268</v>
      </c>
      <c r="B269" s="2" t="inlineStr">
        <is>
          <t>Внешние накопители</t>
        </is>
      </c>
      <c r="C269" s="2" t="inlineStr">
        <is>
          <t>Компьютеры</t>
        </is>
      </c>
      <c r="D269" s="2" t="inlineStr">
        <is>
          <t>Компьютеры → Периферия → Внешние накопители</t>
        </is>
      </c>
      <c r="E269" s="3" t="n">
        <v>111972031</v>
      </c>
      <c r="F269" s="3" t="n">
        <v>2020</v>
      </c>
      <c r="G269" s="3">
        <f>IFERROR(E269/F269,0)</f>
        <v/>
      </c>
      <c r="H269" s="3" t="n">
        <v>221</v>
      </c>
      <c r="I269" s="2" t="n">
        <v>31</v>
      </c>
      <c r="J269" s="3">
        <f>IFERROR(E269/H269,0)</f>
        <v/>
      </c>
      <c r="K269" s="10">
        <f>E269/'По разделам'!$B$21</f>
        <v/>
      </c>
      <c r="L269" s="4">
        <f>L268+K269</f>
        <v/>
      </c>
      <c r="M269" s="2" t="inlineStr">
        <is>
          <t>00095</t>
        </is>
      </c>
      <c r="N269" s="2" t="inlineStr">
        <is>
          <t>https://app.redstat.kz/niche/00095?event_date=2026-08-01</t>
        </is>
      </c>
      <c r="O269" s="2" t="inlineStr">
        <is>
          <t>https://kaspi.kz/shop/c/storage%20devices/</t>
        </is>
      </c>
    </row>
    <row r="270">
      <c r="A270" s="2" t="n">
        <v>269</v>
      </c>
      <c r="B270" s="2" t="inlineStr">
        <is>
          <t>Ветеринарные препараты</t>
        </is>
      </c>
      <c r="C270" s="2" t="inlineStr">
        <is>
          <t>Товары для животных</t>
        </is>
      </c>
      <c r="D270" s="2" t="inlineStr">
        <is>
          <t>Товары для животных → Ветаптека → Ветеринарные препараты</t>
        </is>
      </c>
      <c r="E270" s="3" t="n">
        <v>111600300</v>
      </c>
      <c r="F270" s="3" t="n">
        <v>14008</v>
      </c>
      <c r="G270" s="3">
        <f>IFERROR(E270/F270,0)</f>
        <v/>
      </c>
      <c r="H270" s="3" t="n">
        <v>851</v>
      </c>
      <c r="I270" s="2" t="n">
        <v>124</v>
      </c>
      <c r="J270" s="3">
        <f>IFERROR(E270/H270,0)</f>
        <v/>
      </c>
      <c r="K270" s="10">
        <f>E270/'По разделам'!$B$21</f>
        <v/>
      </c>
      <c r="L270" s="4">
        <f>L269+K270</f>
        <v/>
      </c>
      <c r="M270" s="2" t="inlineStr">
        <is>
          <t>03402</t>
        </is>
      </c>
      <c r="N270" s="2" t="inlineStr">
        <is>
          <t>https://app.redstat.kz/niche/03402?event_date=2026-08-01</t>
        </is>
      </c>
      <c r="O270" s="2" t="inlineStr">
        <is>
          <t>https://kaspi.kz/shop/c/veterinary%20drugs/</t>
        </is>
      </c>
    </row>
    <row r="271">
      <c r="A271" s="2" t="n">
        <v>270</v>
      </c>
      <c r="B271" s="2" t="inlineStr">
        <is>
          <t>Соковыжималки</t>
        </is>
      </c>
      <c r="C271" s="2" t="inlineStr">
        <is>
          <t>Бытовая техника</t>
        </is>
      </c>
      <c r="D271" s="2" t="inlineStr">
        <is>
          <t>Бытовая техника → Мелкая техника для кухни → Соковыжималки</t>
        </is>
      </c>
      <c r="E271" s="3" t="n">
        <v>111478546</v>
      </c>
      <c r="F271" s="3" t="n">
        <v>3915</v>
      </c>
      <c r="G271" s="3">
        <f>IFERROR(E271/F271,0)</f>
        <v/>
      </c>
      <c r="H271" s="3" t="n">
        <v>278</v>
      </c>
      <c r="I271" s="2" t="n">
        <v>110</v>
      </c>
      <c r="J271" s="3">
        <f>IFERROR(E271/H271,0)</f>
        <v/>
      </c>
      <c r="K271" s="10">
        <f>E271/'По разделам'!$B$21</f>
        <v/>
      </c>
      <c r="L271" s="4">
        <f>L270+K271</f>
        <v/>
      </c>
      <c r="M271" s="2" t="inlineStr">
        <is>
          <t>03490</t>
        </is>
      </c>
      <c r="N271" s="2" t="inlineStr">
        <is>
          <t>https://app.redstat.kz/niche/03490?event_date=2026-08-01</t>
        </is>
      </c>
      <c r="O271" s="2" t="inlineStr">
        <is>
          <t>https://kaspi.kz/shop/c/juicers/</t>
        </is>
      </c>
    </row>
    <row r="272">
      <c r="A272" s="2" t="n">
        <v>271</v>
      </c>
      <c r="B272" s="2" t="inlineStr">
        <is>
          <t>Электронные книги</t>
        </is>
      </c>
      <c r="C272" s="2" t="inlineStr">
        <is>
          <t>Телефоны и гаджеты</t>
        </is>
      </c>
      <c r="D272" s="2" t="inlineStr">
        <is>
          <t>Телефоны и гаджеты → Гаджеты → Электронные книги</t>
        </is>
      </c>
      <c r="E272" s="3" t="n">
        <v>111364127</v>
      </c>
      <c r="F272" s="3" t="n">
        <v>1092</v>
      </c>
      <c r="G272" s="3">
        <f>IFERROR(E272/F272,0)</f>
        <v/>
      </c>
      <c r="H272" s="3" t="n">
        <v>78</v>
      </c>
      <c r="I272" s="2" t="n">
        <v>12</v>
      </c>
      <c r="J272" s="3">
        <f>IFERROR(E272/H272,0)</f>
        <v/>
      </c>
      <c r="K272" s="10">
        <f>E272/'По разделам'!$B$21</f>
        <v/>
      </c>
      <c r="L272" s="4">
        <f>L271+K272</f>
        <v/>
      </c>
      <c r="M272" s="2" t="inlineStr">
        <is>
          <t>00056</t>
        </is>
      </c>
      <c r="N272" s="2" t="inlineStr">
        <is>
          <t>https://app.redstat.kz/niche/00056?event_date=2026-08-01</t>
        </is>
      </c>
      <c r="O272" s="2" t="inlineStr">
        <is>
          <t>https://kaspi.kz/shop/c/ebooks/</t>
        </is>
      </c>
    </row>
    <row r="273">
      <c r="A273" s="2" t="n">
        <v>272</v>
      </c>
      <c r="B273" s="2" t="inlineStr">
        <is>
          <t>Кухонные шкафы и корпуса</t>
        </is>
      </c>
      <c r="C273" s="2" t="inlineStr">
        <is>
          <t>Мебель</t>
        </is>
      </c>
      <c r="D273" s="2" t="inlineStr">
        <is>
          <t>Мебель → Кухня → Кухонные шкафы и корпуса</t>
        </is>
      </c>
      <c r="E273" s="3" t="n">
        <v>111325693</v>
      </c>
      <c r="F273" s="3" t="n">
        <v>3041</v>
      </c>
      <c r="G273" s="3">
        <f>IFERROR(E273/F273,0)</f>
        <v/>
      </c>
      <c r="H273" s="3" t="n">
        <v>355</v>
      </c>
      <c r="I273" s="2" t="n">
        <v>40</v>
      </c>
      <c r="J273" s="3">
        <f>IFERROR(E273/H273,0)</f>
        <v/>
      </c>
      <c r="K273" s="10">
        <f>E273/'По разделам'!$B$21</f>
        <v/>
      </c>
      <c r="L273" s="4">
        <f>L272+K273</f>
        <v/>
      </c>
      <c r="M273" s="2" t="inlineStr">
        <is>
          <t>05213</t>
        </is>
      </c>
      <c r="N273" s="2" t="inlineStr">
        <is>
          <t>https://app.redstat.kz/niche/05213?event_date=2026-08-01</t>
        </is>
      </c>
      <c r="O273" s="2" t="inlineStr">
        <is>
          <t>https://kaspi.kz/shop/c/kitchen%20cabinets/</t>
        </is>
      </c>
    </row>
    <row r="274">
      <c r="A274" s="2" t="n">
        <v>273</v>
      </c>
      <c r="B274" s="2" t="inlineStr">
        <is>
          <t>Средства для мытья посуды</t>
        </is>
      </c>
      <c r="C274" s="2" t="inlineStr">
        <is>
          <t>Товары для дома и дачи</t>
        </is>
      </c>
      <c r="D274" s="2" t="inlineStr">
        <is>
          <t>Товары для дома и дачи → Бытовая химия → Средства для мытья посуды → Средства для мытья посуды</t>
        </is>
      </c>
      <c r="E274" s="3" t="n">
        <v>111237430</v>
      </c>
      <c r="F274" s="3" t="n">
        <v>28187</v>
      </c>
      <c r="G274" s="3">
        <f>IFERROR(E274/F274,0)</f>
        <v/>
      </c>
      <c r="H274" s="3" t="n">
        <v>1228</v>
      </c>
      <c r="I274" s="2" t="n">
        <v>292</v>
      </c>
      <c r="J274" s="3">
        <f>IFERROR(E274/H274,0)</f>
        <v/>
      </c>
      <c r="K274" s="10">
        <f>E274/'По разделам'!$B$21</f>
        <v/>
      </c>
      <c r="L274" s="4">
        <f>L273+K274</f>
        <v/>
      </c>
      <c r="M274" s="2" t="inlineStr">
        <is>
          <t>q19cb98420e5bfd2</t>
        </is>
      </c>
      <c r="N274" s="2" t="inlineStr">
        <is>
          <t>https://app.redstat.kz/niche/q19cb98420e5bfd2?event_date=2026-08-01</t>
        </is>
      </c>
      <c r="O274" s="2" t="inlineStr"/>
    </row>
    <row r="275">
      <c r="A275" s="2" t="n">
        <v>274</v>
      </c>
      <c r="B275" s="2" t="inlineStr">
        <is>
          <t>Женские топы и майки</t>
        </is>
      </c>
      <c r="C275" s="2" t="inlineStr">
        <is>
          <t>Одежда</t>
        </is>
      </c>
      <c r="D275" s="2" t="inlineStr">
        <is>
          <t>Одежда → Женщинам → Женские топы и майки</t>
        </is>
      </c>
      <c r="E275" s="3" t="n">
        <v>110990489</v>
      </c>
      <c r="F275" s="3" t="n">
        <v>55851</v>
      </c>
      <c r="G275" s="3">
        <f>IFERROR(E275/F275,0)</f>
        <v/>
      </c>
      <c r="H275" s="3" t="n">
        <v>4024</v>
      </c>
      <c r="I275" s="2" t="n">
        <v>289</v>
      </c>
      <c r="J275" s="3">
        <f>IFERROR(E275/H275,0)</f>
        <v/>
      </c>
      <c r="K275" s="10">
        <f>E275/'По разделам'!$B$21</f>
        <v/>
      </c>
      <c r="L275" s="4">
        <f>L274+K275</f>
        <v/>
      </c>
      <c r="M275" s="2" t="inlineStr">
        <is>
          <t>01219</t>
        </is>
      </c>
      <c r="N275" s="2" t="inlineStr">
        <is>
          <t>https://app.redstat.kz/niche/01219?event_date=2026-08-01</t>
        </is>
      </c>
      <c r="O275" s="2" t="inlineStr">
        <is>
          <t>https://kaspi.kz/shop/c/women%20tanks%20and%20camis/</t>
        </is>
      </c>
    </row>
    <row r="276">
      <c r="A276" s="2" t="n">
        <v>275</v>
      </c>
      <c r="B276" s="2" t="inlineStr">
        <is>
          <t>Автосканеры</t>
        </is>
      </c>
      <c r="C276" s="2" t="inlineStr">
        <is>
          <t>Автотовары</t>
        </is>
      </c>
      <c r="D276" s="2" t="inlineStr">
        <is>
          <t>Автотовары → Автоэлектроника → Автосканеры</t>
        </is>
      </c>
      <c r="E276" s="3" t="n">
        <v>110990166</v>
      </c>
      <c r="F276" s="3" t="n">
        <v>2096</v>
      </c>
      <c r="G276" s="3">
        <f>IFERROR(E276/F276,0)</f>
        <v/>
      </c>
      <c r="H276" s="3" t="n">
        <v>252</v>
      </c>
      <c r="I276" s="2" t="n">
        <v>65</v>
      </c>
      <c r="J276" s="3">
        <f>IFERROR(E276/H276,0)</f>
        <v/>
      </c>
      <c r="K276" s="10">
        <f>E276/'По разделам'!$B$21</f>
        <v/>
      </c>
      <c r="L276" s="4">
        <f>L275+K276</f>
        <v/>
      </c>
      <c r="M276" s="2" t="inlineStr">
        <is>
          <t>01652</t>
        </is>
      </c>
      <c r="N276" s="2" t="inlineStr">
        <is>
          <t>https://app.redstat.kz/niche/01652?event_date=2026-08-01</t>
        </is>
      </c>
      <c r="O276" s="2" t="inlineStr">
        <is>
          <t>https://kaspi.kz/shop/c/car%20code%20readers/</t>
        </is>
      </c>
    </row>
    <row r="277">
      <c r="A277" s="2" t="n">
        <v>276</v>
      </c>
      <c r="B277" s="2" t="inlineStr">
        <is>
          <t>Оформление интерьера</t>
        </is>
      </c>
      <c r="C277" s="2" t="inlineStr">
        <is>
          <t>Товары для дома и дачи</t>
        </is>
      </c>
      <c r="D277" s="2" t="inlineStr">
        <is>
          <t>Товары для дома и дачи → Интерьер → Оформление интерьера → Оформление интерьера</t>
        </is>
      </c>
      <c r="E277" s="3" t="n">
        <v>109954699</v>
      </c>
      <c r="F277" s="3" t="n">
        <v>28414</v>
      </c>
      <c r="G277" s="3">
        <f>IFERROR(E277/F277,0)</f>
        <v/>
      </c>
      <c r="H277" s="3" t="n">
        <v>3030</v>
      </c>
      <c r="I277" s="2" t="n">
        <v>299</v>
      </c>
      <c r="J277" s="3">
        <f>IFERROR(E277/H277,0)</f>
        <v/>
      </c>
      <c r="K277" s="10">
        <f>E277/'По разделам'!$B$21</f>
        <v/>
      </c>
      <c r="L277" s="4">
        <f>L276+K277</f>
        <v/>
      </c>
      <c r="M277" s="2" t="inlineStr">
        <is>
          <t>q8a78b2a84db5a4a</t>
        </is>
      </c>
      <c r="N277" s="2" t="inlineStr">
        <is>
          <t>https://app.redstat.kz/niche/q8a78b2a84db5a4a?event_date=2026-08-01</t>
        </is>
      </c>
      <c r="O277" s="2" t="inlineStr"/>
    </row>
    <row r="278">
      <c r="A278" s="2" t="n">
        <v>277</v>
      </c>
      <c r="B278" s="2" t="inlineStr">
        <is>
          <t>Шкафы в ванную</t>
        </is>
      </c>
      <c r="C278" s="2" t="inlineStr">
        <is>
          <t>Мебель</t>
        </is>
      </c>
      <c r="D278" s="2" t="inlineStr">
        <is>
          <t>Мебель → Ванная комната → Шкафы в ванную</t>
        </is>
      </c>
      <c r="E278" s="3" t="n">
        <v>109465608</v>
      </c>
      <c r="F278" s="3" t="n">
        <v>4802</v>
      </c>
      <c r="G278" s="3">
        <f>IFERROR(E278/F278,0)</f>
        <v/>
      </c>
      <c r="H278" s="3" t="n">
        <v>455</v>
      </c>
      <c r="I278" s="2" t="n">
        <v>87</v>
      </c>
      <c r="J278" s="3">
        <f>IFERROR(E278/H278,0)</f>
        <v/>
      </c>
      <c r="K278" s="10">
        <f>E278/'По разделам'!$B$21</f>
        <v/>
      </c>
      <c r="L278" s="4">
        <f>L277+K278</f>
        <v/>
      </c>
      <c r="M278" s="2" t="inlineStr">
        <is>
          <t>01058</t>
        </is>
      </c>
      <c r="N278" s="2" t="inlineStr">
        <is>
          <t>https://app.redstat.kz/niche/01058?event_date=2026-08-01</t>
        </is>
      </c>
      <c r="O278" s="2" t="inlineStr">
        <is>
          <t>https://kaspi.kz/shop/c/bathroom%20wardrobes/</t>
        </is>
      </c>
    </row>
    <row r="279">
      <c r="A279" s="2" t="n">
        <v>278</v>
      </c>
      <c r="B279" s="2" t="inlineStr">
        <is>
          <t>Баня и сауна</t>
        </is>
      </c>
      <c r="C279" s="2" t="inlineStr">
        <is>
          <t>Товары для дома и дачи</t>
        </is>
      </c>
      <c r="D279" s="2" t="inlineStr">
        <is>
          <t>Товары для дома и дачи → Дача, сад и огород → Баня и сауна → Баня и сауна</t>
        </is>
      </c>
      <c r="E279" s="3" t="n">
        <v>109033150</v>
      </c>
      <c r="F279" s="3" t="n">
        <v>4992</v>
      </c>
      <c r="G279" s="3">
        <f>IFERROR(E279/F279,0)</f>
        <v/>
      </c>
      <c r="H279" s="3" t="n">
        <v>1223</v>
      </c>
      <c r="I279" s="2" t="n">
        <v>144</v>
      </c>
      <c r="J279" s="3">
        <f>IFERROR(E279/H279,0)</f>
        <v/>
      </c>
      <c r="K279" s="10">
        <f>E279/'По разделам'!$B$21</f>
        <v/>
      </c>
      <c r="L279" s="4">
        <f>L278+K279</f>
        <v/>
      </c>
      <c r="M279" s="2" t="inlineStr">
        <is>
          <t>q8167141e0a9dd2b</t>
        </is>
      </c>
      <c r="N279" s="2" t="inlineStr">
        <is>
          <t>https://app.redstat.kz/niche/q8167141e0a9dd2b?event_date=2026-08-01</t>
        </is>
      </c>
      <c r="O279" s="2" t="inlineStr"/>
    </row>
    <row r="280">
      <c r="A280" s="2" t="n">
        <v>279</v>
      </c>
      <c r="B280" s="2" t="inlineStr">
        <is>
          <t>Мужские брюки</t>
        </is>
      </c>
      <c r="C280" s="2" t="inlineStr">
        <is>
          <t>Одежда</t>
        </is>
      </c>
      <c r="D280" s="2" t="inlineStr">
        <is>
          <t>Одежда → Мужчинам → Мужские брюки</t>
        </is>
      </c>
      <c r="E280" s="3" t="n">
        <v>108302535</v>
      </c>
      <c r="F280" s="3" t="n">
        <v>10851</v>
      </c>
      <c r="G280" s="3">
        <f>IFERROR(E280/F280,0)</f>
        <v/>
      </c>
      <c r="H280" s="3" t="n">
        <v>2752</v>
      </c>
      <c r="I280" s="2" t="n">
        <v>221</v>
      </c>
      <c r="J280" s="3">
        <f>IFERROR(E280/H280,0)</f>
        <v/>
      </c>
      <c r="K280" s="10">
        <f>E280/'По разделам'!$B$21</f>
        <v/>
      </c>
      <c r="L280" s="4">
        <f>L279+K280</f>
        <v/>
      </c>
      <c r="M280" s="2" t="inlineStr">
        <is>
          <t>00977</t>
        </is>
      </c>
      <c r="N280" s="2" t="inlineStr">
        <is>
          <t>https://app.redstat.kz/niche/00977?event_date=2026-08-01</t>
        </is>
      </c>
      <c r="O280" s="2" t="inlineStr">
        <is>
          <t>https://kaspi.kz/shop/c/men%20pants/</t>
        </is>
      </c>
    </row>
    <row r="281">
      <c r="A281" s="2" t="n">
        <v>280</v>
      </c>
      <c r="B281" s="2" t="inlineStr">
        <is>
          <t>Раковины, пьедесталы и аксессуары</t>
        </is>
      </c>
      <c r="C281" s="2" t="inlineStr">
        <is>
          <t>Строительство, ремонт</t>
        </is>
      </c>
      <c r="D281" s="2" t="inlineStr">
        <is>
          <t>Строительство, ремонт → Сантехника → Раковины, пьедесталы и аксессуары → Раковины, пьедесталы и аксессуары</t>
        </is>
      </c>
      <c r="E281" s="3" t="n">
        <v>108162471</v>
      </c>
      <c r="F281" s="3" t="n">
        <v>3115</v>
      </c>
      <c r="G281" s="3">
        <f>IFERROR(E281/F281,0)</f>
        <v/>
      </c>
      <c r="H281" s="3" t="n">
        <v>610</v>
      </c>
      <c r="I281" s="2" t="n">
        <v>91</v>
      </c>
      <c r="J281" s="3">
        <f>IFERROR(E281/H281,0)</f>
        <v/>
      </c>
      <c r="K281" s="10">
        <f>E281/'По разделам'!$B$21</f>
        <v/>
      </c>
      <c r="L281" s="4">
        <f>L280+K281</f>
        <v/>
      </c>
      <c r="M281" s="2" t="inlineStr">
        <is>
          <t>qcc0b4ba4599044b</t>
        </is>
      </c>
      <c r="N281" s="2" t="inlineStr">
        <is>
          <t>https://app.redstat.kz/niche/qcc0b4ba4599044b?event_date=2026-08-01</t>
        </is>
      </c>
      <c r="O281" s="2" t="inlineStr"/>
    </row>
    <row r="282">
      <c r="A282" s="2" t="n">
        <v>281</v>
      </c>
      <c r="B282" s="2" t="inlineStr">
        <is>
          <t>Консервирование</t>
        </is>
      </c>
      <c r="C282" s="2" t="inlineStr">
        <is>
          <t>Товары для дома и дачи</t>
        </is>
      </c>
      <c r="D282" s="2" t="inlineStr">
        <is>
          <t>Товары для дома и дачи → Посуда и принадлежности → Консервирование → Консервирование</t>
        </is>
      </c>
      <c r="E282" s="3" t="n">
        <v>107285380</v>
      </c>
      <c r="F282" s="3" t="n">
        <v>24152</v>
      </c>
      <c r="G282" s="3">
        <f>IFERROR(E282/F282,0)</f>
        <v/>
      </c>
      <c r="H282" s="3" t="n">
        <v>824</v>
      </c>
      <c r="I282" s="2" t="n">
        <v>140</v>
      </c>
      <c r="J282" s="3">
        <f>IFERROR(E282/H282,0)</f>
        <v/>
      </c>
      <c r="K282" s="10">
        <f>E282/'По разделам'!$B$21</f>
        <v/>
      </c>
      <c r="L282" s="4">
        <f>L281+K282</f>
        <v/>
      </c>
      <c r="M282" s="2" t="inlineStr">
        <is>
          <t>qf1fd3c0a5e7e5df</t>
        </is>
      </c>
      <c r="N282" s="2" t="inlineStr">
        <is>
          <t>https://app.redstat.kz/niche/qf1fd3c0a5e7e5df?event_date=2026-08-01</t>
        </is>
      </c>
      <c r="O282" s="2" t="inlineStr"/>
    </row>
    <row r="283">
      <c r="A283" s="2" t="n">
        <v>282</v>
      </c>
      <c r="B283" s="2" t="inlineStr">
        <is>
          <t>Парикмахерское оборудование</t>
        </is>
      </c>
      <c r="C283" s="2" t="inlineStr">
        <is>
          <t>Красота и здоровье</t>
        </is>
      </c>
      <c r="D283" s="2" t="inlineStr">
        <is>
          <t>Красота и здоровье → Мебель и оборудование для салонов красоты → Парикмахерское оборудование</t>
        </is>
      </c>
      <c r="E283" s="3" t="n">
        <v>106736144</v>
      </c>
      <c r="F283" s="3" t="n">
        <v>2460</v>
      </c>
      <c r="G283" s="3">
        <f>IFERROR(E283/F283,0)</f>
        <v/>
      </c>
      <c r="H283" s="3" t="n">
        <v>400</v>
      </c>
      <c r="I283" s="2" t="n">
        <v>51</v>
      </c>
      <c r="J283" s="3">
        <f>IFERROR(E283/H283,0)</f>
        <v/>
      </c>
      <c r="K283" s="10">
        <f>E283/'По разделам'!$B$21</f>
        <v/>
      </c>
      <c r="L283" s="4">
        <f>L282+K283</f>
        <v/>
      </c>
      <c r="M283" s="2" t="inlineStr">
        <is>
          <t>04956</t>
        </is>
      </c>
      <c r="N283" s="2" t="inlineStr">
        <is>
          <t>https://app.redstat.kz/niche/04956?event_date=2026-08-01</t>
        </is>
      </c>
      <c r="O283" s="2" t="inlineStr">
        <is>
          <t>https://kaspi.kz/shop/c/salon%20chairs%20and%20stools/</t>
        </is>
      </c>
    </row>
    <row r="284">
      <c r="A284" s="2" t="n">
        <v>283</v>
      </c>
      <c r="B284" s="2" t="inlineStr">
        <is>
          <t>Корректоры и консилеры</t>
        </is>
      </c>
      <c r="C284" s="2" t="inlineStr">
        <is>
          <t>Красота и здоровье</t>
        </is>
      </c>
      <c r="D284" s="2" t="inlineStr">
        <is>
          <t>Красота и здоровье → Декоративная косметика → Корректоры и консилеры</t>
        </is>
      </c>
      <c r="E284" s="3" t="n">
        <v>106665383</v>
      </c>
      <c r="F284" s="3" t="n">
        <v>38465</v>
      </c>
      <c r="G284" s="3">
        <f>IFERROR(E284/F284,0)</f>
        <v/>
      </c>
      <c r="H284" s="3" t="n">
        <v>664</v>
      </c>
      <c r="I284" s="2" t="n">
        <v>119</v>
      </c>
      <c r="J284" s="3">
        <f>IFERROR(E284/H284,0)</f>
        <v/>
      </c>
      <c r="K284" s="10">
        <f>E284/'По разделам'!$B$21</f>
        <v/>
      </c>
      <c r="L284" s="4">
        <f>L283+K284</f>
        <v/>
      </c>
      <c r="M284" s="2" t="inlineStr">
        <is>
          <t>00964</t>
        </is>
      </c>
      <c r="N284" s="2" t="inlineStr">
        <is>
          <t>https://app.redstat.kz/niche/00964?event_date=2026-08-01</t>
        </is>
      </c>
      <c r="O284" s="2" t="inlineStr">
        <is>
          <t>https://kaspi.kz/shop/c/concealers%20and%20neutralizers/</t>
        </is>
      </c>
    </row>
    <row r="285">
      <c r="A285" s="2" t="n">
        <v>284</v>
      </c>
      <c r="B285" s="2" t="inlineStr">
        <is>
          <t>Оснастка и расходники для инструмента</t>
        </is>
      </c>
      <c r="C285" s="2" t="inlineStr">
        <is>
          <t>Строительство, ремонт</t>
        </is>
      </c>
      <c r="D285" s="2" t="inlineStr">
        <is>
          <t>Строительство, ремонт → Инструменты → Оснастка и расходники для инструмента → Оснастка и расходники для инструмента</t>
        </is>
      </c>
      <c r="E285" s="3" t="n">
        <v>106262786</v>
      </c>
      <c r="F285" s="3" t="n">
        <v>12062</v>
      </c>
      <c r="G285" s="3">
        <f>IFERROR(E285/F285,0)</f>
        <v/>
      </c>
      <c r="H285" s="3" t="n">
        <v>2987</v>
      </c>
      <c r="I285" s="2" t="n">
        <v>397</v>
      </c>
      <c r="J285" s="3">
        <f>IFERROR(E285/H285,0)</f>
        <v/>
      </c>
      <c r="K285" s="10">
        <f>E285/'По разделам'!$B$21</f>
        <v/>
      </c>
      <c r="L285" s="4">
        <f>L284+K285</f>
        <v/>
      </c>
      <c r="M285" s="2" t="inlineStr">
        <is>
          <t>q2bf4cf5f38bf356</t>
        </is>
      </c>
      <c r="N285" s="2" t="inlineStr">
        <is>
          <t>https://app.redstat.kz/niche/q2bf4cf5f38bf356?event_date=2026-08-01</t>
        </is>
      </c>
      <c r="O285" s="2" t="inlineStr"/>
    </row>
    <row r="286">
      <c r="A286" s="2" t="n">
        <v>285</v>
      </c>
      <c r="B286" s="2" t="inlineStr">
        <is>
          <t>Наборы электроинструментов</t>
        </is>
      </c>
      <c r="C286" s="2" t="inlineStr">
        <is>
          <t>Строительство, ремонт</t>
        </is>
      </c>
      <c r="D286" s="2" t="inlineStr">
        <is>
          <t>Строительство, ремонт → Инструменты → Наборы электроинструментов</t>
        </is>
      </c>
      <c r="E286" s="3" t="n">
        <v>106036679</v>
      </c>
      <c r="F286" s="3" t="n">
        <v>1545</v>
      </c>
      <c r="G286" s="3">
        <f>IFERROR(E286/F286,0)</f>
        <v/>
      </c>
      <c r="H286" s="3" t="n">
        <v>342</v>
      </c>
      <c r="I286" s="2" t="n">
        <v>71</v>
      </c>
      <c r="J286" s="3">
        <f>IFERROR(E286/H286,0)</f>
        <v/>
      </c>
      <c r="K286" s="10">
        <f>E286/'По разделам'!$B$21</f>
        <v/>
      </c>
      <c r="L286" s="4">
        <f>L285+K286</f>
        <v/>
      </c>
      <c r="M286" s="2" t="inlineStr">
        <is>
          <t>03414</t>
        </is>
      </c>
      <c r="N286" s="2" t="inlineStr">
        <is>
          <t>https://app.redstat.kz/niche/03414?event_date=2026-08-01</t>
        </is>
      </c>
      <c r="O286" s="2" t="inlineStr">
        <is>
          <t>https://kaspi.kz/shop/c/power%20tool%20sets/</t>
        </is>
      </c>
    </row>
    <row r="287">
      <c r="A287" s="2" t="n">
        <v>286</v>
      </c>
      <c r="B287" s="2" t="inlineStr">
        <is>
          <t>Инструменты для маникюра и педикюра</t>
        </is>
      </c>
      <c r="C287" s="2" t="inlineStr">
        <is>
          <t>Красота и здоровье</t>
        </is>
      </c>
      <c r="D287" s="2" t="inlineStr">
        <is>
          <t>Красота и здоровье → Для маникюра и педикюра → Инструменты для маникюра и педикюра → Инструменты для маникюра и педикюра</t>
        </is>
      </c>
      <c r="E287" s="3" t="n">
        <v>104529447</v>
      </c>
      <c r="F287" s="3" t="n">
        <v>53171</v>
      </c>
      <c r="G287" s="3">
        <f>IFERROR(E287/F287,0)</f>
        <v/>
      </c>
      <c r="H287" s="3" t="n">
        <v>2805</v>
      </c>
      <c r="I287" s="2" t="n">
        <v>435</v>
      </c>
      <c r="J287" s="3">
        <f>IFERROR(E287/H287,0)</f>
        <v/>
      </c>
      <c r="K287" s="10">
        <f>E287/'По разделам'!$B$21</f>
        <v/>
      </c>
      <c r="L287" s="4">
        <f>L286+K287</f>
        <v/>
      </c>
      <c r="M287" s="2" t="inlineStr">
        <is>
          <t>q8c68c4207948c06</t>
        </is>
      </c>
      <c r="N287" s="2" t="inlineStr">
        <is>
          <t>https://app.redstat.kz/niche/q8c68c4207948c06?event_date=2026-08-01</t>
        </is>
      </c>
      <c r="O287" s="2" t="inlineStr"/>
    </row>
    <row r="288">
      <c r="A288" s="2" t="n">
        <v>287</v>
      </c>
      <c r="B288" s="2" t="inlineStr">
        <is>
          <t>Гигиенические прокладки и тампоны</t>
        </is>
      </c>
      <c r="C288" s="2" t="inlineStr">
        <is>
          <t>Красота и здоровье</t>
        </is>
      </c>
      <c r="D288" s="2" t="inlineStr">
        <is>
          <t>Красота и здоровье → Уход за телом → Гигиенические прокладки и тампоны</t>
        </is>
      </c>
      <c r="E288" s="3" t="n">
        <v>102801578</v>
      </c>
      <c r="F288" s="3" t="n">
        <v>46616</v>
      </c>
      <c r="G288" s="3">
        <f>IFERROR(E288/F288,0)</f>
        <v/>
      </c>
      <c r="H288" s="3" t="n">
        <v>996</v>
      </c>
      <c r="I288" s="2" t="n">
        <v>125</v>
      </c>
      <c r="J288" s="3">
        <f>IFERROR(E288/H288,0)</f>
        <v/>
      </c>
      <c r="K288" s="10">
        <f>E288/'По разделам'!$B$21</f>
        <v/>
      </c>
      <c r="L288" s="4">
        <f>L287+K288</f>
        <v/>
      </c>
      <c r="M288" s="2" t="inlineStr">
        <is>
          <t>03154</t>
        </is>
      </c>
      <c r="N288" s="2" t="inlineStr">
        <is>
          <t>https://app.redstat.kz/niche/03154?event_date=2026-08-01</t>
        </is>
      </c>
      <c r="O288" s="2" t="inlineStr">
        <is>
          <t>https://kaspi.kz/shop/c/sanitary%20napkins/</t>
        </is>
      </c>
    </row>
    <row r="289">
      <c r="A289" s="2" t="n">
        <v>288</v>
      </c>
      <c r="B289" s="2" t="inlineStr">
        <is>
          <t>Малая косметологическая техника</t>
        </is>
      </c>
      <c r="C289" s="2" t="inlineStr">
        <is>
          <t>Красота и здоровье</t>
        </is>
      </c>
      <c r="D289" s="2" t="inlineStr">
        <is>
          <t>Красота и здоровье → Техника и оборудование для красоты → Малая косметологическая техника</t>
        </is>
      </c>
      <c r="E289" s="3" t="n">
        <v>102563491</v>
      </c>
      <c r="F289" s="3" t="n">
        <v>6259</v>
      </c>
      <c r="G289" s="3">
        <f>IFERROR(E289/F289,0)</f>
        <v/>
      </c>
      <c r="H289" s="3" t="n">
        <v>724</v>
      </c>
      <c r="I289" s="2" t="n">
        <v>248</v>
      </c>
      <c r="J289" s="3">
        <f>IFERROR(E289/H289,0)</f>
        <v/>
      </c>
      <c r="K289" s="10">
        <f>E289/'По разделам'!$B$21</f>
        <v/>
      </c>
      <c r="L289" s="4">
        <f>L288+K289</f>
        <v/>
      </c>
      <c r="M289" s="2" t="inlineStr">
        <is>
          <t>00827</t>
        </is>
      </c>
      <c r="N289" s="2" t="inlineStr">
        <is>
          <t>https://app.redstat.kz/niche/00827?event_date=2026-08-01</t>
        </is>
      </c>
      <c r="O289" s="2" t="inlineStr">
        <is>
          <t>https://kaspi.kz/shop/c/facial%20cleansing%20devices/</t>
        </is>
      </c>
    </row>
    <row r="290">
      <c r="A290" s="2" t="n">
        <v>289</v>
      </c>
      <c r="B290" s="2" t="inlineStr">
        <is>
          <t>Кроссовки и кеды для мальчиков</t>
        </is>
      </c>
      <c r="C290" s="2" t="inlineStr">
        <is>
          <t>Обувь</t>
        </is>
      </c>
      <c r="D290" s="2" t="inlineStr">
        <is>
          <t>Обувь → Обувь для мальчиков → Кроссовки и кеды для мальчиков</t>
        </is>
      </c>
      <c r="E290" s="3" t="n">
        <v>102529163</v>
      </c>
      <c r="F290" s="3" t="n">
        <v>5662</v>
      </c>
      <c r="G290" s="3">
        <f>IFERROR(E290/F290,0)</f>
        <v/>
      </c>
      <c r="H290" s="3" t="n">
        <v>2982</v>
      </c>
      <c r="I290" s="2" t="n">
        <v>139</v>
      </c>
      <c r="J290" s="3">
        <f>IFERROR(E290/H290,0)</f>
        <v/>
      </c>
      <c r="K290" s="10">
        <f>E290/'По разделам'!$B$21</f>
        <v/>
      </c>
      <c r="L290" s="4">
        <f>L289+K290</f>
        <v/>
      </c>
      <c r="M290" s="2" t="inlineStr">
        <is>
          <t>05522</t>
        </is>
      </c>
      <c r="N290" s="2" t="inlineStr">
        <is>
          <t>https://app.redstat.kz/niche/05522?event_date=2026-08-01</t>
        </is>
      </c>
      <c r="O290" s="2" t="inlineStr">
        <is>
          <t>https://kaspi.kz/shop/c/boy%20trainers/</t>
        </is>
      </c>
    </row>
    <row r="291">
      <c r="A291" s="2" t="n">
        <v>290</v>
      </c>
      <c r="B291" s="2" t="inlineStr">
        <is>
          <t>Головные уборы</t>
        </is>
      </c>
      <c r="C291" s="2" t="inlineStr">
        <is>
          <t>Аксессуары</t>
        </is>
      </c>
      <c r="D291" s="2" t="inlineStr">
        <is>
          <t>Аксессуары → Шапки, шарфы, перчатки → Головные уборы</t>
        </is>
      </c>
      <c r="E291" s="3" t="n">
        <v>102204457</v>
      </c>
      <c r="F291" s="3" t="n">
        <v>39698</v>
      </c>
      <c r="G291" s="3">
        <f>IFERROR(E291/F291,0)</f>
        <v/>
      </c>
      <c r="H291" s="3" t="n">
        <v>3935</v>
      </c>
      <c r="I291" s="2" t="n">
        <v>521</v>
      </c>
      <c r="J291" s="3">
        <f>IFERROR(E291/H291,0)</f>
        <v/>
      </c>
      <c r="K291" s="10">
        <f>E291/'По разделам'!$B$21</f>
        <v/>
      </c>
      <c r="L291" s="4">
        <f>L290+K291</f>
        <v/>
      </c>
      <c r="M291" s="2" t="inlineStr">
        <is>
          <t>01264</t>
        </is>
      </c>
      <c r="N291" s="2" t="inlineStr">
        <is>
          <t>https://app.redstat.kz/niche/01264?event_date=2026-08-01</t>
        </is>
      </c>
      <c r="O291" s="2" t="inlineStr">
        <is>
          <t>https://kaspi.kz/shop/c/fashion%20hats%20and%20caps/</t>
        </is>
      </c>
    </row>
    <row r="292">
      <c r="A292" s="2" t="n">
        <v>291</v>
      </c>
      <c r="B292" s="2" t="inlineStr">
        <is>
          <t>Электросамокаты</t>
        </is>
      </c>
      <c r="C292" s="2" t="inlineStr">
        <is>
          <t>Спорт, туризм</t>
        </is>
      </c>
      <c r="D292" s="2" t="inlineStr">
        <is>
          <t>Спорт, туризм → Самокаты, гироскутеры, моноколеса → Электросамокаты</t>
        </is>
      </c>
      <c r="E292" s="3" t="n">
        <v>101687922</v>
      </c>
      <c r="F292" s="3" t="n">
        <v>709</v>
      </c>
      <c r="G292" s="3">
        <f>IFERROR(E292/F292,0)</f>
        <v/>
      </c>
      <c r="H292" s="3" t="n">
        <v>133</v>
      </c>
      <c r="I292" s="2" t="n">
        <v>34</v>
      </c>
      <c r="J292" s="3">
        <f>IFERROR(E292/H292,0)</f>
        <v/>
      </c>
      <c r="K292" s="10">
        <f>E292/'По разделам'!$B$21</f>
        <v/>
      </c>
      <c r="L292" s="4">
        <f>L291+K292</f>
        <v/>
      </c>
      <c r="M292" s="2" t="inlineStr">
        <is>
          <t>07285</t>
        </is>
      </c>
      <c r="N292" s="2" t="inlineStr">
        <is>
          <t>https://app.redstat.kz/niche/07285?event_date=2026-08-01</t>
        </is>
      </c>
      <c r="O292" s="2" t="inlineStr">
        <is>
          <t>https://kaspi.kz/shop/c/electric%20scooter/</t>
        </is>
      </c>
    </row>
    <row r="293">
      <c r="A293" s="2" t="n">
        <v>292</v>
      </c>
      <c r="B293" s="2" t="inlineStr">
        <is>
          <t>Школьная форма для девочек</t>
        </is>
      </c>
      <c r="C293" s="2" t="inlineStr">
        <is>
          <t>Одежда</t>
        </is>
      </c>
      <c r="D293" s="2" t="inlineStr">
        <is>
          <t>Одежда → Девочкам → Школьная форма для девочек → Школьная форма для девочек</t>
        </is>
      </c>
      <c r="E293" s="3" t="n">
        <v>101457113</v>
      </c>
      <c r="F293" s="3" t="n">
        <v>14520</v>
      </c>
      <c r="G293" s="3">
        <f>IFERROR(E293/F293,0)</f>
        <v/>
      </c>
      <c r="H293" s="3" t="n">
        <v>2634</v>
      </c>
      <c r="I293" s="2" t="n">
        <v>152</v>
      </c>
      <c r="J293" s="3">
        <f>IFERROR(E293/H293,0)</f>
        <v/>
      </c>
      <c r="K293" s="10">
        <f>E293/'По разделам'!$B$21</f>
        <v/>
      </c>
      <c r="L293" s="4">
        <f>L292+K293</f>
        <v/>
      </c>
      <c r="M293" s="2" t="inlineStr">
        <is>
          <t>qad8efc3df73c79d</t>
        </is>
      </c>
      <c r="N293" s="2" t="inlineStr">
        <is>
          <t>https://app.redstat.kz/niche/qad8efc3df73c79d?event_date=2026-08-01</t>
        </is>
      </c>
      <c r="O293" s="2" t="inlineStr"/>
    </row>
    <row r="294">
      <c r="A294" s="2" t="n">
        <v>293</v>
      </c>
      <c r="B294" s="2" t="inlineStr">
        <is>
          <t>Женская пляжная одежда</t>
        </is>
      </c>
      <c r="C294" s="2" t="inlineStr">
        <is>
          <t>Одежда</t>
        </is>
      </c>
      <c r="D294" s="2" t="inlineStr">
        <is>
          <t>Одежда → Женщинам → Женская пляжная одежда → Женская пляжная одежда</t>
        </is>
      </c>
      <c r="E294" s="3" t="n">
        <v>100768569</v>
      </c>
      <c r="F294" s="3" t="n">
        <v>13922</v>
      </c>
      <c r="G294" s="3">
        <f>IFERROR(E294/F294,0)</f>
        <v/>
      </c>
      <c r="H294" s="3" t="n">
        <v>2970</v>
      </c>
      <c r="I294" s="2" t="n">
        <v>269</v>
      </c>
      <c r="J294" s="3">
        <f>IFERROR(E294/H294,0)</f>
        <v/>
      </c>
      <c r="K294" s="10">
        <f>E294/'По разделам'!$B$21</f>
        <v/>
      </c>
      <c r="L294" s="4">
        <f>L293+K294</f>
        <v/>
      </c>
      <c r="M294" s="2" t="inlineStr">
        <is>
          <t>q889d6a1384364bf</t>
        </is>
      </c>
      <c r="N294" s="2" t="inlineStr">
        <is>
          <t>https://app.redstat.kz/niche/q889d6a1384364bf?event_date=2026-08-01</t>
        </is>
      </c>
      <c r="O294" s="2" t="inlineStr"/>
    </row>
    <row r="295">
      <c r="A295" s="2" t="n">
        <v>294</v>
      </c>
      <c r="B295" s="2" t="inlineStr">
        <is>
          <t>Детские комоды и стеллажи</t>
        </is>
      </c>
      <c r="C295" s="2" t="inlineStr">
        <is>
          <t>Мебель</t>
        </is>
      </c>
      <c r="D295" s="2" t="inlineStr">
        <is>
          <t>Мебель → Детская комната → Детские комоды и стеллажи</t>
        </is>
      </c>
      <c r="E295" s="3" t="n">
        <v>100530255</v>
      </c>
      <c r="F295" s="3" t="n">
        <v>2560</v>
      </c>
      <c r="G295" s="3">
        <f>IFERROR(E295/F295,0)</f>
        <v/>
      </c>
      <c r="H295" s="3" t="n">
        <v>282</v>
      </c>
      <c r="I295" s="2" t="n">
        <v>48</v>
      </c>
      <c r="J295" s="3">
        <f>IFERROR(E295/H295,0)</f>
        <v/>
      </c>
      <c r="K295" s="10">
        <f>E295/'По разделам'!$B$21</f>
        <v/>
      </c>
      <c r="L295" s="4">
        <f>L294+K295</f>
        <v/>
      </c>
      <c r="M295" s="2" t="inlineStr">
        <is>
          <t>00102</t>
        </is>
      </c>
      <c r="N295" s="2" t="inlineStr">
        <is>
          <t>https://app.redstat.kz/niche/00102?event_date=2026-08-01</t>
        </is>
      </c>
      <c r="O295" s="2" t="inlineStr">
        <is>
          <t>https://kaspi.kz/shop/c/changing%20dressers/</t>
        </is>
      </c>
    </row>
    <row r="296">
      <c r="A296" s="2" t="n">
        <v>295</v>
      </c>
      <c r="B296" s="2" t="inlineStr">
        <is>
          <t>Солнцезащитные очки</t>
        </is>
      </c>
      <c r="C296" s="2" t="inlineStr">
        <is>
          <t>Аксессуары</t>
        </is>
      </c>
      <c r="D296" s="2" t="inlineStr">
        <is>
          <t>Аксессуары → Очки и аксессуары → Солнцезащитные очки</t>
        </is>
      </c>
      <c r="E296" s="3" t="n">
        <v>99824937</v>
      </c>
      <c r="F296" s="3" t="n">
        <v>59790</v>
      </c>
      <c r="G296" s="3">
        <f>IFERROR(E296/F296,0)</f>
        <v/>
      </c>
      <c r="H296" s="3" t="n">
        <v>1861</v>
      </c>
      <c r="I296" s="2" t="n">
        <v>201</v>
      </c>
      <c r="J296" s="3">
        <f>IFERROR(E296/H296,0)</f>
        <v/>
      </c>
      <c r="K296" s="10">
        <f>E296/'По разделам'!$B$21</f>
        <v/>
      </c>
      <c r="L296" s="4">
        <f>L295+K296</f>
        <v/>
      </c>
      <c r="M296" s="2" t="inlineStr">
        <is>
          <t>02042</t>
        </is>
      </c>
      <c r="N296" s="2" t="inlineStr">
        <is>
          <t>https://app.redstat.kz/niche/02042?event_date=2026-08-01</t>
        </is>
      </c>
      <c r="O296" s="2" t="inlineStr">
        <is>
          <t>https://kaspi.kz/shop/c/sunglasses/</t>
        </is>
      </c>
    </row>
    <row r="297">
      <c r="A297" s="2" t="n">
        <v>296</v>
      </c>
      <c r="B297" s="2" t="inlineStr">
        <is>
          <t>Картины, панно и рамки</t>
        </is>
      </c>
      <c r="C297" s="2" t="inlineStr">
        <is>
          <t>Товары для дома и дачи</t>
        </is>
      </c>
      <c r="D297" s="2" t="inlineStr">
        <is>
          <t>Товары для дома и дачи → Интерьер → Картины, панно и рамки → Картины, панно и рамки</t>
        </is>
      </c>
      <c r="E297" s="3" t="n">
        <v>99652632</v>
      </c>
      <c r="F297" s="3" t="n">
        <v>10956</v>
      </c>
      <c r="G297" s="3">
        <f>IFERROR(E297/F297,0)</f>
        <v/>
      </c>
      <c r="H297" s="3" t="n">
        <v>2722</v>
      </c>
      <c r="I297" s="2" t="n">
        <v>178</v>
      </c>
      <c r="J297" s="3">
        <f>IFERROR(E297/H297,0)</f>
        <v/>
      </c>
      <c r="K297" s="10">
        <f>E297/'По разделам'!$B$21</f>
        <v/>
      </c>
      <c r="L297" s="4">
        <f>L296+K297</f>
        <v/>
      </c>
      <c r="M297" s="2" t="inlineStr">
        <is>
          <t>qd6869d79d89484d</t>
        </is>
      </c>
      <c r="N297" s="2" t="inlineStr">
        <is>
          <t>https://app.redstat.kz/niche/qd6869d79d89484d?event_date=2026-08-01</t>
        </is>
      </c>
      <c r="O297" s="2" t="inlineStr"/>
    </row>
    <row r="298">
      <c r="A298" s="2" t="n">
        <v>297</v>
      </c>
      <c r="B298" s="2" t="inlineStr">
        <is>
          <t>Женские джинсы</t>
        </is>
      </c>
      <c r="C298" s="2" t="inlineStr">
        <is>
          <t>Одежда</t>
        </is>
      </c>
      <c r="D298" s="2" t="inlineStr">
        <is>
          <t>Одежда → Женщинам → Женские джинсы</t>
        </is>
      </c>
      <c r="E298" s="3" t="n">
        <v>98737326</v>
      </c>
      <c r="F298" s="3" t="n">
        <v>13267</v>
      </c>
      <c r="G298" s="3">
        <f>IFERROR(E298/F298,0)</f>
        <v/>
      </c>
      <c r="H298" s="3" t="n">
        <v>2421</v>
      </c>
      <c r="I298" s="2" t="n">
        <v>151</v>
      </c>
      <c r="J298" s="3">
        <f>IFERROR(E298/H298,0)</f>
        <v/>
      </c>
      <c r="K298" s="10">
        <f>E298/'По разделам'!$B$21</f>
        <v/>
      </c>
      <c r="L298" s="4">
        <f>L297+K298</f>
        <v/>
      </c>
      <c r="M298" s="2" t="inlineStr">
        <is>
          <t>01217</t>
        </is>
      </c>
      <c r="N298" s="2" t="inlineStr">
        <is>
          <t>https://app.redstat.kz/niche/01217?event_date=2026-08-01</t>
        </is>
      </c>
      <c r="O298" s="2" t="inlineStr">
        <is>
          <t>https://kaspi.kz/shop/c/women%20jeans/</t>
        </is>
      </c>
    </row>
    <row r="299">
      <c r="A299" s="2" t="n">
        <v>298</v>
      </c>
      <c r="B299" s="2" t="inlineStr">
        <is>
          <t>Кабели и переходники для смартфонов</t>
        </is>
      </c>
      <c r="C299" s="2" t="inlineStr">
        <is>
          <t>Телефоны и гаджеты</t>
        </is>
      </c>
      <c r="D299" s="2" t="inlineStr">
        <is>
          <t>Телефоны и гаджеты → Аксессуары для телефонов → Кабели и переходники для смартфонов</t>
        </is>
      </c>
      <c r="E299" s="3" t="n">
        <v>98504046</v>
      </c>
      <c r="F299" s="3" t="n">
        <v>35343</v>
      </c>
      <c r="G299" s="3">
        <f>IFERROR(E299/F299,0)</f>
        <v/>
      </c>
      <c r="H299" s="3" t="n">
        <v>2075</v>
      </c>
      <c r="I299" s="2" t="n">
        <v>239</v>
      </c>
      <c r="J299" s="3">
        <f>IFERROR(E299/H299,0)</f>
        <v/>
      </c>
      <c r="K299" s="10">
        <f>E299/'По разделам'!$B$21</f>
        <v/>
      </c>
      <c r="L299" s="4">
        <f>L298+K299</f>
        <v/>
      </c>
      <c r="M299" s="2" t="inlineStr">
        <is>
          <t>03619</t>
        </is>
      </c>
      <c r="N299" s="2" t="inlineStr">
        <is>
          <t>https://app.redstat.kz/niche/03619?event_date=2026-08-01</t>
        </is>
      </c>
      <c r="O299" s="2" t="inlineStr">
        <is>
          <t>https://kaspi.kz/shop/c/cables%20and%20adapters/</t>
        </is>
      </c>
    </row>
    <row r="300">
      <c r="A300" s="2" t="n">
        <v>299</v>
      </c>
      <c r="B300" s="2" t="inlineStr">
        <is>
          <t>Органайзеры, косметички и несессеры</t>
        </is>
      </c>
      <c r="C300" s="2" t="inlineStr">
        <is>
          <t>Красота и здоровье</t>
        </is>
      </c>
      <c r="D300" s="2" t="inlineStr">
        <is>
          <t>Красота и здоровье → Аксессуары для красоты → Органайзеры, косметички и несессеры → Органайзеры, косметички и несессеры</t>
        </is>
      </c>
      <c r="E300" s="3" t="n">
        <v>98409173</v>
      </c>
      <c r="F300" s="3" t="n">
        <v>65230</v>
      </c>
      <c r="G300" s="3">
        <f>IFERROR(E300/F300,0)</f>
        <v/>
      </c>
      <c r="H300" s="3" t="n">
        <v>1763</v>
      </c>
      <c r="I300" s="2" t="n">
        <v>290</v>
      </c>
      <c r="J300" s="3">
        <f>IFERROR(E300/H300,0)</f>
        <v/>
      </c>
      <c r="K300" s="10">
        <f>E300/'По разделам'!$B$21</f>
        <v/>
      </c>
      <c r="L300" s="4">
        <f>L299+K300</f>
        <v/>
      </c>
      <c r="M300" s="2" t="inlineStr">
        <is>
          <t>qc7151153d8ad375</t>
        </is>
      </c>
      <c r="N300" s="2" t="inlineStr">
        <is>
          <t>https://app.redstat.kz/niche/qc7151153d8ad375?event_date=2026-08-01</t>
        </is>
      </c>
      <c r="O300" s="2" t="inlineStr"/>
    </row>
    <row r="301">
      <c r="A301" s="2" t="n">
        <v>300</v>
      </c>
      <c r="B301" s="2" t="inlineStr">
        <is>
          <t>Школьные наборы</t>
        </is>
      </c>
      <c r="C301" s="2" t="inlineStr">
        <is>
          <t>Канцелярские товары</t>
        </is>
      </c>
      <c r="D301" s="2" t="inlineStr">
        <is>
          <t>Канцелярские товары → Школьные принадлежности → Школьные наборы</t>
        </is>
      </c>
      <c r="E301" s="3" t="n">
        <v>98309916</v>
      </c>
      <c r="F301" s="3" t="n">
        <v>14484</v>
      </c>
      <c r="G301" s="3">
        <f>IFERROR(E301/F301,0)</f>
        <v/>
      </c>
      <c r="H301" s="3" t="n">
        <v>621</v>
      </c>
      <c r="I301" s="2" t="n">
        <v>73</v>
      </c>
      <c r="J301" s="3">
        <f>IFERROR(E301/H301,0)</f>
        <v/>
      </c>
      <c r="K301" s="10">
        <f>E301/'По разделам'!$B$21</f>
        <v/>
      </c>
      <c r="L301" s="4">
        <f>L300+K301</f>
        <v/>
      </c>
      <c r="M301" s="2" t="inlineStr">
        <is>
          <t>05938</t>
        </is>
      </c>
      <c r="N301" s="2" t="inlineStr">
        <is>
          <t>https://app.redstat.kz/niche/05938?event_date=2026-08-01</t>
        </is>
      </c>
      <c r="O301" s="2" t="inlineStr">
        <is>
          <t>https://kaspi.kz/shop/c/first%20class%20kit/</t>
        </is>
      </c>
    </row>
    <row r="302">
      <c r="A302" s="2" t="n">
        <v>301</v>
      </c>
      <c r="B302" s="2" t="inlineStr">
        <is>
          <t>Товары для мам</t>
        </is>
      </c>
      <c r="C302" s="2" t="inlineStr">
        <is>
          <t>Детские товары</t>
        </is>
      </c>
      <c r="D302" s="2" t="inlineStr">
        <is>
          <t>Детские товары → Для малыша и мамы → Товары для мам → Товары для мам</t>
        </is>
      </c>
      <c r="E302" s="3" t="n">
        <v>98301449</v>
      </c>
      <c r="F302" s="3" t="n">
        <v>14293</v>
      </c>
      <c r="G302" s="3">
        <f>IFERROR(E302/F302,0)</f>
        <v/>
      </c>
      <c r="H302" s="3" t="n">
        <v>575</v>
      </c>
      <c r="I302" s="2" t="n">
        <v>159</v>
      </c>
      <c r="J302" s="3">
        <f>IFERROR(E302/H302,0)</f>
        <v/>
      </c>
      <c r="K302" s="10">
        <f>E302/'По разделам'!$B$21</f>
        <v/>
      </c>
      <c r="L302" s="4">
        <f>L301+K302</f>
        <v/>
      </c>
      <c r="M302" s="2" t="inlineStr">
        <is>
          <t>q60a6c5eae3720f7</t>
        </is>
      </c>
      <c r="N302" s="2" t="inlineStr">
        <is>
          <t>https://app.redstat.kz/niche/q60a6c5eae3720f7?event_date=2026-08-01</t>
        </is>
      </c>
      <c r="O302" s="2" t="inlineStr"/>
    </row>
    <row r="303">
      <c r="A303" s="2" t="n">
        <v>302</v>
      </c>
      <c r="B303" s="2" t="inlineStr">
        <is>
          <t>Авто и велокресла, жд-манежи</t>
        </is>
      </c>
      <c r="C303" s="2" t="inlineStr">
        <is>
          <t>Детские товары</t>
        </is>
      </c>
      <c r="D303" s="2" t="inlineStr">
        <is>
          <t>Детские товары → Прогулки и поездки → Авто и велокресла, жд-манежи → Авто и велокресла, жд-манежи</t>
        </is>
      </c>
      <c r="E303" s="3" t="n">
        <v>98247438</v>
      </c>
      <c r="F303" s="3" t="n">
        <v>2803</v>
      </c>
      <c r="G303" s="3">
        <f>IFERROR(E303/F303,0)</f>
        <v/>
      </c>
      <c r="H303" s="3" t="n">
        <v>439</v>
      </c>
      <c r="I303" s="2" t="n">
        <v>72</v>
      </c>
      <c r="J303" s="3">
        <f>IFERROR(E303/H303,0)</f>
        <v/>
      </c>
      <c r="K303" s="10">
        <f>E303/'По разделам'!$B$21</f>
        <v/>
      </c>
      <c r="L303" s="4">
        <f>L302+K303</f>
        <v/>
      </c>
      <c r="M303" s="2" t="inlineStr">
        <is>
          <t>qc44073f84cbe824</t>
        </is>
      </c>
      <c r="N303" s="2" t="inlineStr">
        <is>
          <t>https://app.redstat.kz/niche/qc44073f84cbe824?event_date=2026-08-01</t>
        </is>
      </c>
      <c r="O303" s="2" t="inlineStr"/>
    </row>
    <row r="304">
      <c r="A304" s="2" t="n">
        <v>303</v>
      </c>
      <c r="B304" s="2" t="inlineStr">
        <is>
          <t>Другая периферия</t>
        </is>
      </c>
      <c r="C304" s="2" t="inlineStr">
        <is>
          <t>Компьютеры</t>
        </is>
      </c>
      <c r="D304" s="2" t="inlineStr">
        <is>
          <t>Компьютеры → Периферия → Другая периферия → Другая периферия</t>
        </is>
      </c>
      <c r="E304" s="3" t="n">
        <v>97866162</v>
      </c>
      <c r="F304" s="3" t="n">
        <v>12960</v>
      </c>
      <c r="G304" s="3">
        <f>IFERROR(E304/F304,0)</f>
        <v/>
      </c>
      <c r="H304" s="3" t="n">
        <v>1586</v>
      </c>
      <c r="I304" s="2" t="n">
        <v>236</v>
      </c>
      <c r="J304" s="3">
        <f>IFERROR(E304/H304,0)</f>
        <v/>
      </c>
      <c r="K304" s="10">
        <f>E304/'По разделам'!$B$21</f>
        <v/>
      </c>
      <c r="L304" s="4">
        <f>L303+K304</f>
        <v/>
      </c>
      <c r="M304" s="2" t="inlineStr">
        <is>
          <t>q387c76bd262a2f7</t>
        </is>
      </c>
      <c r="N304" s="2" t="inlineStr">
        <is>
          <t>https://app.redstat.kz/niche/q387c76bd262a2f7?event_date=2026-08-01</t>
        </is>
      </c>
      <c r="O304" s="2" t="inlineStr"/>
    </row>
    <row r="305">
      <c r="A305" s="2" t="n">
        <v>304</v>
      </c>
      <c r="B305" s="2" t="inlineStr">
        <is>
          <t>Мебель для склада</t>
        </is>
      </c>
      <c r="C305" s="2" t="inlineStr">
        <is>
          <t>Мебель</t>
        </is>
      </c>
      <c r="D305" s="2" t="inlineStr">
        <is>
          <t>Мебель → Торговое оборудование → Мебель для склада → Мебель для склада</t>
        </is>
      </c>
      <c r="E305" s="3" t="n">
        <v>97844429</v>
      </c>
      <c r="F305" s="3" t="n">
        <v>1523</v>
      </c>
      <c r="G305" s="3">
        <f>IFERROR(E305/F305,0)</f>
        <v/>
      </c>
      <c r="H305" s="3" t="n">
        <v>374</v>
      </c>
      <c r="I305" s="2" t="n">
        <v>35</v>
      </c>
      <c r="J305" s="3">
        <f>IFERROR(E305/H305,0)</f>
        <v/>
      </c>
      <c r="K305" s="10">
        <f>E305/'По разделам'!$B$21</f>
        <v/>
      </c>
      <c r="L305" s="4">
        <f>L304+K305</f>
        <v/>
      </c>
      <c r="M305" s="2" t="inlineStr">
        <is>
          <t>q73584dc8dec5711</t>
        </is>
      </c>
      <c r="N305" s="2" t="inlineStr">
        <is>
          <t>https://app.redstat.kz/niche/q73584dc8dec5711?event_date=2026-08-01</t>
        </is>
      </c>
      <c r="O305" s="2" t="inlineStr"/>
    </row>
    <row r="306">
      <c r="A306" s="2" t="n">
        <v>305</v>
      </c>
      <c r="B306" s="2" t="inlineStr">
        <is>
          <t>Монтажные пены, герметики, клей</t>
        </is>
      </c>
      <c r="C306" s="2" t="inlineStr">
        <is>
          <t>Строительство, ремонт</t>
        </is>
      </c>
      <c r="D306" s="2" t="inlineStr">
        <is>
          <t>Строительство, ремонт → Строительные материалы → Монтажные пены, герметики, клей → Монтажные пены, герметики, клей</t>
        </is>
      </c>
      <c r="E306" s="3" t="n">
        <v>96494115</v>
      </c>
      <c r="F306" s="3" t="n">
        <v>14513</v>
      </c>
      <c r="G306" s="3">
        <f>IFERROR(E306/F306,0)</f>
        <v/>
      </c>
      <c r="H306" s="3" t="n">
        <v>1149</v>
      </c>
      <c r="I306" s="2" t="n">
        <v>230</v>
      </c>
      <c r="J306" s="3">
        <f>IFERROR(E306/H306,0)</f>
        <v/>
      </c>
      <c r="K306" s="10">
        <f>E306/'По разделам'!$B$21</f>
        <v/>
      </c>
      <c r="L306" s="4">
        <f>L305+K306</f>
        <v/>
      </c>
      <c r="M306" s="2" t="inlineStr">
        <is>
          <t>q771dfb0eb76976a</t>
        </is>
      </c>
      <c r="N306" s="2" t="inlineStr">
        <is>
          <t>https://app.redstat.kz/niche/q771dfb0eb76976a?event_date=2026-08-01</t>
        </is>
      </c>
      <c r="O306" s="2" t="inlineStr"/>
    </row>
    <row r="307">
      <c r="A307" s="2" t="n">
        <v>306</v>
      </c>
      <c r="B307" s="2" t="inlineStr">
        <is>
          <t>Электрические обогреватели</t>
        </is>
      </c>
      <c r="C307" s="2" t="inlineStr">
        <is>
          <t>Бытовая техника</t>
        </is>
      </c>
      <c r="D307" s="2" t="inlineStr">
        <is>
          <t>Бытовая техника → Климатическая техника → Электрические обогреватели</t>
        </is>
      </c>
      <c r="E307" s="3" t="n">
        <v>95691538</v>
      </c>
      <c r="F307" s="3" t="n">
        <v>6948</v>
      </c>
      <c r="G307" s="3">
        <f>IFERROR(E307/F307,0)</f>
        <v/>
      </c>
      <c r="H307" s="3" t="n">
        <v>479</v>
      </c>
      <c r="I307" s="2" t="n">
        <v>123</v>
      </c>
      <c r="J307" s="3">
        <f>IFERROR(E307/H307,0)</f>
        <v/>
      </c>
      <c r="K307" s="10">
        <f>E307/'По разделам'!$B$21</f>
        <v/>
      </c>
      <c r="L307" s="4">
        <f>L306+K307</f>
        <v/>
      </c>
      <c r="M307" s="2" t="inlineStr">
        <is>
          <t>05826</t>
        </is>
      </c>
      <c r="N307" s="2" t="inlineStr">
        <is>
          <t>https://app.redstat.kz/niche/05826?event_date=2026-08-01</t>
        </is>
      </c>
      <c r="O307" s="2" t="inlineStr">
        <is>
          <t>https://kaspi.kz/shop/c/heaters/</t>
        </is>
      </c>
    </row>
    <row r="308">
      <c r="A308" s="2" t="n">
        <v>307</v>
      </c>
      <c r="B308" s="2" t="inlineStr">
        <is>
          <t>Самокаты</t>
        </is>
      </c>
      <c r="C308" s="2" t="inlineStr">
        <is>
          <t>Спорт, туризм</t>
        </is>
      </c>
      <c r="D308" s="2" t="inlineStr">
        <is>
          <t>Спорт, туризм → Самокаты, гироскутеры, моноколеса → Самокаты</t>
        </is>
      </c>
      <c r="E308" s="3" t="n">
        <v>95214734</v>
      </c>
      <c r="F308" s="3" t="n">
        <v>7961</v>
      </c>
      <c r="G308" s="3">
        <f>IFERROR(E308/F308,0)</f>
        <v/>
      </c>
      <c r="H308" s="3" t="n">
        <v>938</v>
      </c>
      <c r="I308" s="2" t="n">
        <v>110</v>
      </c>
      <c r="J308" s="3">
        <f>IFERROR(E308/H308,0)</f>
        <v/>
      </c>
      <c r="K308" s="10">
        <f>E308/'По разделам'!$B$21</f>
        <v/>
      </c>
      <c r="L308" s="4">
        <f>L307+K308</f>
        <v/>
      </c>
      <c r="M308" s="2" t="inlineStr">
        <is>
          <t>00158</t>
        </is>
      </c>
      <c r="N308" s="2" t="inlineStr">
        <is>
          <t>https://app.redstat.kz/niche/00158?event_date=2026-08-01</t>
        </is>
      </c>
      <c r="O308" s="2" t="inlineStr">
        <is>
          <t>https://kaspi.kz/shop/c/kick%20scooters/</t>
        </is>
      </c>
    </row>
    <row r="309">
      <c r="A309" s="2" t="n">
        <v>308</v>
      </c>
      <c r="B309" s="2" t="inlineStr">
        <is>
          <t>Доски для SUP-серфинга</t>
        </is>
      </c>
      <c r="C309" s="2" t="inlineStr">
        <is>
          <t>Спорт, туризм</t>
        </is>
      </c>
      <c r="D309" s="2" t="inlineStr">
        <is>
          <t>Спорт, туризм → Водный спорт → Доски для SUP-серфинга</t>
        </is>
      </c>
      <c r="E309" s="3" t="n">
        <v>94509645</v>
      </c>
      <c r="F309" s="3" t="n">
        <v>1074</v>
      </c>
      <c r="G309" s="3">
        <f>IFERROR(E309/F309,0)</f>
        <v/>
      </c>
      <c r="H309" s="3" t="n">
        <v>82</v>
      </c>
      <c r="I309" s="2" t="n">
        <v>21</v>
      </c>
      <c r="J309" s="3">
        <f>IFERROR(E309/H309,0)</f>
        <v/>
      </c>
      <c r="K309" s="10">
        <f>E309/'По разделам'!$B$21</f>
        <v/>
      </c>
      <c r="L309" s="4">
        <f>L308+K309</f>
        <v/>
      </c>
      <c r="M309" s="2" t="inlineStr">
        <is>
          <t>04045</t>
        </is>
      </c>
      <c r="N309" s="2" t="inlineStr">
        <is>
          <t>https://app.redstat.kz/niche/04045?event_date=2026-08-01</t>
        </is>
      </c>
      <c r="O309" s="2" t="inlineStr">
        <is>
          <t>https://kaspi.kz/shop/c/sup-surfing%20kickboards/</t>
        </is>
      </c>
    </row>
    <row r="310">
      <c r="A310" s="2" t="n">
        <v>309</v>
      </c>
      <c r="B310" s="2" t="inlineStr">
        <is>
          <t>Товары для лепки</t>
        </is>
      </c>
      <c r="C310" s="2" t="inlineStr">
        <is>
          <t>Досуг, книги</t>
        </is>
      </c>
      <c r="D310" s="2" t="inlineStr">
        <is>
          <t>Досуг, книги → Хобби и творчество → Товары для лепки → Товары для лепки</t>
        </is>
      </c>
      <c r="E310" s="3" t="n">
        <v>94448717</v>
      </c>
      <c r="F310" s="3" t="n">
        <v>71808</v>
      </c>
      <c r="G310" s="3">
        <f>IFERROR(E310/F310,0)</f>
        <v/>
      </c>
      <c r="H310" s="3" t="n">
        <v>1811</v>
      </c>
      <c r="I310" s="2" t="n">
        <v>171</v>
      </c>
      <c r="J310" s="3">
        <f>IFERROR(E310/H310,0)</f>
        <v/>
      </c>
      <c r="K310" s="10">
        <f>E310/'По разделам'!$B$21</f>
        <v/>
      </c>
      <c r="L310" s="4">
        <f>L309+K310</f>
        <v/>
      </c>
      <c r="M310" s="2" t="inlineStr">
        <is>
          <t>q72e6c670b8a09a2</t>
        </is>
      </c>
      <c r="N310" s="2" t="inlineStr">
        <is>
          <t>https://app.redstat.kz/niche/q72e6c670b8a09a2?event_date=2026-08-01</t>
        </is>
      </c>
      <c r="O310" s="2" t="inlineStr"/>
    </row>
    <row r="311">
      <c r="A311" s="2" t="n">
        <v>310</v>
      </c>
      <c r="B311" s="2" t="inlineStr">
        <is>
          <t>Процессоры</t>
        </is>
      </c>
      <c r="C311" s="2" t="inlineStr">
        <is>
          <t>Компьютеры</t>
        </is>
      </c>
      <c r="D311" s="2" t="inlineStr">
        <is>
          <t>Компьютеры → Комплектующие → Процессоры</t>
        </is>
      </c>
      <c r="E311" s="3" t="n">
        <v>94380212</v>
      </c>
      <c r="F311" s="3" t="n">
        <v>751</v>
      </c>
      <c r="G311" s="3">
        <f>IFERROR(E311/F311,0)</f>
        <v/>
      </c>
      <c r="H311" s="3" t="n">
        <v>106</v>
      </c>
      <c r="I311" s="2" t="n">
        <v>2</v>
      </c>
      <c r="J311" s="3">
        <f>IFERROR(E311/H311,0)</f>
        <v/>
      </c>
      <c r="K311" s="10">
        <f>E311/'По разделам'!$B$21</f>
        <v/>
      </c>
      <c r="L311" s="4">
        <f>L310+K311</f>
        <v/>
      </c>
      <c r="M311" s="2" t="inlineStr">
        <is>
          <t>00069</t>
        </is>
      </c>
      <c r="N311" s="2" t="inlineStr">
        <is>
          <t>https://app.redstat.kz/niche/00069?event_date=2026-08-01</t>
        </is>
      </c>
      <c r="O311" s="2" t="inlineStr">
        <is>
          <t>https://kaspi.kz/shop/c/cpus/</t>
        </is>
      </c>
    </row>
    <row r="312">
      <c r="A312" s="2" t="n">
        <v>311</v>
      </c>
      <c r="B312" s="2" t="inlineStr">
        <is>
          <t>Сейфы</t>
        </is>
      </c>
      <c r="C312" s="2" t="inlineStr">
        <is>
          <t>Строительство, ремонт</t>
        </is>
      </c>
      <c r="D312" s="2" t="inlineStr">
        <is>
          <t>Строительство, ремонт → Системы безопасности → Сейфы</t>
        </is>
      </c>
      <c r="E312" s="3" t="n">
        <v>94344069</v>
      </c>
      <c r="F312" s="3" t="n">
        <v>3110</v>
      </c>
      <c r="G312" s="3">
        <f>IFERROR(E312/F312,0)</f>
        <v/>
      </c>
      <c r="H312" s="3" t="n">
        <v>285</v>
      </c>
      <c r="I312" s="2" t="n">
        <v>38</v>
      </c>
      <c r="J312" s="3">
        <f>IFERROR(E312/H312,0)</f>
        <v/>
      </c>
      <c r="K312" s="10">
        <f>E312/'По разделам'!$B$21</f>
        <v/>
      </c>
      <c r="L312" s="4">
        <f>L311+K312</f>
        <v/>
      </c>
      <c r="M312" s="2" t="inlineStr">
        <is>
          <t>02358</t>
        </is>
      </c>
      <c r="N312" s="2" t="inlineStr">
        <is>
          <t>https://app.redstat.kz/niche/02358?event_date=2026-08-01</t>
        </is>
      </c>
      <c r="O312" s="2" t="inlineStr">
        <is>
          <t>https://kaspi.kz/shop/c/safes/</t>
        </is>
      </c>
    </row>
    <row r="313">
      <c r="A313" s="2" t="n">
        <v>312</v>
      </c>
      <c r="B313" s="2" t="inlineStr">
        <is>
          <t>Одноразовая посуда</t>
        </is>
      </c>
      <c r="C313" s="2" t="inlineStr">
        <is>
          <t>Товары для дома и дачи</t>
        </is>
      </c>
      <c r="D313" s="2" t="inlineStr">
        <is>
          <t>Товары для дома и дачи → Посуда и принадлежности → Одноразовая посуда</t>
        </is>
      </c>
      <c r="E313" s="3" t="n">
        <v>94294612</v>
      </c>
      <c r="F313" s="3" t="n">
        <v>27933</v>
      </c>
      <c r="G313" s="3">
        <f>IFERROR(E313/F313,0)</f>
        <v/>
      </c>
      <c r="H313" s="3" t="n">
        <v>1919</v>
      </c>
      <c r="I313" s="2" t="n">
        <v>123</v>
      </c>
      <c r="J313" s="3">
        <f>IFERROR(E313/H313,0)</f>
        <v/>
      </c>
      <c r="K313" s="10">
        <f>E313/'По разделам'!$B$21</f>
        <v/>
      </c>
      <c r="L313" s="4">
        <f>L312+K313</f>
        <v/>
      </c>
      <c r="M313" s="2" t="inlineStr">
        <is>
          <t>03193</t>
        </is>
      </c>
      <c r="N313" s="2" t="inlineStr">
        <is>
          <t>https://app.redstat.kz/niche/03193?event_date=2026-08-01</t>
        </is>
      </c>
      <c r="O313" s="2" t="inlineStr">
        <is>
          <t>https://kaspi.kz/shop/c/disposable%20tableware/</t>
        </is>
      </c>
    </row>
    <row r="314">
      <c r="A314" s="2" t="n">
        <v>313</v>
      </c>
      <c r="B314" s="2" t="inlineStr">
        <is>
          <t>Карты памяти</t>
        </is>
      </c>
      <c r="C314" s="2" t="inlineStr">
        <is>
          <t>Компьютеры</t>
        </is>
      </c>
      <c r="D314" s="2" t="inlineStr">
        <is>
          <t>Компьютеры → Периферия → Карты памяти</t>
        </is>
      </c>
      <c r="E314" s="3" t="n">
        <v>94117414</v>
      </c>
      <c r="F314" s="3" t="n">
        <v>5892</v>
      </c>
      <c r="G314" s="3">
        <f>IFERROR(E314/F314,0)</f>
        <v/>
      </c>
      <c r="H314" s="3" t="n">
        <v>488</v>
      </c>
      <c r="I314" s="2" t="n">
        <v>66</v>
      </c>
      <c r="J314" s="3">
        <f>IFERROR(E314/H314,0)</f>
        <v/>
      </c>
      <c r="K314" s="10">
        <f>E314/'По разделам'!$B$21</f>
        <v/>
      </c>
      <c r="L314" s="4">
        <f>L313+K314</f>
        <v/>
      </c>
      <c r="M314" s="2" t="inlineStr">
        <is>
          <t>00410</t>
        </is>
      </c>
      <c r="N314" s="2" t="inlineStr">
        <is>
          <t>https://app.redstat.kz/niche/00410?event_date=2026-08-01</t>
        </is>
      </c>
      <c r="O314" s="2" t="inlineStr">
        <is>
          <t>https://kaspi.kz/shop/c/memory%20cards/</t>
        </is>
      </c>
    </row>
    <row r="315">
      <c r="A315" s="2" t="n">
        <v>314</v>
      </c>
      <c r="B315" s="2" t="inlineStr">
        <is>
          <t>Багажные боксы</t>
        </is>
      </c>
      <c r="C315" s="2" t="inlineStr">
        <is>
          <t>Автотовары</t>
        </is>
      </c>
      <c r="D315" s="2" t="inlineStr">
        <is>
          <t>Автотовары → Багажные системы → Багажные боксы</t>
        </is>
      </c>
      <c r="E315" s="3" t="n">
        <v>93528921</v>
      </c>
      <c r="F315" s="3" t="n">
        <v>1015</v>
      </c>
      <c r="G315" s="3">
        <f>IFERROR(E315/F315,0)</f>
        <v/>
      </c>
      <c r="H315" s="3" t="n">
        <v>215</v>
      </c>
      <c r="I315" s="2" t="n">
        <v>26</v>
      </c>
      <c r="J315" s="3">
        <f>IFERROR(E315/H315,0)</f>
        <v/>
      </c>
      <c r="K315" s="10">
        <f>E315/'По разделам'!$B$21</f>
        <v/>
      </c>
      <c r="L315" s="4">
        <f>L314+K315</f>
        <v/>
      </c>
      <c r="M315" s="2" t="inlineStr">
        <is>
          <t>01026</t>
        </is>
      </c>
      <c r="N315" s="2" t="inlineStr">
        <is>
          <t>https://app.redstat.kz/niche/01026?event_date=2026-08-01</t>
        </is>
      </c>
      <c r="O315" s="2" t="inlineStr">
        <is>
          <t>https://kaspi.kz/shop/c/luggage%20boxes/</t>
        </is>
      </c>
    </row>
    <row r="316">
      <c r="A316" s="2" t="n">
        <v>315</v>
      </c>
      <c r="B316" s="2" t="inlineStr">
        <is>
          <t>Ворота и ограждения</t>
        </is>
      </c>
      <c r="C316" s="2" t="inlineStr">
        <is>
          <t>Строительство, ремонт</t>
        </is>
      </c>
      <c r="D316" s="2" t="inlineStr">
        <is>
          <t>Строительство, ремонт → Кровля, фасад, ворота → Ворота и ограждения → Ворота и ограждения</t>
        </is>
      </c>
      <c r="E316" s="3" t="n">
        <v>92386138</v>
      </c>
      <c r="F316" s="3" t="n">
        <v>660</v>
      </c>
      <c r="G316" s="3">
        <f>IFERROR(E316/F316,0)</f>
        <v/>
      </c>
      <c r="H316" s="3" t="n">
        <v>210</v>
      </c>
      <c r="I316" s="2" t="n">
        <v>34</v>
      </c>
      <c r="J316" s="3">
        <f>IFERROR(E316/H316,0)</f>
        <v/>
      </c>
      <c r="K316" s="10">
        <f>E316/'По разделам'!$B$21</f>
        <v/>
      </c>
      <c r="L316" s="4">
        <f>L315+K316</f>
        <v/>
      </c>
      <c r="M316" s="2" t="inlineStr">
        <is>
          <t>q48663680f57d524</t>
        </is>
      </c>
      <c r="N316" s="2" t="inlineStr">
        <is>
          <t>https://app.redstat.kz/niche/q48663680f57d524?event_date=2026-08-01</t>
        </is>
      </c>
      <c r="O316" s="2" t="inlineStr"/>
    </row>
    <row r="317">
      <c r="A317" s="2" t="n">
        <v>316</v>
      </c>
      <c r="B317" s="2" t="inlineStr">
        <is>
          <t>USB Flash карты</t>
        </is>
      </c>
      <c r="C317" s="2" t="inlineStr">
        <is>
          <t>Компьютеры</t>
        </is>
      </c>
      <c r="D317" s="2" t="inlineStr">
        <is>
          <t>Компьютеры → Периферия → USB Flash карты</t>
        </is>
      </c>
      <c r="E317" s="3" t="n">
        <v>91144406</v>
      </c>
      <c r="F317" s="3" t="n">
        <v>13000</v>
      </c>
      <c r="G317" s="3">
        <f>IFERROR(E317/F317,0)</f>
        <v/>
      </c>
      <c r="H317" s="3" t="n">
        <v>712</v>
      </c>
      <c r="I317" s="2" t="n">
        <v>91</v>
      </c>
      <c r="J317" s="3">
        <f>IFERROR(E317/H317,0)</f>
        <v/>
      </c>
      <c r="K317" s="10">
        <f>E317/'По разделам'!$B$21</f>
        <v/>
      </c>
      <c r="L317" s="4">
        <f>L316+K317</f>
        <v/>
      </c>
      <c r="M317" s="2" t="inlineStr">
        <is>
          <t>00230</t>
        </is>
      </c>
      <c r="N317" s="2" t="inlineStr">
        <is>
          <t>https://app.redstat.kz/niche/00230?event_date=2026-08-01</t>
        </is>
      </c>
      <c r="O317" s="2" t="inlineStr">
        <is>
          <t>https://kaspi.kz/shop/c/usb%20flash%20drives/</t>
        </is>
      </c>
    </row>
    <row r="318">
      <c r="A318" s="2" t="n">
        <v>317</v>
      </c>
      <c r="B318" s="2" t="inlineStr">
        <is>
          <t>Средства для снятия макияжа</t>
        </is>
      </c>
      <c r="C318" s="2" t="inlineStr">
        <is>
          <t>Красота и здоровье</t>
        </is>
      </c>
      <c r="D318" s="2" t="inlineStr">
        <is>
          <t>Красота и здоровье → Уход за лицом → Средства для снятия макияжа</t>
        </is>
      </c>
      <c r="E318" s="3" t="n">
        <v>91007249</v>
      </c>
      <c r="F318" s="3" t="n">
        <v>31783</v>
      </c>
      <c r="G318" s="3">
        <f>IFERROR(E318/F318,0)</f>
        <v/>
      </c>
      <c r="H318" s="3" t="n">
        <v>443</v>
      </c>
      <c r="I318" s="2" t="n">
        <v>167</v>
      </c>
      <c r="J318" s="3">
        <f>IFERROR(E318/H318,0)</f>
        <v/>
      </c>
      <c r="K318" s="10">
        <f>E318/'По разделам'!$B$21</f>
        <v/>
      </c>
      <c r="L318" s="4">
        <f>L317+K318</f>
        <v/>
      </c>
      <c r="M318" s="2" t="inlineStr">
        <is>
          <t>05315</t>
        </is>
      </c>
      <c r="N318" s="2" t="inlineStr">
        <is>
          <t>https://app.redstat.kz/niche/05315?event_date=2026-08-01</t>
        </is>
      </c>
      <c r="O318" s="2" t="inlineStr">
        <is>
          <t>https://kaspi.kz/shop/c/makeup%20remover/</t>
        </is>
      </c>
    </row>
    <row r="319">
      <c r="A319" s="2" t="n">
        <v>318</v>
      </c>
      <c r="B319" s="2" t="inlineStr">
        <is>
          <t>Эпиляторы</t>
        </is>
      </c>
      <c r="C319" s="2" t="inlineStr">
        <is>
          <t>Красота и здоровье</t>
        </is>
      </c>
      <c r="D319" s="2" t="inlineStr">
        <is>
          <t>Красота и здоровье → Техника и оборудование для красоты → Эпиляторы</t>
        </is>
      </c>
      <c r="E319" s="3" t="n">
        <v>90987083</v>
      </c>
      <c r="F319" s="3" t="n">
        <v>4905</v>
      </c>
      <c r="G319" s="3">
        <f>IFERROR(E319/F319,0)</f>
        <v/>
      </c>
      <c r="H319" s="3" t="n">
        <v>356</v>
      </c>
      <c r="I319" s="2" t="n">
        <v>129</v>
      </c>
      <c r="J319" s="3">
        <f>IFERROR(E319/H319,0)</f>
        <v/>
      </c>
      <c r="K319" s="10">
        <f>E319/'По разделам'!$B$21</f>
        <v/>
      </c>
      <c r="L319" s="4">
        <f>L318+K319</f>
        <v/>
      </c>
      <c r="M319" s="2" t="inlineStr">
        <is>
          <t>00732</t>
        </is>
      </c>
      <c r="N319" s="2" t="inlineStr">
        <is>
          <t>https://app.redstat.kz/niche/00732?event_date=2026-08-01</t>
        </is>
      </c>
      <c r="O319" s="2" t="inlineStr">
        <is>
          <t>https://kaspi.kz/shop/c/epilators/</t>
        </is>
      </c>
    </row>
    <row r="320">
      <c r="A320" s="2" t="n">
        <v>319</v>
      </c>
      <c r="B320" s="2" t="inlineStr">
        <is>
          <t>Другая оргтехника</t>
        </is>
      </c>
      <c r="C320" s="2" t="inlineStr">
        <is>
          <t>Компьютеры</t>
        </is>
      </c>
      <c r="D320" s="2" t="inlineStr">
        <is>
          <t>Компьютеры → Оргтехника и расходные материалы → Другая оргтехника → Другая оргтехника</t>
        </is>
      </c>
      <c r="E320" s="3" t="n">
        <v>90705162</v>
      </c>
      <c r="F320" s="3" t="n">
        <v>8425</v>
      </c>
      <c r="G320" s="3">
        <f>IFERROR(E320/F320,0)</f>
        <v/>
      </c>
      <c r="H320" s="3" t="n">
        <v>1259</v>
      </c>
      <c r="I320" s="2" t="n">
        <v>89</v>
      </c>
      <c r="J320" s="3">
        <f>IFERROR(E320/H320,0)</f>
        <v/>
      </c>
      <c r="K320" s="10">
        <f>E320/'По разделам'!$B$21</f>
        <v/>
      </c>
      <c r="L320" s="4">
        <f>L319+K320</f>
        <v/>
      </c>
      <c r="M320" s="2" t="inlineStr">
        <is>
          <t>q40aa13f7f7d86d0</t>
        </is>
      </c>
      <c r="N320" s="2" t="inlineStr">
        <is>
          <t>https://app.redstat.kz/niche/q40aa13f7f7d86d0?event_date=2026-08-01</t>
        </is>
      </c>
      <c r="O320" s="2" t="inlineStr"/>
    </row>
    <row r="321">
      <c r="A321" s="2" t="n">
        <v>320</v>
      </c>
      <c r="B321" s="2" t="inlineStr">
        <is>
          <t>Пуфы, банкетки, оттоманки</t>
        </is>
      </c>
      <c r="C321" s="2" t="inlineStr">
        <is>
          <t>Мебель</t>
        </is>
      </c>
      <c r="D321" s="2" t="inlineStr">
        <is>
          <t>Мебель → Гостиная → Пуфы, банкетки, оттоманки</t>
        </is>
      </c>
      <c r="E321" s="3" t="n">
        <v>90340360</v>
      </c>
      <c r="F321" s="3" t="n">
        <v>5181</v>
      </c>
      <c r="G321" s="3">
        <f>IFERROR(E321/F321,0)</f>
        <v/>
      </c>
      <c r="H321" s="3" t="n">
        <v>828</v>
      </c>
      <c r="I321" s="2" t="n">
        <v>113</v>
      </c>
      <c r="J321" s="3">
        <f>IFERROR(E321/H321,0)</f>
        <v/>
      </c>
      <c r="K321" s="10">
        <f>E321/'По разделам'!$B$21</f>
        <v/>
      </c>
      <c r="L321" s="4">
        <f>L320+K321</f>
        <v/>
      </c>
      <c r="M321" s="2" t="inlineStr">
        <is>
          <t>05685</t>
        </is>
      </c>
      <c r="N321" s="2" t="inlineStr">
        <is>
          <t>https://app.redstat.kz/niche/05685?event_date=2026-08-01</t>
        </is>
      </c>
      <c r="O321" s="2" t="inlineStr">
        <is>
          <t>https://kaspi.kz/shop/c/poufs/</t>
        </is>
      </c>
    </row>
    <row r="322">
      <c r="A322" s="2" t="n">
        <v>321</v>
      </c>
      <c r="B322" s="2" t="inlineStr">
        <is>
          <t>Органайзеры и кофры для одежды и обуви</t>
        </is>
      </c>
      <c r="C322" s="2" t="inlineStr">
        <is>
          <t>Товары для дома и дачи</t>
        </is>
      </c>
      <c r="D322" s="2" t="inlineStr">
        <is>
          <t>Товары для дома и дачи → Хранение вещей → Органайзеры и кофры для одежды и обуви</t>
        </is>
      </c>
      <c r="E322" s="3" t="n">
        <v>89767569</v>
      </c>
      <c r="F322" s="3" t="n">
        <v>28660</v>
      </c>
      <c r="G322" s="3">
        <f>IFERROR(E322/F322,0)</f>
        <v/>
      </c>
      <c r="H322" s="3" t="n">
        <v>1424</v>
      </c>
      <c r="I322" s="2" t="n">
        <v>184</v>
      </c>
      <c r="J322" s="3">
        <f>IFERROR(E322/H322,0)</f>
        <v/>
      </c>
      <c r="K322" s="10">
        <f>E322/'По разделам'!$B$21</f>
        <v/>
      </c>
      <c r="L322" s="4">
        <f>L321+K322</f>
        <v/>
      </c>
      <c r="M322" s="2" t="inlineStr">
        <is>
          <t>04073</t>
        </is>
      </c>
      <c r="N322" s="2" t="inlineStr">
        <is>
          <t>https://app.redstat.kz/niche/04073?event_date=2026-08-01</t>
        </is>
      </c>
      <c r="O322" s="2" t="inlineStr">
        <is>
          <t>https://kaspi.kz/shop/c/organizers%20for%20clothes%20and%20shoes/</t>
        </is>
      </c>
    </row>
    <row r="323">
      <c r="A323" s="2" t="n">
        <v>322</v>
      </c>
      <c r="B323" s="2" t="inlineStr">
        <is>
          <t>Тени для век</t>
        </is>
      </c>
      <c r="C323" s="2" t="inlineStr">
        <is>
          <t>Красота и здоровье</t>
        </is>
      </c>
      <c r="D323" s="2" t="inlineStr">
        <is>
          <t>Красота и здоровье → Декоративная косметика → Тени для век</t>
        </is>
      </c>
      <c r="E323" s="3" t="n">
        <v>88726211</v>
      </c>
      <c r="F323" s="3" t="n">
        <v>20361</v>
      </c>
      <c r="G323" s="3">
        <f>IFERROR(E323/F323,0)</f>
        <v/>
      </c>
      <c r="H323" s="3" t="n">
        <v>1271</v>
      </c>
      <c r="I323" s="2" t="n">
        <v>185</v>
      </c>
      <c r="J323" s="3">
        <f>IFERROR(E323/H323,0)</f>
        <v/>
      </c>
      <c r="K323" s="10">
        <f>E323/'По разделам'!$B$21</f>
        <v/>
      </c>
      <c r="L323" s="4">
        <f>L322+K323</f>
        <v/>
      </c>
      <c r="M323" s="2" t="inlineStr">
        <is>
          <t>00954</t>
        </is>
      </c>
      <c r="N323" s="2" t="inlineStr">
        <is>
          <t>https://app.redstat.kz/niche/00954?event_date=2026-08-01</t>
        </is>
      </c>
      <c r="O323" s="2" t="inlineStr">
        <is>
          <t>https://kaspi.kz/shop/c/eyeshadow/</t>
        </is>
      </c>
    </row>
    <row r="324">
      <c r="A324" s="2" t="n">
        <v>323</v>
      </c>
      <c r="B324" s="2" t="inlineStr">
        <is>
          <t>Женские кардиганы и джемперы</t>
        </is>
      </c>
      <c r="C324" s="2" t="inlineStr">
        <is>
          <t>Одежда</t>
        </is>
      </c>
      <c r="D324" s="2" t="inlineStr">
        <is>
          <t>Одежда → Женщинам → Женские кардиганы и джемперы</t>
        </is>
      </c>
      <c r="E324" s="3" t="n">
        <v>87828289</v>
      </c>
      <c r="F324" s="3" t="n">
        <v>17229</v>
      </c>
      <c r="G324" s="3">
        <f>IFERROR(E324/F324,0)</f>
        <v/>
      </c>
      <c r="H324" s="3" t="n">
        <v>2452</v>
      </c>
      <c r="I324" s="2" t="n">
        <v>261</v>
      </c>
      <c r="J324" s="3">
        <f>IFERROR(E324/H324,0)</f>
        <v/>
      </c>
      <c r="K324" s="10">
        <f>E324/'По разделам'!$B$21</f>
        <v/>
      </c>
      <c r="L324" s="4">
        <f>L323+K324</f>
        <v/>
      </c>
      <c r="M324" s="2" t="inlineStr">
        <is>
          <t>01301</t>
        </is>
      </c>
      <c r="N324" s="2" t="inlineStr">
        <is>
          <t>https://app.redstat.kz/niche/01301?event_date=2026-08-01</t>
        </is>
      </c>
      <c r="O324" s="2" t="inlineStr">
        <is>
          <t>https://kaspi.kz/shop/c/women%20cardigans/</t>
        </is>
      </c>
    </row>
    <row r="325">
      <c r="A325" s="2" t="n">
        <v>324</v>
      </c>
      <c r="B325" s="2" t="inlineStr">
        <is>
          <t>Маски для лица</t>
        </is>
      </c>
      <c r="C325" s="2" t="inlineStr">
        <is>
          <t>Красота и здоровье</t>
        </is>
      </c>
      <c r="D325" s="2" t="inlineStr">
        <is>
          <t>Красота и здоровье → Уход за лицом → Маски для лица</t>
        </is>
      </c>
      <c r="E325" s="3" t="n">
        <v>87568568</v>
      </c>
      <c r="F325" s="3" t="n">
        <v>35736</v>
      </c>
      <c r="G325" s="3">
        <f>IFERROR(E325/F325,0)</f>
        <v/>
      </c>
      <c r="H325" s="3" t="n">
        <v>1917</v>
      </c>
      <c r="I325" s="2" t="n">
        <v>447</v>
      </c>
      <c r="J325" s="3">
        <f>IFERROR(E325/H325,0)</f>
        <v/>
      </c>
      <c r="K325" s="10">
        <f>E325/'По разделам'!$B$21</f>
        <v/>
      </c>
      <c r="L325" s="4">
        <f>L324+K325</f>
        <v/>
      </c>
      <c r="M325" s="2" t="inlineStr">
        <is>
          <t>00602</t>
        </is>
      </c>
      <c r="N325" s="2" t="inlineStr">
        <is>
          <t>https://app.redstat.kz/niche/00602?event_date=2026-08-01</t>
        </is>
      </c>
      <c r="O325" s="2" t="inlineStr">
        <is>
          <t>https://kaspi.kz/shop/c/facial%20masks/</t>
        </is>
      </c>
    </row>
    <row r="326">
      <c r="A326" s="2" t="n">
        <v>325</v>
      </c>
      <c r="B326" s="2" t="inlineStr">
        <is>
          <t>Детская литература</t>
        </is>
      </c>
      <c r="C326" s="2" t="inlineStr">
        <is>
          <t>Досуг, книги</t>
        </is>
      </c>
      <c r="D326" s="2" t="inlineStr">
        <is>
          <t>Досуг, книги → Книги → Детская литература</t>
        </is>
      </c>
      <c r="E326" s="3" t="n">
        <v>87509654</v>
      </c>
      <c r="F326" s="3" t="n">
        <v>29470</v>
      </c>
      <c r="G326" s="3">
        <f>IFERROR(E326/F326,0)</f>
        <v/>
      </c>
      <c r="H326" s="3" t="n">
        <v>3533</v>
      </c>
      <c r="I326" s="2" t="n">
        <v>221</v>
      </c>
      <c r="J326" s="3">
        <f>IFERROR(E326/H326,0)</f>
        <v/>
      </c>
      <c r="K326" s="10">
        <f>E326/'По разделам'!$B$21</f>
        <v/>
      </c>
      <c r="L326" s="4">
        <f>L325+K326</f>
        <v/>
      </c>
      <c r="M326" s="2" t="inlineStr">
        <is>
          <t>00716</t>
        </is>
      </c>
      <c r="N326" s="2" t="inlineStr">
        <is>
          <t>https://app.redstat.kz/niche/00716?event_date=2026-08-01</t>
        </is>
      </c>
      <c r="O326" s="2" t="inlineStr">
        <is>
          <t>https://kaspi.kz/shop/c/kids%20books/</t>
        </is>
      </c>
    </row>
    <row r="327">
      <c r="A327" s="2" t="n">
        <v>326</v>
      </c>
      <c r="B327" s="2" t="inlineStr">
        <is>
          <t>Система охлаждения</t>
        </is>
      </c>
      <c r="C327" s="2" t="inlineStr">
        <is>
          <t>Автотовары</t>
        </is>
      </c>
      <c r="D327" s="2" t="inlineStr">
        <is>
          <t>Автотовары → Автозапчасти → Система охлаждения → Система охлаждения</t>
        </is>
      </c>
      <c r="E327" s="3" t="n">
        <v>87287303</v>
      </c>
      <c r="F327" s="3" t="n">
        <v>2781</v>
      </c>
      <c r="G327" s="3">
        <f>IFERROR(E327/F327,0)</f>
        <v/>
      </c>
      <c r="H327" s="3" t="n">
        <v>1733</v>
      </c>
      <c r="I327" s="2" t="n">
        <v>214</v>
      </c>
      <c r="J327" s="3">
        <f>IFERROR(E327/H327,0)</f>
        <v/>
      </c>
      <c r="K327" s="10">
        <f>E327/'По разделам'!$B$21</f>
        <v/>
      </c>
      <c r="L327" s="4">
        <f>L326+K327</f>
        <v/>
      </c>
      <c r="M327" s="2" t="inlineStr">
        <is>
          <t>q46e1fb860b3f685</t>
        </is>
      </c>
      <c r="N327" s="2" t="inlineStr">
        <is>
          <t>https://app.redstat.kz/niche/q46e1fb860b3f685?event_date=2026-08-01</t>
        </is>
      </c>
      <c r="O327" s="2" t="inlineStr"/>
    </row>
    <row r="328">
      <c r="A328" s="2" t="n">
        <v>327</v>
      </c>
      <c r="B328" s="2" t="inlineStr">
        <is>
          <t>Конверты и пакеты почтовые</t>
        </is>
      </c>
      <c r="C328" s="2" t="inlineStr">
        <is>
          <t>Канцелярские товары</t>
        </is>
      </c>
      <c r="D328" s="2" t="inlineStr">
        <is>
          <t>Канцелярские товары → Бумага и бумажная продукция → Конверты и пакеты почтовые</t>
        </is>
      </c>
      <c r="E328" s="3" t="n">
        <v>87093909</v>
      </c>
      <c r="F328" s="3" t="n">
        <v>23587</v>
      </c>
      <c r="G328" s="3">
        <f>IFERROR(E328/F328,0)</f>
        <v/>
      </c>
      <c r="H328" s="3" t="n">
        <v>652</v>
      </c>
      <c r="I328" s="2" t="n">
        <v>40</v>
      </c>
      <c r="J328" s="3">
        <f>IFERROR(E328/H328,0)</f>
        <v/>
      </c>
      <c r="K328" s="10">
        <f>E328/'По разделам'!$B$21</f>
        <v/>
      </c>
      <c r="L328" s="4">
        <f>L327+K328</f>
        <v/>
      </c>
      <c r="M328" s="2" t="inlineStr">
        <is>
          <t>04243</t>
        </is>
      </c>
      <c r="N328" s="2" t="inlineStr">
        <is>
          <t>https://app.redstat.kz/niche/04243?event_date=2026-08-01</t>
        </is>
      </c>
      <c r="O328" s="2" t="inlineStr">
        <is>
          <t>https://kaspi.kz/shop/c/envelope%20mailers/</t>
        </is>
      </c>
    </row>
    <row r="329">
      <c r="A329" s="2" t="n">
        <v>328</v>
      </c>
      <c r="B329" s="2" t="inlineStr">
        <is>
          <t>Аксессуары для малой бытовой техники</t>
        </is>
      </c>
      <c r="C329" s="2" t="inlineStr">
        <is>
          <t>Бытовая техника</t>
        </is>
      </c>
      <c r="D329" s="2" t="inlineStr">
        <is>
          <t>Бытовая техника → Малая техника для дома → Аксессуары для малой бытовой техники → Аксессуары для малой бытовой техники</t>
        </is>
      </c>
      <c r="E329" s="3" t="n">
        <v>86732053</v>
      </c>
      <c r="F329" s="3" t="n">
        <v>17381</v>
      </c>
      <c r="G329" s="3">
        <f>IFERROR(E329/F329,0)</f>
        <v/>
      </c>
      <c r="H329" s="3" t="n">
        <v>2088</v>
      </c>
      <c r="I329" s="2" t="n">
        <v>133</v>
      </c>
      <c r="J329" s="3">
        <f>IFERROR(E329/H329,0)</f>
        <v/>
      </c>
      <c r="K329" s="10">
        <f>E329/'По разделам'!$B$21</f>
        <v/>
      </c>
      <c r="L329" s="4">
        <f>L328+K329</f>
        <v/>
      </c>
      <c r="M329" s="2" t="inlineStr">
        <is>
          <t>q6b52f121a037011</t>
        </is>
      </c>
      <c r="N329" s="2" t="inlineStr">
        <is>
          <t>https://app.redstat.kz/niche/q6b52f121a037011?event_date=2026-08-01</t>
        </is>
      </c>
      <c r="O329" s="2" t="inlineStr"/>
    </row>
    <row r="330">
      <c r="A330" s="2" t="n">
        <v>329</v>
      </c>
      <c r="B330" s="2" t="inlineStr">
        <is>
          <t>Женские юбки</t>
        </is>
      </c>
      <c r="C330" s="2" t="inlineStr">
        <is>
          <t>Одежда</t>
        </is>
      </c>
      <c r="D330" s="2" t="inlineStr">
        <is>
          <t>Одежда → Женщинам → Женские юбки</t>
        </is>
      </c>
      <c r="E330" s="3" t="n">
        <v>86027914</v>
      </c>
      <c r="F330" s="3" t="n">
        <v>18998</v>
      </c>
      <c r="G330" s="3">
        <f>IFERROR(E330/F330,0)</f>
        <v/>
      </c>
      <c r="H330" s="3" t="n">
        <v>2241</v>
      </c>
      <c r="I330" s="2" t="n">
        <v>270</v>
      </c>
      <c r="J330" s="3">
        <f>IFERROR(E330/H330,0)</f>
        <v/>
      </c>
      <c r="K330" s="10">
        <f>E330/'По разделам'!$B$21</f>
        <v/>
      </c>
      <c r="L330" s="4">
        <f>L329+K330</f>
        <v/>
      </c>
      <c r="M330" s="2" t="inlineStr">
        <is>
          <t>01313</t>
        </is>
      </c>
      <c r="N330" s="2" t="inlineStr">
        <is>
          <t>https://app.redstat.kz/niche/01313?event_date=2026-08-01</t>
        </is>
      </c>
      <c r="O330" s="2" t="inlineStr">
        <is>
          <t>https://kaspi.kz/shop/c/women%20skirts/</t>
        </is>
      </c>
    </row>
    <row r="331">
      <c r="A331" s="2" t="n">
        <v>330</v>
      </c>
      <c r="B331" s="2" t="inlineStr">
        <is>
          <t>Другое сетевое оборудование</t>
        </is>
      </c>
      <c r="C331" s="2" t="inlineStr">
        <is>
          <t>Компьютеры</t>
        </is>
      </c>
      <c r="D331" s="2" t="inlineStr">
        <is>
          <t>Компьютеры → Сетевое оборудование → Другое сетевое оборудование → Другое сетевое оборудование</t>
        </is>
      </c>
      <c r="E331" s="3" t="n">
        <v>85750812</v>
      </c>
      <c r="F331" s="3" t="n">
        <v>1915</v>
      </c>
      <c r="G331" s="3">
        <f>IFERROR(E331/F331,0)</f>
        <v/>
      </c>
      <c r="H331" s="3" t="n">
        <v>305</v>
      </c>
      <c r="I331" s="2" t="n">
        <v>46</v>
      </c>
      <c r="J331" s="3">
        <f>IFERROR(E331/H331,0)</f>
        <v/>
      </c>
      <c r="K331" s="10">
        <f>E331/'По разделам'!$B$21</f>
        <v/>
      </c>
      <c r="L331" s="4">
        <f>L330+K331</f>
        <v/>
      </c>
      <c r="M331" s="2" t="inlineStr">
        <is>
          <t>q48365c56bbb235a</t>
        </is>
      </c>
      <c r="N331" s="2" t="inlineStr">
        <is>
          <t>https://app.redstat.kz/niche/q48365c56bbb235a?event_date=2026-08-01</t>
        </is>
      </c>
      <c r="O331" s="2" t="inlineStr"/>
    </row>
    <row r="332">
      <c r="A332" s="2" t="n">
        <v>331</v>
      </c>
      <c r="B332" s="2" t="inlineStr">
        <is>
          <t>Косметика для наращивания и ламинирования</t>
        </is>
      </c>
      <c r="C332" s="2" t="inlineStr">
        <is>
          <t>Красота и здоровье</t>
        </is>
      </c>
      <c r="D332" s="2" t="inlineStr">
        <is>
          <t>Красота и здоровье → Косметика и аксессуары для бровей и ресниц → Косметика для наращивания и ламинирования</t>
        </is>
      </c>
      <c r="E332" s="3" t="n">
        <v>84555749</v>
      </c>
      <c r="F332" s="3" t="n">
        <v>30341</v>
      </c>
      <c r="G332" s="3">
        <f>IFERROR(E332/F332,0)</f>
        <v/>
      </c>
      <c r="H332" s="3" t="n">
        <v>665</v>
      </c>
      <c r="I332" s="2" t="n">
        <v>80</v>
      </c>
      <c r="J332" s="3">
        <f>IFERROR(E332/H332,0)</f>
        <v/>
      </c>
      <c r="K332" s="10">
        <f>E332/'По разделам'!$B$21</f>
        <v/>
      </c>
      <c r="L332" s="4">
        <f>L331+K332</f>
        <v/>
      </c>
      <c r="M332" s="2" t="inlineStr">
        <is>
          <t>04940</t>
        </is>
      </c>
      <c r="N332" s="2" t="inlineStr">
        <is>
          <t>https://app.redstat.kz/niche/04940?event_date=2026-08-01</t>
        </is>
      </c>
      <c r="O332" s="2" t="inlineStr">
        <is>
          <t>https://kaspi.kz/shop/c/eyebrow%20and%20eyelash%20lamination/</t>
        </is>
      </c>
    </row>
    <row r="333">
      <c r="A333" s="2" t="n">
        <v>332</v>
      </c>
      <c r="B333" s="2" t="inlineStr">
        <is>
          <t>Бритвенные станки и лезвия</t>
        </is>
      </c>
      <c r="C333" s="2" t="inlineStr">
        <is>
          <t>Красота и здоровье</t>
        </is>
      </c>
      <c r="D333" s="2" t="inlineStr">
        <is>
          <t>Красота и здоровье → Товары для бритья → Бритвенные станки и лезвия</t>
        </is>
      </c>
      <c r="E333" s="3" t="n">
        <v>84185500</v>
      </c>
      <c r="F333" s="3" t="n">
        <v>26818</v>
      </c>
      <c r="G333" s="3">
        <f>IFERROR(E333/F333,0)</f>
        <v/>
      </c>
      <c r="H333" s="3" t="n">
        <v>940</v>
      </c>
      <c r="I333" s="2" t="n">
        <v>151</v>
      </c>
      <c r="J333" s="3">
        <f>IFERROR(E333/H333,0)</f>
        <v/>
      </c>
      <c r="K333" s="10">
        <f>E333/'По разделам'!$B$21</f>
        <v/>
      </c>
      <c r="L333" s="4">
        <f>L332+K333</f>
        <v/>
      </c>
      <c r="M333" s="2" t="inlineStr">
        <is>
          <t>01445</t>
        </is>
      </c>
      <c r="N333" s="2" t="inlineStr">
        <is>
          <t>https://app.redstat.kz/niche/01445?event_date=2026-08-01</t>
        </is>
      </c>
      <c r="O333" s="2" t="inlineStr">
        <is>
          <t>https://kaspi.kz/shop/c/razors%20and%20blades/</t>
        </is>
      </c>
    </row>
    <row r="334">
      <c r="A334" s="2" t="n">
        <v>333</v>
      </c>
      <c r="B334" s="2" t="inlineStr">
        <is>
          <t>Товары для рукоделия</t>
        </is>
      </c>
      <c r="C334" s="2" t="inlineStr">
        <is>
          <t>Досуг, книги</t>
        </is>
      </c>
      <c r="D334" s="2" t="inlineStr">
        <is>
          <t>Досуг, книги → Хобби и творчество → Товары для рукоделия → Товары для рукоделия</t>
        </is>
      </c>
      <c r="E334" s="3" t="n">
        <v>83209025</v>
      </c>
      <c r="F334" s="3" t="n">
        <v>24431</v>
      </c>
      <c r="G334" s="3">
        <f>IFERROR(E334/F334,0)</f>
        <v/>
      </c>
      <c r="H334" s="3" t="n">
        <v>4377</v>
      </c>
      <c r="I334" s="2" t="n">
        <v>328</v>
      </c>
      <c r="J334" s="3">
        <f>IFERROR(E334/H334,0)</f>
        <v/>
      </c>
      <c r="K334" s="10">
        <f>E334/'По разделам'!$B$21</f>
        <v/>
      </c>
      <c r="L334" s="4">
        <f>L333+K334</f>
        <v/>
      </c>
      <c r="M334" s="2" t="inlineStr">
        <is>
          <t>qdc90e919c89aecf</t>
        </is>
      </c>
      <c r="N334" s="2" t="inlineStr">
        <is>
          <t>https://app.redstat.kz/niche/qdc90e919c89aecf?event_date=2026-08-01</t>
        </is>
      </c>
      <c r="O334" s="2" t="inlineStr"/>
    </row>
    <row r="335">
      <c r="A335" s="2" t="n">
        <v>334</v>
      </c>
      <c r="B335" s="2" t="inlineStr">
        <is>
          <t>Психологическая литература</t>
        </is>
      </c>
      <c r="C335" s="2" t="inlineStr">
        <is>
          <t>Досуг, книги</t>
        </is>
      </c>
      <c r="D335" s="2" t="inlineStr">
        <is>
          <t>Досуг, книги → Книги → Психологическая литература</t>
        </is>
      </c>
      <c r="E335" s="3" t="n">
        <v>82577395</v>
      </c>
      <c r="F335" s="3" t="n">
        <v>15141</v>
      </c>
      <c r="G335" s="3">
        <f>IFERROR(E335/F335,0)</f>
        <v/>
      </c>
      <c r="H335" s="3" t="n">
        <v>1723</v>
      </c>
      <c r="I335" s="2" t="n">
        <v>119</v>
      </c>
      <c r="J335" s="3">
        <f>IFERROR(E335/H335,0)</f>
        <v/>
      </c>
      <c r="K335" s="10">
        <f>E335/'По разделам'!$B$21</f>
        <v/>
      </c>
      <c r="L335" s="4">
        <f>L334+K335</f>
        <v/>
      </c>
      <c r="M335" s="2" t="inlineStr">
        <is>
          <t>00738</t>
        </is>
      </c>
      <c r="N335" s="2" t="inlineStr">
        <is>
          <t>https://app.redstat.kz/niche/00738?event_date=2026-08-01</t>
        </is>
      </c>
      <c r="O335" s="2" t="inlineStr">
        <is>
          <t>https://kaspi.kz/shop/c/self-help%20literature/</t>
        </is>
      </c>
    </row>
    <row r="336">
      <c r="A336" s="2" t="n">
        <v>335</v>
      </c>
      <c r="B336" s="2" t="inlineStr">
        <is>
          <t>Гейнеры</t>
        </is>
      </c>
      <c r="C336" s="2" t="inlineStr">
        <is>
          <t>Спорт, туризм</t>
        </is>
      </c>
      <c r="D336" s="2" t="inlineStr">
        <is>
          <t>Спорт, туризм → Спортивное питание → Гейнеры</t>
        </is>
      </c>
      <c r="E336" s="3" t="n">
        <v>82358494</v>
      </c>
      <c r="F336" s="3" t="n">
        <v>5105</v>
      </c>
      <c r="G336" s="3">
        <f>IFERROR(E336/F336,0)</f>
        <v/>
      </c>
      <c r="H336" s="3" t="n">
        <v>444</v>
      </c>
      <c r="I336" s="2" t="n">
        <v>58</v>
      </c>
      <c r="J336" s="3">
        <f>IFERROR(E336/H336,0)</f>
        <v/>
      </c>
      <c r="K336" s="10">
        <f>E336/'По разделам'!$B$21</f>
        <v/>
      </c>
      <c r="L336" s="4">
        <f>L335+K336</f>
        <v/>
      </c>
      <c r="M336" s="2" t="inlineStr">
        <is>
          <t>00858</t>
        </is>
      </c>
      <c r="N336" s="2" t="inlineStr">
        <is>
          <t>https://app.redstat.kz/niche/00858?event_date=2026-08-01</t>
        </is>
      </c>
      <c r="O336" s="2" t="inlineStr">
        <is>
          <t>https://kaspi.kz/shop/c/weight%20gainers/</t>
        </is>
      </c>
    </row>
    <row r="337">
      <c r="A337" s="2" t="n">
        <v>336</v>
      </c>
      <c r="B337" s="2" t="inlineStr">
        <is>
          <t>Антипаразитарные средства для животных</t>
        </is>
      </c>
      <c r="C337" s="2" t="inlineStr">
        <is>
          <t>Товары для животных</t>
        </is>
      </c>
      <c r="D337" s="2" t="inlineStr">
        <is>
          <t>Товары для животных → Ветаптека → Антипаразитарные средства для животных</t>
        </is>
      </c>
      <c r="E337" s="3" t="n">
        <v>82309051</v>
      </c>
      <c r="F337" s="3" t="n">
        <v>15630</v>
      </c>
      <c r="G337" s="3">
        <f>IFERROR(E337/F337,0)</f>
        <v/>
      </c>
      <c r="H337" s="3" t="n">
        <v>785</v>
      </c>
      <c r="I337" s="2" t="n">
        <v>104</v>
      </c>
      <c r="J337" s="3">
        <f>IFERROR(E337/H337,0)</f>
        <v/>
      </c>
      <c r="K337" s="10">
        <f>E337/'По разделам'!$B$21</f>
        <v/>
      </c>
      <c r="L337" s="4">
        <f>L336+K337</f>
        <v/>
      </c>
      <c r="M337" s="2" t="inlineStr">
        <is>
          <t>03401</t>
        </is>
      </c>
      <c r="N337" s="2" t="inlineStr">
        <is>
          <t>https://app.redstat.kz/niche/03401?event_date=2026-08-01</t>
        </is>
      </c>
      <c r="O337" s="2" t="inlineStr">
        <is>
          <t>https://kaspi.kz/shop/c/parasite%20control/</t>
        </is>
      </c>
    </row>
    <row r="338">
      <c r="A338" s="2" t="n">
        <v>337</v>
      </c>
      <c r="B338" s="2" t="inlineStr">
        <is>
          <t>Журнальные столики</t>
        </is>
      </c>
      <c r="C338" s="2" t="inlineStr">
        <is>
          <t>Мебель</t>
        </is>
      </c>
      <c r="D338" s="2" t="inlineStr">
        <is>
          <t>Мебель → Гостиная → Журнальные столики</t>
        </is>
      </c>
      <c r="E338" s="3" t="n">
        <v>81965634</v>
      </c>
      <c r="F338" s="3" t="n">
        <v>5698</v>
      </c>
      <c r="G338" s="3">
        <f>IFERROR(E338/F338,0)</f>
        <v/>
      </c>
      <c r="H338" s="3" t="n">
        <v>693</v>
      </c>
      <c r="I338" s="2" t="n">
        <v>113</v>
      </c>
      <c r="J338" s="3">
        <f>IFERROR(E338/H338,0)</f>
        <v/>
      </c>
      <c r="K338" s="10">
        <f>E338/'По разделам'!$B$21</f>
        <v/>
      </c>
      <c r="L338" s="4">
        <f>L337+K338</f>
        <v/>
      </c>
      <c r="M338" s="2" t="inlineStr">
        <is>
          <t>05355</t>
        </is>
      </c>
      <c r="N338" s="2" t="inlineStr">
        <is>
          <t>https://app.redstat.kz/niche/05355?event_date=2026-08-01</t>
        </is>
      </c>
      <c r="O338" s="2" t="inlineStr">
        <is>
          <t>https://kaspi.kz/shop/c/coffee%20tables/</t>
        </is>
      </c>
    </row>
    <row r="339">
      <c r="A339" s="2" t="n">
        <v>338</v>
      </c>
      <c r="B339" s="2" t="inlineStr">
        <is>
          <t>Парфюмерия для дома</t>
        </is>
      </c>
      <c r="C339" s="2" t="inlineStr">
        <is>
          <t>Товары для дома и дачи</t>
        </is>
      </c>
      <c r="D339" s="2" t="inlineStr">
        <is>
          <t>Товары для дома и дачи → Интерьер → Парфюмерия для дома → Парфюмерия для дома</t>
        </is>
      </c>
      <c r="E339" s="3" t="n">
        <v>80763651</v>
      </c>
      <c r="F339" s="3" t="n">
        <v>24464</v>
      </c>
      <c r="G339" s="3">
        <f>IFERROR(E339/F339,0)</f>
        <v/>
      </c>
      <c r="H339" s="3" t="n">
        <v>2564</v>
      </c>
      <c r="I339" s="2" t="n">
        <v>266</v>
      </c>
      <c r="J339" s="3">
        <f>IFERROR(E339/H339,0)</f>
        <v/>
      </c>
      <c r="K339" s="10">
        <f>E339/'По разделам'!$B$21</f>
        <v/>
      </c>
      <c r="L339" s="4">
        <f>L338+K339</f>
        <v/>
      </c>
      <c r="M339" s="2" t="inlineStr">
        <is>
          <t>qf51fa9089b9c4b0</t>
        </is>
      </c>
      <c r="N339" s="2" t="inlineStr">
        <is>
          <t>https://app.redstat.kz/niche/qf51fa9089b9c4b0?event_date=2026-08-01</t>
        </is>
      </c>
      <c r="O339" s="2" t="inlineStr"/>
    </row>
    <row r="340">
      <c r="A340" s="2" t="n">
        <v>339</v>
      </c>
      <c r="B340" s="2" t="inlineStr">
        <is>
          <t>Туалетное и жидкое мыло</t>
        </is>
      </c>
      <c r="C340" s="2" t="inlineStr">
        <is>
          <t>Товары для дома и дачи</t>
        </is>
      </c>
      <c r="D340" s="2" t="inlineStr">
        <is>
          <t>Товары для дома и дачи → Бытовая химия → Туалетное и жидкое мыло</t>
        </is>
      </c>
      <c r="E340" s="3" t="n">
        <v>80409503</v>
      </c>
      <c r="F340" s="3" t="n">
        <v>45090</v>
      </c>
      <c r="G340" s="3">
        <f>IFERROR(E340/F340,0)</f>
        <v/>
      </c>
      <c r="H340" s="3" t="n">
        <v>3040</v>
      </c>
      <c r="I340" s="2" t="n">
        <v>523</v>
      </c>
      <c r="J340" s="3">
        <f>IFERROR(E340/H340,0)</f>
        <v/>
      </c>
      <c r="K340" s="10">
        <f>E340/'По разделам'!$B$21</f>
        <v/>
      </c>
      <c r="L340" s="4">
        <f>L339+K340</f>
        <v/>
      </c>
      <c r="M340" s="2" t="inlineStr">
        <is>
          <t>01588</t>
        </is>
      </c>
      <c r="N340" s="2" t="inlineStr">
        <is>
          <t>https://app.redstat.kz/niche/01588?event_date=2026-08-01</t>
        </is>
      </c>
      <c r="O340" s="2" t="inlineStr">
        <is>
          <t>https://kaspi.kz/shop/c/bath%20soaps/</t>
        </is>
      </c>
    </row>
    <row r="341">
      <c r="A341" s="2" t="n">
        <v>340</v>
      </c>
      <c r="B341" s="2" t="inlineStr">
        <is>
          <t>Настольные плиты</t>
        </is>
      </c>
      <c r="C341" s="2" t="inlineStr">
        <is>
          <t>Бытовая техника</t>
        </is>
      </c>
      <c r="D341" s="2" t="inlineStr">
        <is>
          <t>Бытовая техника → Мелкая техника для кухни → Настольные плиты</t>
        </is>
      </c>
      <c r="E341" s="3" t="n">
        <v>79952958</v>
      </c>
      <c r="F341" s="3" t="n">
        <v>7515</v>
      </c>
      <c r="G341" s="3">
        <f>IFERROR(E341/F341,0)</f>
        <v/>
      </c>
      <c r="H341" s="3" t="n">
        <v>502</v>
      </c>
      <c r="I341" s="2" t="n">
        <v>106</v>
      </c>
      <c r="J341" s="3">
        <f>IFERROR(E341/H341,0)</f>
        <v/>
      </c>
      <c r="K341" s="10">
        <f>E341/'По разделам'!$B$21</f>
        <v/>
      </c>
      <c r="L341" s="4">
        <f>L340+K341</f>
        <v/>
      </c>
      <c r="M341" s="2" t="inlineStr">
        <is>
          <t>03481</t>
        </is>
      </c>
      <c r="N341" s="2" t="inlineStr">
        <is>
          <t>https://app.redstat.kz/niche/03481?event_date=2026-08-01</t>
        </is>
      </c>
      <c r="O341" s="2" t="inlineStr">
        <is>
          <t>https://kaspi.kz/shop/c/table%20stoves/</t>
        </is>
      </c>
    </row>
    <row r="342">
      <c r="A342" s="2" t="n">
        <v>341</v>
      </c>
      <c r="B342" s="2" t="inlineStr">
        <is>
          <t>Инвентарь для фитнеса</t>
        </is>
      </c>
      <c r="C342" s="2" t="inlineStr">
        <is>
          <t>Спорт, туризм</t>
        </is>
      </c>
      <c r="D342" s="2" t="inlineStr">
        <is>
          <t>Спорт, туризм → Товары для фитнеса → Инвентарь для фитнеса → Инвентарь для фитнеса</t>
        </is>
      </c>
      <c r="E342" s="3" t="n">
        <v>79613849</v>
      </c>
      <c r="F342" s="3" t="n">
        <v>12208</v>
      </c>
      <c r="G342" s="3">
        <f>IFERROR(E342/F342,0)</f>
        <v/>
      </c>
      <c r="H342" s="3" t="n">
        <v>1318</v>
      </c>
      <c r="I342" s="2" t="n">
        <v>223</v>
      </c>
      <c r="J342" s="3">
        <f>IFERROR(E342/H342,0)</f>
        <v/>
      </c>
      <c r="K342" s="10">
        <f>E342/'По разделам'!$B$21</f>
        <v/>
      </c>
      <c r="L342" s="4">
        <f>L341+K342</f>
        <v/>
      </c>
      <c r="M342" s="2" t="inlineStr">
        <is>
          <t>qf4f15dbe42836bf</t>
        </is>
      </c>
      <c r="N342" s="2" t="inlineStr">
        <is>
          <t>https://app.redstat.kz/niche/qf4f15dbe42836bf?event_date=2026-08-01</t>
        </is>
      </c>
      <c r="O342" s="2" t="inlineStr"/>
    </row>
    <row r="343">
      <c r="A343" s="2" t="n">
        <v>342</v>
      </c>
      <c r="B343" s="2" t="inlineStr">
        <is>
          <t>Тумбы прикроватные</t>
        </is>
      </c>
      <c r="C343" s="2" t="inlineStr">
        <is>
          <t>Мебель</t>
        </is>
      </c>
      <c r="D343" s="2" t="inlineStr">
        <is>
          <t>Мебель → Спальня → Тумбы прикроватные</t>
        </is>
      </c>
      <c r="E343" s="3" t="n">
        <v>79554706</v>
      </c>
      <c r="F343" s="3" t="n">
        <v>3265</v>
      </c>
      <c r="G343" s="3">
        <f>IFERROR(E343/F343,0)</f>
        <v/>
      </c>
      <c r="H343" s="3" t="n">
        <v>465</v>
      </c>
      <c r="I343" s="2" t="n">
        <v>98</v>
      </c>
      <c r="J343" s="3">
        <f>IFERROR(E343/H343,0)</f>
        <v/>
      </c>
      <c r="K343" s="10">
        <f>E343/'По разделам'!$B$21</f>
        <v/>
      </c>
      <c r="L343" s="4">
        <f>L342+K343</f>
        <v/>
      </c>
      <c r="M343" s="2" t="inlineStr">
        <is>
          <t>00318</t>
        </is>
      </c>
      <c r="N343" s="2" t="inlineStr">
        <is>
          <t>https://app.redstat.kz/niche/00318?event_date=2026-08-01</t>
        </is>
      </c>
      <c r="O343" s="2" t="inlineStr">
        <is>
          <t>https://kaspi.kz/shop/c/nightstands/</t>
        </is>
      </c>
    </row>
    <row r="344">
      <c r="A344" s="2" t="n">
        <v>343</v>
      </c>
      <c r="B344" s="2" t="inlineStr">
        <is>
          <t>Наматрасники</t>
        </is>
      </c>
      <c r="C344" s="2" t="inlineStr">
        <is>
          <t>Товары для дома и дачи</t>
        </is>
      </c>
      <c r="D344" s="2" t="inlineStr">
        <is>
          <t>Товары для дома и дачи → Домашний текстиль → Наматрасники</t>
        </is>
      </c>
      <c r="E344" s="3" t="n">
        <v>78384329</v>
      </c>
      <c r="F344" s="3" t="n">
        <v>9779</v>
      </c>
      <c r="G344" s="3">
        <f>IFERROR(E344/F344,0)</f>
        <v/>
      </c>
      <c r="H344" s="3" t="n">
        <v>867</v>
      </c>
      <c r="I344" s="2" t="n">
        <v>162</v>
      </c>
      <c r="J344" s="3">
        <f>IFERROR(E344/H344,0)</f>
        <v/>
      </c>
      <c r="K344" s="10">
        <f>E344/'По разделам'!$B$21</f>
        <v/>
      </c>
      <c r="L344" s="4">
        <f>L343+K344</f>
        <v/>
      </c>
      <c r="M344" s="2" t="inlineStr">
        <is>
          <t>00725</t>
        </is>
      </c>
      <c r="N344" s="2" t="inlineStr">
        <is>
          <t>https://app.redstat.kz/niche/00725?event_date=2026-08-01</t>
        </is>
      </c>
      <c r="O344" s="2" t="inlineStr">
        <is>
          <t>https://kaspi.kz/shop/c/mattress%20pads%20and%20protectors/</t>
        </is>
      </c>
    </row>
    <row r="345">
      <c r="A345" s="2" t="n">
        <v>344</v>
      </c>
      <c r="B345" s="2" t="inlineStr">
        <is>
          <t>Велотренажеры</t>
        </is>
      </c>
      <c r="C345" s="2" t="inlineStr">
        <is>
          <t>Спорт, туризм</t>
        </is>
      </c>
      <c r="D345" s="2" t="inlineStr">
        <is>
          <t>Спорт, туризм → Тренажеры → Велотренажеры</t>
        </is>
      </c>
      <c r="E345" s="3" t="n">
        <v>78335203</v>
      </c>
      <c r="F345" s="3" t="n">
        <v>8060</v>
      </c>
      <c r="G345" s="3">
        <f>IFERROR(E345/F345,0)</f>
        <v/>
      </c>
      <c r="H345" s="3" t="n">
        <v>185</v>
      </c>
      <c r="I345" s="2" t="n">
        <v>64</v>
      </c>
      <c r="J345" s="3">
        <f>IFERROR(E345/H345,0)</f>
        <v/>
      </c>
      <c r="K345" s="10">
        <f>E345/'По разделам'!$B$21</f>
        <v/>
      </c>
      <c r="L345" s="4">
        <f>L344+K345</f>
        <v/>
      </c>
      <c r="M345" s="2" t="inlineStr">
        <is>
          <t>00768</t>
        </is>
      </c>
      <c r="N345" s="2" t="inlineStr">
        <is>
          <t>https://app.redstat.kz/niche/00768?event_date=2026-08-01</t>
        </is>
      </c>
      <c r="O345" s="2" t="inlineStr">
        <is>
          <t>https://kaspi.kz/shop/c/exercise%20bikes/</t>
        </is>
      </c>
    </row>
    <row r="346">
      <c r="A346" s="2" t="n">
        <v>345</v>
      </c>
      <c r="B346" s="2" t="inlineStr">
        <is>
          <t>Штативы</t>
        </is>
      </c>
      <c r="C346" s="2" t="inlineStr">
        <is>
          <t>ТВ, Аудио, Видео</t>
        </is>
      </c>
      <c r="D346" s="2" t="inlineStr">
        <is>
          <t>ТВ, Аудио, Видео → Фото- и видеокамеры → Штативы</t>
        </is>
      </c>
      <c r="E346" s="3" t="n">
        <v>77642012</v>
      </c>
      <c r="F346" s="3" t="n">
        <v>13812</v>
      </c>
      <c r="G346" s="3">
        <f>IFERROR(E346/F346,0)</f>
        <v/>
      </c>
      <c r="H346" s="3" t="n">
        <v>547</v>
      </c>
      <c r="I346" s="2" t="n">
        <v>129</v>
      </c>
      <c r="J346" s="3">
        <f>IFERROR(E346/H346,0)</f>
        <v/>
      </c>
      <c r="K346" s="10">
        <f>E346/'По разделам'!$B$21</f>
        <v/>
      </c>
      <c r="L346" s="4">
        <f>L345+K346</f>
        <v/>
      </c>
      <c r="M346" s="2" t="inlineStr">
        <is>
          <t>00659</t>
        </is>
      </c>
      <c r="N346" s="2" t="inlineStr">
        <is>
          <t>https://app.redstat.kz/niche/00659?event_date=2026-08-01</t>
        </is>
      </c>
      <c r="O346" s="2" t="inlineStr">
        <is>
          <t>https://kaspi.kz/shop/c/tripods/</t>
        </is>
      </c>
    </row>
    <row r="347">
      <c r="A347" s="2" t="n">
        <v>346</v>
      </c>
      <c r="B347" s="2" t="inlineStr">
        <is>
          <t>Настольные и напольные лампы</t>
        </is>
      </c>
      <c r="C347" s="2" t="inlineStr">
        <is>
          <t>Товары для дома и дачи</t>
        </is>
      </c>
      <c r="D347" s="2" t="inlineStr">
        <is>
          <t>Товары для дома и дачи → Освещение → Настольные и напольные лампы → Настольные и напольные лампы</t>
        </is>
      </c>
      <c r="E347" s="3" t="n">
        <v>77510250</v>
      </c>
      <c r="F347" s="3" t="n">
        <v>12634</v>
      </c>
      <c r="G347" s="3">
        <f>IFERROR(E347/F347,0)</f>
        <v/>
      </c>
      <c r="H347" s="3" t="n">
        <v>869</v>
      </c>
      <c r="I347" s="2" t="n">
        <v>186</v>
      </c>
      <c r="J347" s="3">
        <f>IFERROR(E347/H347,0)</f>
        <v/>
      </c>
      <c r="K347" s="10">
        <f>E347/'По разделам'!$B$21</f>
        <v/>
      </c>
      <c r="L347" s="4">
        <f>L346+K347</f>
        <v/>
      </c>
      <c r="M347" s="2" t="inlineStr">
        <is>
          <t>q00e6bf4150c0348</t>
        </is>
      </c>
      <c r="N347" s="2" t="inlineStr">
        <is>
          <t>https://app.redstat.kz/niche/q00e6bf4150c0348?event_date=2026-08-01</t>
        </is>
      </c>
      <c r="O347" s="2" t="inlineStr"/>
    </row>
    <row r="348">
      <c r="A348" s="2" t="n">
        <v>347</v>
      </c>
      <c r="B348" s="2" t="inlineStr">
        <is>
          <t>Медиаплееры</t>
        </is>
      </c>
      <c r="C348" s="2" t="inlineStr">
        <is>
          <t>ТВ, Аудио, Видео</t>
        </is>
      </c>
      <c r="D348" s="2" t="inlineStr">
        <is>
          <t>ТВ, Аудио, Видео → Видеотехника → Медиаплееры</t>
        </is>
      </c>
      <c r="E348" s="3" t="n">
        <v>76936991</v>
      </c>
      <c r="F348" s="3" t="n">
        <v>3506</v>
      </c>
      <c r="G348" s="3">
        <f>IFERROR(E348/F348,0)</f>
        <v/>
      </c>
      <c r="H348" s="3" t="n">
        <v>181</v>
      </c>
      <c r="I348" s="2" t="n">
        <v>45</v>
      </c>
      <c r="J348" s="3">
        <f>IFERROR(E348/H348,0)</f>
        <v/>
      </c>
      <c r="K348" s="10">
        <f>E348/'По разделам'!$B$21</f>
        <v/>
      </c>
      <c r="L348" s="4">
        <f>L347+K348</f>
        <v/>
      </c>
      <c r="M348" s="2" t="inlineStr">
        <is>
          <t>00665</t>
        </is>
      </c>
      <c r="N348" s="2" t="inlineStr">
        <is>
          <t>https://app.redstat.kz/niche/00665?event_date=2026-08-01</t>
        </is>
      </c>
      <c r="O348" s="2" t="inlineStr">
        <is>
          <t>https://kaspi.kz/shop/c/streaming%20media%20players/</t>
        </is>
      </c>
    </row>
    <row r="349">
      <c r="A349" s="2" t="n">
        <v>348</v>
      </c>
      <c r="B349" s="2" t="inlineStr">
        <is>
          <t>Рюкзаки и сумки</t>
        </is>
      </c>
      <c r="C349" s="2" t="inlineStr">
        <is>
          <t>Спорт, туризм</t>
        </is>
      </c>
      <c r="D349" s="2" t="inlineStr">
        <is>
          <t>Спорт, туризм → Туризм и отдых на природе → Рюкзаки и сумки → Рюкзаки и сумки</t>
        </is>
      </c>
      <c r="E349" s="3" t="n">
        <v>76876117</v>
      </c>
      <c r="F349" s="3" t="n">
        <v>7352</v>
      </c>
      <c r="G349" s="3">
        <f>IFERROR(E349/F349,0)</f>
        <v/>
      </c>
      <c r="H349" s="3" t="n">
        <v>878</v>
      </c>
      <c r="I349" s="2" t="n">
        <v>143</v>
      </c>
      <c r="J349" s="3">
        <f>IFERROR(E349/H349,0)</f>
        <v/>
      </c>
      <c r="K349" s="10">
        <f>E349/'По разделам'!$B$21</f>
        <v/>
      </c>
      <c r="L349" s="4">
        <f>L348+K349</f>
        <v/>
      </c>
      <c r="M349" s="2" t="inlineStr">
        <is>
          <t>q1aba823ae5198bb</t>
        </is>
      </c>
      <c r="N349" s="2" t="inlineStr">
        <is>
          <t>https://app.redstat.kz/niche/q1aba823ae5198bb?event_date=2026-08-01</t>
        </is>
      </c>
      <c r="O349" s="2" t="inlineStr"/>
    </row>
    <row r="350">
      <c r="A350" s="2" t="n">
        <v>349</v>
      </c>
      <c r="B350" s="2" t="inlineStr">
        <is>
          <t>Рации и радиостанции</t>
        </is>
      </c>
      <c r="C350" s="2" t="inlineStr">
        <is>
          <t>Телефоны и гаджеты</t>
        </is>
      </c>
      <c r="D350" s="2" t="inlineStr">
        <is>
          <t>Телефоны и гаджеты → Гаджеты → Рации и радиостанции</t>
        </is>
      </c>
      <c r="E350" s="3" t="n">
        <v>76763312</v>
      </c>
      <c r="F350" s="3" t="n">
        <v>4083</v>
      </c>
      <c r="G350" s="3">
        <f>IFERROR(E350/F350,0)</f>
        <v/>
      </c>
      <c r="H350" s="3" t="n">
        <v>267</v>
      </c>
      <c r="I350" s="2" t="n">
        <v>37</v>
      </c>
      <c r="J350" s="3">
        <f>IFERROR(E350/H350,0)</f>
        <v/>
      </c>
      <c r="K350" s="10">
        <f>E350/'По разделам'!$B$21</f>
        <v/>
      </c>
      <c r="L350" s="4">
        <f>L349+K350</f>
        <v/>
      </c>
      <c r="M350" s="2" t="inlineStr">
        <is>
          <t>01583</t>
        </is>
      </c>
      <c r="N350" s="2" t="inlineStr">
        <is>
          <t>https://app.redstat.kz/niche/01583?event_date=2026-08-01</t>
        </is>
      </c>
      <c r="O350" s="2" t="inlineStr">
        <is>
          <t>https://kaspi.kz/shop/c/cb%20radios/</t>
        </is>
      </c>
    </row>
    <row r="351">
      <c r="A351" s="2" t="n">
        <v>350</v>
      </c>
      <c r="B351" s="2" t="inlineStr">
        <is>
          <t>Массажные столы</t>
        </is>
      </c>
      <c r="C351" s="2" t="inlineStr">
        <is>
          <t>Красота и здоровье</t>
        </is>
      </c>
      <c r="D351" s="2" t="inlineStr">
        <is>
          <t>Красота и здоровье → Мебель и оборудование для салонов красоты → Массажные столы</t>
        </is>
      </c>
      <c r="E351" s="3" t="n">
        <v>76108815</v>
      </c>
      <c r="F351" s="3" t="n">
        <v>1142</v>
      </c>
      <c r="G351" s="3">
        <f>IFERROR(E351/F351,0)</f>
        <v/>
      </c>
      <c r="H351" s="3" t="n">
        <v>228</v>
      </c>
      <c r="I351" s="2" t="n">
        <v>38</v>
      </c>
      <c r="J351" s="3">
        <f>IFERROR(E351/H351,0)</f>
        <v/>
      </c>
      <c r="K351" s="10">
        <f>E351/'По разделам'!$B$21</f>
        <v/>
      </c>
      <c r="L351" s="4">
        <f>L350+K351</f>
        <v/>
      </c>
      <c r="M351" s="2" t="inlineStr">
        <is>
          <t>02800</t>
        </is>
      </c>
      <c r="N351" s="2" t="inlineStr">
        <is>
          <t>https://app.redstat.kz/niche/02800?event_date=2026-08-01</t>
        </is>
      </c>
      <c r="O351" s="2" t="inlineStr">
        <is>
          <t>https://kaspi.kz/shop/c/massage%20tables/</t>
        </is>
      </c>
    </row>
    <row r="352">
      <c r="A352" s="2" t="n">
        <v>351</v>
      </c>
      <c r="B352" s="2" t="inlineStr">
        <is>
          <t>Аварийное оборудование</t>
        </is>
      </c>
      <c r="C352" s="2" t="inlineStr">
        <is>
          <t>Автотовары</t>
        </is>
      </c>
      <c r="D352" s="2" t="inlineStr">
        <is>
          <t>Автотовары → Автомобильное оборудование → Аварийное оборудование → Аварийное оборудование</t>
        </is>
      </c>
      <c r="E352" s="3" t="n">
        <v>75764258</v>
      </c>
      <c r="F352" s="3" t="n">
        <v>7156</v>
      </c>
      <c r="G352" s="3">
        <f>IFERROR(E352/F352,0)</f>
        <v/>
      </c>
      <c r="H352" s="3" t="n">
        <v>614</v>
      </c>
      <c r="I352" s="2" t="n">
        <v>164</v>
      </c>
      <c r="J352" s="3">
        <f>IFERROR(E352/H352,0)</f>
        <v/>
      </c>
      <c r="K352" s="10">
        <f>E352/'По разделам'!$B$21</f>
        <v/>
      </c>
      <c r="L352" s="4">
        <f>L351+K352</f>
        <v/>
      </c>
      <c r="M352" s="2" t="inlineStr">
        <is>
          <t>q61be9f86da4069e</t>
        </is>
      </c>
      <c r="N352" s="2" t="inlineStr">
        <is>
          <t>https://app.redstat.kz/niche/q61be9f86da4069e?event_date=2026-08-01</t>
        </is>
      </c>
      <c r="O352" s="2" t="inlineStr"/>
    </row>
    <row r="353">
      <c r="A353" s="2" t="n">
        <v>352</v>
      </c>
      <c r="B353" s="2" t="inlineStr">
        <is>
          <t>Механические массажеры, роллеры, скребки</t>
        </is>
      </c>
      <c r="C353" s="2" t="inlineStr">
        <is>
          <t>Красота и здоровье</t>
        </is>
      </c>
      <c r="D353" s="2" t="inlineStr">
        <is>
          <t>Красота и здоровье → Массажеры, массажные кресла, миостимуляторы → Механические массажеры, роллеры, скребки</t>
        </is>
      </c>
      <c r="E353" s="3" t="n">
        <v>75334273</v>
      </c>
      <c r="F353" s="3" t="n">
        <v>30666</v>
      </c>
      <c r="G353" s="3">
        <f>IFERROR(E353/F353,0)</f>
        <v/>
      </c>
      <c r="H353" s="3" t="n">
        <v>1321</v>
      </c>
      <c r="I353" s="2" t="n">
        <v>323</v>
      </c>
      <c r="J353" s="3">
        <f>IFERROR(E353/H353,0)</f>
        <v/>
      </c>
      <c r="K353" s="10">
        <f>E353/'По разделам'!$B$21</f>
        <v/>
      </c>
      <c r="L353" s="4">
        <f>L352+K353</f>
        <v/>
      </c>
      <c r="M353" s="2" t="inlineStr">
        <is>
          <t>05889</t>
        </is>
      </c>
      <c r="N353" s="2" t="inlineStr">
        <is>
          <t>https://app.redstat.kz/niche/05889?event_date=2026-08-01</t>
        </is>
      </c>
      <c r="O353" s="2" t="inlineStr">
        <is>
          <t>https://kaspi.kz/shop/c/mesoscooters/</t>
        </is>
      </c>
    </row>
    <row r="354">
      <c r="A354" s="2" t="n">
        <v>353</v>
      </c>
      <c r="B354" s="2" t="inlineStr">
        <is>
          <t>Удлинители и переходники</t>
        </is>
      </c>
      <c r="C354" s="2" t="inlineStr">
        <is>
          <t>Строительство, ремонт</t>
        </is>
      </c>
      <c r="D354" s="2" t="inlineStr">
        <is>
          <t>Строительство, ремонт → Электрика → Удлинители и переходники → Удлинители и переходники</t>
        </is>
      </c>
      <c r="E354" s="3" t="n">
        <v>75238665</v>
      </c>
      <c r="F354" s="3" t="n">
        <v>24375</v>
      </c>
      <c r="G354" s="3">
        <f>IFERROR(E354/F354,0)</f>
        <v/>
      </c>
      <c r="H354" s="3" t="n">
        <v>1142</v>
      </c>
      <c r="I354" s="2" t="n">
        <v>180</v>
      </c>
      <c r="J354" s="3">
        <f>IFERROR(E354/H354,0)</f>
        <v/>
      </c>
      <c r="K354" s="10">
        <f>E354/'По разделам'!$B$21</f>
        <v/>
      </c>
      <c r="L354" s="4">
        <f>L353+K354</f>
        <v/>
      </c>
      <c r="M354" s="2" t="inlineStr">
        <is>
          <t>q4c85cad33b59d7b</t>
        </is>
      </c>
      <c r="N354" s="2" t="inlineStr">
        <is>
          <t>https://app.redstat.kz/niche/q4c85cad33b59d7b?event_date=2026-08-01</t>
        </is>
      </c>
      <c r="O354" s="2" t="inlineStr"/>
    </row>
    <row r="355">
      <c r="A355" s="2" t="n">
        <v>354</v>
      </c>
      <c r="B355" s="2" t="inlineStr">
        <is>
          <t>Дорожные сумки</t>
        </is>
      </c>
      <c r="C355" s="2" t="inlineStr">
        <is>
          <t>Аксессуары</t>
        </is>
      </c>
      <c r="D355" s="2" t="inlineStr">
        <is>
          <t>Аксессуары → Сумки, чемоданы, кошельки → Дорожные сумки</t>
        </is>
      </c>
      <c r="E355" s="3" t="n">
        <v>74940038</v>
      </c>
      <c r="F355" s="3" t="n">
        <v>10642</v>
      </c>
      <c r="G355" s="3">
        <f>IFERROR(E355/F355,0)</f>
        <v/>
      </c>
      <c r="H355" s="3" t="n">
        <v>723</v>
      </c>
      <c r="I355" s="2" t="n">
        <v>166</v>
      </c>
      <c r="J355" s="3">
        <f>IFERROR(E355/H355,0)</f>
        <v/>
      </c>
      <c r="K355" s="10">
        <f>E355/'По разделам'!$B$21</f>
        <v/>
      </c>
      <c r="L355" s="4">
        <f>L354+K355</f>
        <v/>
      </c>
      <c r="M355" s="2" t="inlineStr">
        <is>
          <t>02068</t>
        </is>
      </c>
      <c r="N355" s="2" t="inlineStr">
        <is>
          <t>https://app.redstat.kz/niche/02068?event_date=2026-08-01</t>
        </is>
      </c>
      <c r="O355" s="2" t="inlineStr">
        <is>
          <t>https://kaspi.kz/shop/c/travel%20duffels/</t>
        </is>
      </c>
    </row>
    <row r="356">
      <c r="A356" s="2" t="n">
        <v>355</v>
      </c>
      <c r="B356" s="2" t="inlineStr">
        <is>
          <t>Обложки для книг и тетрадей</t>
        </is>
      </c>
      <c r="C356" s="2" t="inlineStr">
        <is>
          <t>Канцелярские товары</t>
        </is>
      </c>
      <c r="D356" s="2" t="inlineStr">
        <is>
          <t>Канцелярские товары → Школьные принадлежности → Обложки для книг и тетрадей</t>
        </is>
      </c>
      <c r="E356" s="3" t="n">
        <v>74842327</v>
      </c>
      <c r="F356" s="3" t="n">
        <v>89211</v>
      </c>
      <c r="G356" s="3">
        <f>IFERROR(E356/F356,0)</f>
        <v/>
      </c>
      <c r="H356" s="3" t="n">
        <v>598</v>
      </c>
      <c r="I356" s="2" t="n">
        <v>64</v>
      </c>
      <c r="J356" s="3">
        <f>IFERROR(E356/H356,0)</f>
        <v/>
      </c>
      <c r="K356" s="10">
        <f>E356/'По разделам'!$B$21</f>
        <v/>
      </c>
      <c r="L356" s="4">
        <f>L355+K356</f>
        <v/>
      </c>
      <c r="M356" s="2" t="inlineStr">
        <is>
          <t>04274</t>
        </is>
      </c>
      <c r="N356" s="2" t="inlineStr">
        <is>
          <t>https://app.redstat.kz/niche/04274?event_date=2026-08-01</t>
        </is>
      </c>
      <c r="O356" s="2" t="inlineStr">
        <is>
          <t>https://kaspi.kz/shop/c/stretchable%20exercise%20notebook%20covers/</t>
        </is>
      </c>
    </row>
    <row r="357">
      <c r="A357" s="2" t="n">
        <v>356</v>
      </c>
      <c r="B357" s="2" t="inlineStr">
        <is>
          <t>Трансмиссия</t>
        </is>
      </c>
      <c r="C357" s="2" t="inlineStr">
        <is>
          <t>Автотовары</t>
        </is>
      </c>
      <c r="D357" s="2" t="inlineStr">
        <is>
          <t>Автотовары → Автозапчасти → Трансмиссия → Трансмиссия</t>
        </is>
      </c>
      <c r="E357" s="3" t="n">
        <v>74822289</v>
      </c>
      <c r="F357" s="3" t="n">
        <v>1739</v>
      </c>
      <c r="G357" s="3">
        <f>IFERROR(E357/F357,0)</f>
        <v/>
      </c>
      <c r="H357" s="3" t="n">
        <v>1192</v>
      </c>
      <c r="I357" s="2" t="n">
        <v>202</v>
      </c>
      <c r="J357" s="3">
        <f>IFERROR(E357/H357,0)</f>
        <v/>
      </c>
      <c r="K357" s="10">
        <f>E357/'По разделам'!$B$21</f>
        <v/>
      </c>
      <c r="L357" s="4">
        <f>L356+K357</f>
        <v/>
      </c>
      <c r="M357" s="2" t="inlineStr">
        <is>
          <t>q9db1c4505a70b23</t>
        </is>
      </c>
      <c r="N357" s="2" t="inlineStr">
        <is>
          <t>https://app.redstat.kz/niche/q9db1c4505a70b23?event_date=2026-08-01</t>
        </is>
      </c>
      <c r="O357" s="2" t="inlineStr"/>
    </row>
    <row r="358">
      <c r="A358" s="2" t="n">
        <v>357</v>
      </c>
      <c r="B358" s="2" t="inlineStr">
        <is>
          <t>Аппараты для маникюра и педикюра</t>
        </is>
      </c>
      <c r="C358" s="2" t="inlineStr">
        <is>
          <t>Красота и здоровье</t>
        </is>
      </c>
      <c r="D358" s="2" t="inlineStr">
        <is>
          <t>Красота и здоровье → Для маникюра и педикюра → Аппараты для маникюра и педикюра</t>
        </is>
      </c>
      <c r="E358" s="3" t="n">
        <v>74005835</v>
      </c>
      <c r="F358" s="3" t="n">
        <v>4631</v>
      </c>
      <c r="G358" s="3">
        <f>IFERROR(E358/F358,0)</f>
        <v/>
      </c>
      <c r="H358" s="3" t="n">
        <v>268</v>
      </c>
      <c r="I358" s="2" t="n">
        <v>63</v>
      </c>
      <c r="J358" s="3">
        <f>IFERROR(E358/H358,0)</f>
        <v/>
      </c>
      <c r="K358" s="10">
        <f>E358/'По разделам'!$B$21</f>
        <v/>
      </c>
      <c r="L358" s="4">
        <f>L357+K358</f>
        <v/>
      </c>
      <c r="M358" s="2" t="inlineStr">
        <is>
          <t>01234</t>
        </is>
      </c>
      <c r="N358" s="2" t="inlineStr">
        <is>
          <t>https://app.redstat.kz/niche/01234?event_date=2026-08-01</t>
        </is>
      </c>
      <c r="O358" s="2" t="inlineStr">
        <is>
          <t>https://kaspi.kz/shop/c/nail%20drill%20machines/</t>
        </is>
      </c>
    </row>
    <row r="359">
      <c r="A359" s="2" t="n">
        <v>358</v>
      </c>
      <c r="B359" s="2" t="inlineStr">
        <is>
          <t>Строительные смеси</t>
        </is>
      </c>
      <c r="C359" s="2" t="inlineStr">
        <is>
          <t>Строительство, ремонт</t>
        </is>
      </c>
      <c r="D359" s="2" t="inlineStr">
        <is>
          <t>Строительство, ремонт → Строительные материалы → Строительные смеси → Строительные смеси</t>
        </is>
      </c>
      <c r="E359" s="3" t="n">
        <v>73538477</v>
      </c>
      <c r="F359" s="3" t="n">
        <v>5406</v>
      </c>
      <c r="G359" s="3">
        <f>IFERROR(E359/F359,0)</f>
        <v/>
      </c>
      <c r="H359" s="3" t="n">
        <v>492</v>
      </c>
      <c r="I359" s="2" t="n">
        <v>109</v>
      </c>
      <c r="J359" s="3">
        <f>IFERROR(E359/H359,0)</f>
        <v/>
      </c>
      <c r="K359" s="10">
        <f>E359/'По разделам'!$B$21</f>
        <v/>
      </c>
      <c r="L359" s="4">
        <f>L358+K359</f>
        <v/>
      </c>
      <c r="M359" s="2" t="inlineStr">
        <is>
          <t>q997d6acc067b1e0</t>
        </is>
      </c>
      <c r="N359" s="2" t="inlineStr">
        <is>
          <t>https://app.redstat.kz/niche/q997d6acc067b1e0?event_date=2026-08-01</t>
        </is>
      </c>
      <c r="O359" s="2" t="inlineStr"/>
    </row>
    <row r="360">
      <c r="A360" s="2" t="n">
        <v>359</v>
      </c>
      <c r="B360" s="2" t="inlineStr">
        <is>
          <t>Спецодежда для женщин</t>
        </is>
      </c>
      <c r="C360" s="2" t="inlineStr">
        <is>
          <t>Одежда</t>
        </is>
      </c>
      <c r="D360" s="2" t="inlineStr">
        <is>
          <t>Одежда → Женщинам → Спецодежда для женщин</t>
        </is>
      </c>
      <c r="E360" s="3" t="n">
        <v>73344737</v>
      </c>
      <c r="F360" s="3" t="n">
        <v>5714</v>
      </c>
      <c r="G360" s="3">
        <f>IFERROR(E360/F360,0)</f>
        <v/>
      </c>
      <c r="H360" s="3" t="n">
        <v>1596</v>
      </c>
      <c r="I360" s="2" t="n">
        <v>58</v>
      </c>
      <c r="J360" s="3">
        <f>IFERROR(E360/H360,0)</f>
        <v/>
      </c>
      <c r="K360" s="10">
        <f>E360/'По разделам'!$B$21</f>
        <v/>
      </c>
      <c r="L360" s="4">
        <f>L359+K360</f>
        <v/>
      </c>
      <c r="M360" s="2" t="inlineStr">
        <is>
          <t>02386</t>
        </is>
      </c>
      <c r="N360" s="2" t="inlineStr">
        <is>
          <t>https://app.redstat.kz/niche/02386?event_date=2026-08-01</t>
        </is>
      </c>
      <c r="O360" s="2" t="inlineStr">
        <is>
          <t>https://kaspi.kz/shop/c/women%20workwear/</t>
        </is>
      </c>
    </row>
    <row r="361">
      <c r="A361" s="2" t="n">
        <v>360</v>
      </c>
      <c r="B361" s="2" t="inlineStr">
        <is>
          <t>Аксессуары для велосипедов</t>
        </is>
      </c>
      <c r="C361" s="2" t="inlineStr">
        <is>
          <t>Спорт, туризм</t>
        </is>
      </c>
      <c r="D361" s="2" t="inlineStr">
        <is>
          <t>Спорт, туризм → Велоспорт → Аксессуары для велосипедов → Аксессуары для велосипедов</t>
        </is>
      </c>
      <c r="E361" s="3" t="n">
        <v>73140875</v>
      </c>
      <c r="F361" s="3" t="n">
        <v>18726</v>
      </c>
      <c r="G361" s="3">
        <f>IFERROR(E361/F361,0)</f>
        <v/>
      </c>
      <c r="H361" s="3" t="n">
        <v>2022</v>
      </c>
      <c r="I361" s="2" t="n">
        <v>276</v>
      </c>
      <c r="J361" s="3">
        <f>IFERROR(E361/H361,0)</f>
        <v/>
      </c>
      <c r="K361" s="10">
        <f>E361/'По разделам'!$B$21</f>
        <v/>
      </c>
      <c r="L361" s="4">
        <f>L360+K361</f>
        <v/>
      </c>
      <c r="M361" s="2" t="inlineStr">
        <is>
          <t>q48232a01db913b7</t>
        </is>
      </c>
      <c r="N361" s="2" t="inlineStr">
        <is>
          <t>https://app.redstat.kz/niche/q48232a01db913b7?event_date=2026-08-01</t>
        </is>
      </c>
      <c r="O361" s="2" t="inlineStr"/>
    </row>
    <row r="362">
      <c r="A362" s="2" t="n">
        <v>361</v>
      </c>
      <c r="B362" s="2" t="inlineStr">
        <is>
          <t>Интерьерные краски</t>
        </is>
      </c>
      <c r="C362" s="2" t="inlineStr">
        <is>
          <t>Строительство, ремонт</t>
        </is>
      </c>
      <c r="D362" s="2" t="inlineStr">
        <is>
          <t>Строительство, ремонт → Лакокрасочные материалы → Интерьерные краски → Интерьерные краски</t>
        </is>
      </c>
      <c r="E362" s="3" t="n">
        <v>72411124</v>
      </c>
      <c r="F362" s="3" t="n">
        <v>5948</v>
      </c>
      <c r="G362" s="3">
        <f>IFERROR(E362/F362,0)</f>
        <v/>
      </c>
      <c r="H362" s="3" t="n">
        <v>601</v>
      </c>
      <c r="I362" s="2" t="n">
        <v>84</v>
      </c>
      <c r="J362" s="3">
        <f>IFERROR(E362/H362,0)</f>
        <v/>
      </c>
      <c r="K362" s="10">
        <f>E362/'По разделам'!$B$21</f>
        <v/>
      </c>
      <c r="L362" s="4">
        <f>L361+K362</f>
        <v/>
      </c>
      <c r="M362" s="2" t="inlineStr">
        <is>
          <t>q45f2c8766a6af2c</t>
        </is>
      </c>
      <c r="N362" s="2" t="inlineStr">
        <is>
          <t>https://app.redstat.kz/niche/q45f2c8766a6af2c?event_date=2026-08-01</t>
        </is>
      </c>
      <c r="O362" s="2" t="inlineStr"/>
    </row>
    <row r="363">
      <c r="A363" s="2" t="n">
        <v>362</v>
      </c>
      <c r="B363" s="2" t="inlineStr">
        <is>
          <t>Серьги бижутерные</t>
        </is>
      </c>
      <c r="C363" s="2" t="inlineStr">
        <is>
          <t>Украшения</t>
        </is>
      </c>
      <c r="D363" s="2" t="inlineStr">
        <is>
          <t>Украшения → Серьги → Серьги бижутерные</t>
        </is>
      </c>
      <c r="E363" s="3" t="n">
        <v>72245620</v>
      </c>
      <c r="F363" s="3" t="n">
        <v>94063</v>
      </c>
      <c r="G363" s="3">
        <f>IFERROR(E363/F363,0)</f>
        <v/>
      </c>
      <c r="H363" s="3" t="n">
        <v>3513</v>
      </c>
      <c r="I363" s="2" t="n">
        <v>294</v>
      </c>
      <c r="J363" s="3">
        <f>IFERROR(E363/H363,0)</f>
        <v/>
      </c>
      <c r="K363" s="10">
        <f>E363/'По разделам'!$B$21</f>
        <v/>
      </c>
      <c r="L363" s="4">
        <f>L362+K363</f>
        <v/>
      </c>
      <c r="M363" s="2" t="inlineStr">
        <is>
          <t>01749</t>
        </is>
      </c>
      <c r="N363" s="2" t="inlineStr">
        <is>
          <t>https://app.redstat.kz/niche/01749?event_date=2026-08-01</t>
        </is>
      </c>
      <c r="O363" s="2" t="inlineStr">
        <is>
          <t>https://kaspi.kz/shop/c/imitation%20earrings/</t>
        </is>
      </c>
    </row>
    <row r="364">
      <c r="A364" s="2" t="n">
        <v>363</v>
      </c>
      <c r="B364" s="2" t="inlineStr">
        <is>
          <t>Спецодежда для мужчин</t>
        </is>
      </c>
      <c r="C364" s="2" t="inlineStr">
        <is>
          <t>Одежда</t>
        </is>
      </c>
      <c r="D364" s="2" t="inlineStr">
        <is>
          <t>Одежда → Мужчинам → Спецодежда для мужчин</t>
        </is>
      </c>
      <c r="E364" s="3" t="n">
        <v>71829796</v>
      </c>
      <c r="F364" s="3" t="n">
        <v>4613</v>
      </c>
      <c r="G364" s="3">
        <f>IFERROR(E364/F364,0)</f>
        <v/>
      </c>
      <c r="H364" s="3" t="n">
        <v>1881</v>
      </c>
      <c r="I364" s="2" t="n">
        <v>146</v>
      </c>
      <c r="J364" s="3">
        <f>IFERROR(E364/H364,0)</f>
        <v/>
      </c>
      <c r="K364" s="10">
        <f>E364/'По разделам'!$B$21</f>
        <v/>
      </c>
      <c r="L364" s="4">
        <f>L363+K364</f>
        <v/>
      </c>
      <c r="M364" s="2" t="inlineStr">
        <is>
          <t>02385</t>
        </is>
      </c>
      <c r="N364" s="2" t="inlineStr">
        <is>
          <t>https://app.redstat.kz/niche/02385?event_date=2026-08-01</t>
        </is>
      </c>
      <c r="O364" s="2" t="inlineStr">
        <is>
          <t>https://kaspi.kz/shop/c/workwear/</t>
        </is>
      </c>
    </row>
    <row r="365">
      <c r="A365" s="2" t="n">
        <v>364</v>
      </c>
      <c r="B365" s="2" t="inlineStr">
        <is>
          <t>Напольные весы</t>
        </is>
      </c>
      <c r="C365" s="2" t="inlineStr">
        <is>
          <t>Красота и здоровье</t>
        </is>
      </c>
      <c r="D365" s="2" t="inlineStr">
        <is>
          <t>Красота и здоровье → Техника и оборудование для красоты → Напольные весы</t>
        </is>
      </c>
      <c r="E365" s="3" t="n">
        <v>71686385</v>
      </c>
      <c r="F365" s="3" t="n">
        <v>13564</v>
      </c>
      <c r="G365" s="3">
        <f>IFERROR(E365/F365,0)</f>
        <v/>
      </c>
      <c r="H365" s="3" t="n">
        <v>367</v>
      </c>
      <c r="I365" s="2" t="n">
        <v>109</v>
      </c>
      <c r="J365" s="3">
        <f>IFERROR(E365/H365,0)</f>
        <v/>
      </c>
      <c r="K365" s="10">
        <f>E365/'По разделам'!$B$21</f>
        <v/>
      </c>
      <c r="L365" s="4">
        <f>L364+K365</f>
        <v/>
      </c>
      <c r="M365" s="2" t="inlineStr">
        <is>
          <t>00733</t>
        </is>
      </c>
      <c r="N365" s="2" t="inlineStr">
        <is>
          <t>https://app.redstat.kz/niche/00733?event_date=2026-08-01</t>
        </is>
      </c>
      <c r="O365" s="2" t="inlineStr">
        <is>
          <t>https://kaspi.kz/shop/c/body%20weight%20scales/</t>
        </is>
      </c>
    </row>
    <row r="366">
      <c r="A366" s="2" t="n">
        <v>365</v>
      </c>
      <c r="B366" s="2" t="inlineStr">
        <is>
          <t>Электрические стеклоочистители</t>
        </is>
      </c>
      <c r="C366" s="2" t="inlineStr">
        <is>
          <t>Бытовая техника</t>
        </is>
      </c>
      <c r="D366" s="2" t="inlineStr">
        <is>
          <t>Бытовая техника → Малая техника для дома → Электрические стеклоочистители</t>
        </is>
      </c>
      <c r="E366" s="3" t="n">
        <v>71581715</v>
      </c>
      <c r="F366" s="3" t="n">
        <v>3405</v>
      </c>
      <c r="G366" s="3">
        <f>IFERROR(E366/F366,0)</f>
        <v/>
      </c>
      <c r="H366" s="3" t="n">
        <v>164</v>
      </c>
      <c r="I366" s="2" t="n">
        <v>76</v>
      </c>
      <c r="J366" s="3">
        <f>IFERROR(E366/H366,0)</f>
        <v/>
      </c>
      <c r="K366" s="10">
        <f>E366/'По разделам'!$B$21</f>
        <v/>
      </c>
      <c r="L366" s="4">
        <f>L365+K366</f>
        <v/>
      </c>
      <c r="M366" s="2" t="inlineStr">
        <is>
          <t>01580</t>
        </is>
      </c>
      <c r="N366" s="2" t="inlineStr">
        <is>
          <t>https://app.redstat.kz/niche/01580?event_date=2026-08-01</t>
        </is>
      </c>
      <c r="O366" s="2" t="inlineStr">
        <is>
          <t>https://kaspi.kz/shop/c/window%20vacuums/</t>
        </is>
      </c>
    </row>
    <row r="367">
      <c r="A367" s="2" t="n">
        <v>366</v>
      </c>
      <c r="B367" s="2" t="inlineStr">
        <is>
          <t>Браслеты бижутерные</t>
        </is>
      </c>
      <c r="C367" s="2" t="inlineStr">
        <is>
          <t>Украшения</t>
        </is>
      </c>
      <c r="D367" s="2" t="inlineStr">
        <is>
          <t>Украшения → Браслеты → Браслеты бижутерные</t>
        </is>
      </c>
      <c r="E367" s="3" t="n">
        <v>71488190</v>
      </c>
      <c r="F367" s="3" t="n">
        <v>43830</v>
      </c>
      <c r="G367" s="3">
        <f>IFERROR(E367/F367,0)</f>
        <v/>
      </c>
      <c r="H367" s="3" t="n">
        <v>2973</v>
      </c>
      <c r="I367" s="2" t="n">
        <v>292</v>
      </c>
      <c r="J367" s="3">
        <f>IFERROR(E367/H367,0)</f>
        <v/>
      </c>
      <c r="K367" s="10">
        <f>E367/'По разделам'!$B$21</f>
        <v/>
      </c>
      <c r="L367" s="4">
        <f>L366+K367</f>
        <v/>
      </c>
      <c r="M367" s="2" t="inlineStr">
        <is>
          <t>01742</t>
        </is>
      </c>
      <c r="N367" s="2" t="inlineStr">
        <is>
          <t>https://app.redstat.kz/niche/01742?event_date=2026-08-01</t>
        </is>
      </c>
      <c r="O367" s="2" t="inlineStr">
        <is>
          <t>https://kaspi.kz/shop/c/imitation%20bracelets/</t>
        </is>
      </c>
    </row>
    <row r="368">
      <c r="A368" s="2" t="n">
        <v>367</v>
      </c>
      <c r="B368" s="2" t="inlineStr">
        <is>
          <t>Станочное оборудование</t>
        </is>
      </c>
      <c r="C368" s="2" t="inlineStr">
        <is>
          <t>Строительство, ремонт</t>
        </is>
      </c>
      <c r="D368" s="2" t="inlineStr">
        <is>
          <t>Строительство, ремонт → Строительное оборудование → Станочное оборудование → Станочное оборудование</t>
        </is>
      </c>
      <c r="E368" s="3" t="n">
        <v>71477944</v>
      </c>
      <c r="F368" s="3" t="n">
        <v>881</v>
      </c>
      <c r="G368" s="3">
        <f>IFERROR(E368/F368,0)</f>
        <v/>
      </c>
      <c r="H368" s="3" t="n">
        <v>298</v>
      </c>
      <c r="I368" s="2" t="n">
        <v>63</v>
      </c>
      <c r="J368" s="3">
        <f>IFERROR(E368/H368,0)</f>
        <v/>
      </c>
      <c r="K368" s="10">
        <f>E368/'По разделам'!$B$21</f>
        <v/>
      </c>
      <c r="L368" s="4">
        <f>L367+K368</f>
        <v/>
      </c>
      <c r="M368" s="2" t="inlineStr">
        <is>
          <t>q59511cd59dedcb1</t>
        </is>
      </c>
      <c r="N368" s="2" t="inlineStr">
        <is>
          <t>https://app.redstat.kz/niche/q59511cd59dedcb1?event_date=2026-08-01</t>
        </is>
      </c>
      <c r="O368" s="2" t="inlineStr"/>
    </row>
    <row r="369">
      <c r="A369" s="2" t="n">
        <v>368</v>
      </c>
      <c r="B369" s="2" t="inlineStr">
        <is>
          <t>Бра</t>
        </is>
      </c>
      <c r="C369" s="2" t="inlineStr">
        <is>
          <t>Товары для дома и дачи</t>
        </is>
      </c>
      <c r="D369" s="2" t="inlineStr">
        <is>
          <t>Товары для дома и дачи → Освещение → Бра</t>
        </is>
      </c>
      <c r="E369" s="3" t="n">
        <v>70778780</v>
      </c>
      <c r="F369" s="3" t="n">
        <v>5872</v>
      </c>
      <c r="G369" s="3">
        <f>IFERROR(E369/F369,0)</f>
        <v/>
      </c>
      <c r="H369" s="3" t="n">
        <v>1139</v>
      </c>
      <c r="I369" s="2" t="n">
        <v>135</v>
      </c>
      <c r="J369" s="3">
        <f>IFERROR(E369/H369,0)</f>
        <v/>
      </c>
      <c r="K369" s="10">
        <f>E369/'По разделам'!$B$21</f>
        <v/>
      </c>
      <c r="L369" s="4">
        <f>L368+K369</f>
        <v/>
      </c>
      <c r="M369" s="2" t="inlineStr">
        <is>
          <t>00698</t>
        </is>
      </c>
      <c r="N369" s="2" t="inlineStr">
        <is>
          <t>https://app.redstat.kz/niche/00698?event_date=2026-08-01</t>
        </is>
      </c>
      <c r="O369" s="2" t="inlineStr">
        <is>
          <t>https://kaspi.kz/shop/c/wall%20lights/</t>
        </is>
      </c>
    </row>
    <row r="370">
      <c r="A370" s="2" t="n">
        <v>369</v>
      </c>
      <c r="B370" s="2" t="inlineStr">
        <is>
          <t>Полотенцесушители и комплектующие</t>
        </is>
      </c>
      <c r="C370" s="2" t="inlineStr">
        <is>
          <t>Строительство, ремонт</t>
        </is>
      </c>
      <c r="D370" s="2" t="inlineStr">
        <is>
          <t>Строительство, ремонт → Системы отопления → Полотенцесушители и комплектующие → Полотенцесушители и комплектующие</t>
        </is>
      </c>
      <c r="E370" s="3" t="n">
        <v>70651007</v>
      </c>
      <c r="F370" s="3" t="n">
        <v>1759</v>
      </c>
      <c r="G370" s="3">
        <f>IFERROR(E370/F370,0)</f>
        <v/>
      </c>
      <c r="H370" s="3" t="n">
        <v>494</v>
      </c>
      <c r="I370" s="2" t="n">
        <v>58</v>
      </c>
      <c r="J370" s="3">
        <f>IFERROR(E370/H370,0)</f>
        <v/>
      </c>
      <c r="K370" s="10">
        <f>E370/'По разделам'!$B$21</f>
        <v/>
      </c>
      <c r="L370" s="4">
        <f>L369+K370</f>
        <v/>
      </c>
      <c r="M370" s="2" t="inlineStr">
        <is>
          <t>q7001406795093b4</t>
        </is>
      </c>
      <c r="N370" s="2" t="inlineStr">
        <is>
          <t>https://app.redstat.kz/niche/q7001406795093b4?event_date=2026-08-01</t>
        </is>
      </c>
      <c r="O370" s="2" t="inlineStr"/>
    </row>
    <row r="371">
      <c r="A371" s="2" t="n">
        <v>370</v>
      </c>
      <c r="B371" s="2" t="inlineStr">
        <is>
          <t>Строительные пылесосы</t>
        </is>
      </c>
      <c r="C371" s="2" t="inlineStr">
        <is>
          <t>Строительство, ремонт</t>
        </is>
      </c>
      <c r="D371" s="2" t="inlineStr">
        <is>
          <t>Строительство, ремонт → Строительный инвентарь → Строительные пылесосы</t>
        </is>
      </c>
      <c r="E371" s="3" t="n">
        <v>70634095</v>
      </c>
      <c r="F371" s="3" t="n">
        <v>1160</v>
      </c>
      <c r="G371" s="3">
        <f>IFERROR(E371/F371,0)</f>
        <v/>
      </c>
      <c r="H371" s="3" t="n">
        <v>151</v>
      </c>
      <c r="I371" s="2" t="n">
        <v>49</v>
      </c>
      <c r="J371" s="3">
        <f>IFERROR(E371/H371,0)</f>
        <v/>
      </c>
      <c r="K371" s="10">
        <f>E371/'По разделам'!$B$21</f>
        <v/>
      </c>
      <c r="L371" s="4">
        <f>L370+K371</f>
        <v/>
      </c>
      <c r="M371" s="2" t="inlineStr">
        <is>
          <t>01130</t>
        </is>
      </c>
      <c r="N371" s="2" t="inlineStr">
        <is>
          <t>https://app.redstat.kz/niche/01130?event_date=2026-08-01</t>
        </is>
      </c>
      <c r="O371" s="2" t="inlineStr">
        <is>
          <t>https://kaspi.kz/shop/c/industrial%20vacuum%20cleaners/</t>
        </is>
      </c>
    </row>
    <row r="372">
      <c r="A372" s="2" t="n">
        <v>371</v>
      </c>
      <c r="B372" s="2" t="inlineStr">
        <is>
          <t>Скрабы и пилинги</t>
        </is>
      </c>
      <c r="C372" s="2" t="inlineStr">
        <is>
          <t>Красота и здоровье</t>
        </is>
      </c>
      <c r="D372" s="2" t="inlineStr">
        <is>
          <t>Красота и здоровье → Уход за лицом → Скрабы и пилинги</t>
        </is>
      </c>
      <c r="E372" s="3" t="n">
        <v>70011553</v>
      </c>
      <c r="F372" s="3" t="n">
        <v>15861</v>
      </c>
      <c r="G372" s="3">
        <f>IFERROR(E372/F372,0)</f>
        <v/>
      </c>
      <c r="H372" s="3" t="n">
        <v>660</v>
      </c>
      <c r="I372" s="2" t="n">
        <v>265</v>
      </c>
      <c r="J372" s="3">
        <f>IFERROR(E372/H372,0)</f>
        <v/>
      </c>
      <c r="K372" s="10">
        <f>E372/'По разделам'!$B$21</f>
        <v/>
      </c>
      <c r="L372" s="4">
        <f>L371+K372</f>
        <v/>
      </c>
      <c r="M372" s="2" t="inlineStr">
        <is>
          <t>01027</t>
        </is>
      </c>
      <c r="N372" s="2" t="inlineStr">
        <is>
          <t>https://app.redstat.kz/niche/01027?event_date=2026-08-01</t>
        </is>
      </c>
      <c r="O372" s="2" t="inlineStr">
        <is>
          <t>https://kaspi.kz/shop/c/scrubs%20and%20peelings/</t>
        </is>
      </c>
    </row>
    <row r="373">
      <c r="A373" s="2" t="n">
        <v>372</v>
      </c>
      <c r="B373" s="2" t="inlineStr">
        <is>
          <t>Системы нагревания</t>
        </is>
      </c>
      <c r="C373" s="2" t="inlineStr">
        <is>
          <t>Телефоны и гаджеты</t>
        </is>
      </c>
      <c r="D373" s="2" t="inlineStr">
        <is>
          <t>Телефоны и гаджеты → Гаджеты → Системы нагревания</t>
        </is>
      </c>
      <c r="E373" s="3" t="n">
        <v>69938515</v>
      </c>
      <c r="F373" s="3" t="n">
        <v>4128</v>
      </c>
      <c r="G373" s="3">
        <f>IFERROR(E373/F373,0)</f>
        <v/>
      </c>
      <c r="H373" s="3" t="n">
        <v>33</v>
      </c>
      <c r="I373" s="2" t="n">
        <v>3</v>
      </c>
      <c r="J373" s="3">
        <f>IFERROR(E373/H373,0)</f>
        <v/>
      </c>
      <c r="K373" s="10">
        <f>E373/'По разделам'!$B$21</f>
        <v/>
      </c>
      <c r="L373" s="4">
        <f>L372+K373</f>
        <v/>
      </c>
      <c r="M373" s="2" t="inlineStr">
        <is>
          <t>03250</t>
        </is>
      </c>
      <c r="N373" s="2" t="inlineStr">
        <is>
          <t>https://app.redstat.kz/niche/03250?event_date=2026-08-01</t>
        </is>
      </c>
      <c r="O373" s="2" t="inlineStr">
        <is>
          <t>https://kaspi.kz/shop/c/heated%20tobacco%20systems/</t>
        </is>
      </c>
    </row>
    <row r="374">
      <c r="A374" s="2" t="n">
        <v>373</v>
      </c>
      <c r="B374" s="2" t="inlineStr">
        <is>
          <t>Уличное освещение</t>
        </is>
      </c>
      <c r="C374" s="2" t="inlineStr">
        <is>
          <t>Товары для дома и дачи</t>
        </is>
      </c>
      <c r="D374" s="2" t="inlineStr">
        <is>
          <t>Товары для дома и дачи → Освещение → Уличное освещение</t>
        </is>
      </c>
      <c r="E374" s="3" t="n">
        <v>69278815</v>
      </c>
      <c r="F374" s="3" t="n">
        <v>7777</v>
      </c>
      <c r="G374" s="3">
        <f>IFERROR(E374/F374,0)</f>
        <v/>
      </c>
      <c r="H374" s="3" t="n">
        <v>772</v>
      </c>
      <c r="I374" s="2" t="n">
        <v>142</v>
      </c>
      <c r="J374" s="3">
        <f>IFERROR(E374/H374,0)</f>
        <v/>
      </c>
      <c r="K374" s="10">
        <f>E374/'По разделам'!$B$21</f>
        <v/>
      </c>
      <c r="L374" s="4">
        <f>L373+K374</f>
        <v/>
      </c>
      <c r="M374" s="2" t="inlineStr">
        <is>
          <t>04189</t>
        </is>
      </c>
      <c r="N374" s="2" t="inlineStr">
        <is>
          <t>https://app.redstat.kz/niche/04189?event_date=2026-08-01</t>
        </is>
      </c>
      <c r="O374" s="2" t="inlineStr">
        <is>
          <t>https://kaspi.kz/shop/c/street%20lighting/</t>
        </is>
      </c>
    </row>
    <row r="375">
      <c r="A375" s="2" t="n">
        <v>374</v>
      </c>
      <c r="B375" s="2" t="inlineStr">
        <is>
          <t>Наборы игрушек</t>
        </is>
      </c>
      <c r="C375" s="2" t="inlineStr">
        <is>
          <t>Детские товары</t>
        </is>
      </c>
      <c r="D375" s="2" t="inlineStr">
        <is>
          <t>Детские товары → Игрушки → Наборы игрушек</t>
        </is>
      </c>
      <c r="E375" s="3" t="n">
        <v>68933344</v>
      </c>
      <c r="F375" s="3" t="n">
        <v>8132</v>
      </c>
      <c r="G375" s="3">
        <f>IFERROR(E375/F375,0)</f>
        <v/>
      </c>
      <c r="H375" s="3" t="n">
        <v>929</v>
      </c>
      <c r="I375" s="2" t="n">
        <v>223</v>
      </c>
      <c r="J375" s="3">
        <f>IFERROR(E375/H375,0)</f>
        <v/>
      </c>
      <c r="K375" s="10">
        <f>E375/'По разделам'!$B$21</f>
        <v/>
      </c>
      <c r="L375" s="4">
        <f>L374+K375</f>
        <v/>
      </c>
      <c r="M375" s="2" t="inlineStr">
        <is>
          <t>00121</t>
        </is>
      </c>
      <c r="N375" s="2" t="inlineStr">
        <is>
          <t>https://app.redstat.kz/niche/00121?event_date=2026-08-01</t>
        </is>
      </c>
      <c r="O375" s="2" t="inlineStr">
        <is>
          <t>https://kaspi.kz/shop/c/toy%20sets/</t>
        </is>
      </c>
    </row>
    <row r="376">
      <c r="A376" s="2" t="n">
        <v>375</v>
      </c>
      <c r="B376" s="2" t="inlineStr">
        <is>
          <t>Комплекты бижутерии</t>
        </is>
      </c>
      <c r="C376" s="2" t="inlineStr">
        <is>
          <t>Украшения</t>
        </is>
      </c>
      <c r="D376" s="2" t="inlineStr">
        <is>
          <t>Украшения → Комплекты украшений → Комплекты бижутерии</t>
        </is>
      </c>
      <c r="E376" s="3" t="n">
        <v>68845994</v>
      </c>
      <c r="F376" s="3" t="n">
        <v>25950</v>
      </c>
      <c r="G376" s="3">
        <f>IFERROR(E376/F376,0)</f>
        <v/>
      </c>
      <c r="H376" s="3" t="n">
        <v>2703</v>
      </c>
      <c r="I376" s="2" t="n">
        <v>206</v>
      </c>
      <c r="J376" s="3">
        <f>IFERROR(E376/H376,0)</f>
        <v/>
      </c>
      <c r="K376" s="10">
        <f>E376/'По разделам'!$B$21</f>
        <v/>
      </c>
      <c r="L376" s="4">
        <f>L375+K376</f>
        <v/>
      </c>
      <c r="M376" s="2" t="inlineStr">
        <is>
          <t>01760</t>
        </is>
      </c>
      <c r="N376" s="2" t="inlineStr">
        <is>
          <t>https://app.redstat.kz/niche/01760?event_date=2026-08-01</t>
        </is>
      </c>
      <c r="O376" s="2" t="inlineStr">
        <is>
          <t>https://kaspi.kz/shop/c/imitation%20jewelry%20sets/</t>
        </is>
      </c>
    </row>
    <row r="377">
      <c r="A377" s="2" t="n">
        <v>376</v>
      </c>
      <c r="B377" s="2" t="inlineStr">
        <is>
          <t>Кулеры для воды</t>
        </is>
      </c>
      <c r="C377" s="2" t="inlineStr">
        <is>
          <t>Бытовая техника</t>
        </is>
      </c>
      <c r="D377" s="2" t="inlineStr">
        <is>
          <t>Бытовая техника → Крупная техника для дома → Кулеры для воды</t>
        </is>
      </c>
      <c r="E377" s="3" t="n">
        <v>68778247</v>
      </c>
      <c r="F377" s="3" t="n">
        <v>2137</v>
      </c>
      <c r="G377" s="3">
        <f>IFERROR(E377/F377,0)</f>
        <v/>
      </c>
      <c r="H377" s="3" t="n">
        <v>169</v>
      </c>
      <c r="I377" s="2" t="n">
        <v>23</v>
      </c>
      <c r="J377" s="3">
        <f>IFERROR(E377/H377,0)</f>
        <v/>
      </c>
      <c r="K377" s="10">
        <f>E377/'По разделам'!$B$21</f>
        <v/>
      </c>
      <c r="L377" s="4">
        <f>L376+K377</f>
        <v/>
      </c>
      <c r="M377" s="2" t="inlineStr">
        <is>
          <t>00778</t>
        </is>
      </c>
      <c r="N377" s="2" t="inlineStr">
        <is>
          <t>https://app.redstat.kz/niche/00778?event_date=2026-08-01</t>
        </is>
      </c>
      <c r="O377" s="2" t="inlineStr">
        <is>
          <t>https://kaspi.kz/shop/c/water%20coolers/</t>
        </is>
      </c>
    </row>
    <row r="378">
      <c r="A378" s="2" t="n">
        <v>377</v>
      </c>
      <c r="B378" s="2" t="inlineStr">
        <is>
          <t>Автосигнализации</t>
        </is>
      </c>
      <c r="C378" s="2" t="inlineStr">
        <is>
          <t>Автотовары</t>
        </is>
      </c>
      <c r="D378" s="2" t="inlineStr">
        <is>
          <t>Автотовары → Автомобильные противоугонные устройства → Автосигнализации</t>
        </is>
      </c>
      <c r="E378" s="3" t="n">
        <v>68253137</v>
      </c>
      <c r="F378" s="3" t="n">
        <v>1147</v>
      </c>
      <c r="G378" s="3">
        <f>IFERROR(E378/F378,0)</f>
        <v/>
      </c>
      <c r="H378" s="3" t="n">
        <v>106</v>
      </c>
      <c r="I378" s="2" t="n">
        <v>16</v>
      </c>
      <c r="J378" s="3">
        <f>IFERROR(E378/H378,0)</f>
        <v/>
      </c>
      <c r="K378" s="10">
        <f>E378/'По разделам'!$B$21</f>
        <v/>
      </c>
      <c r="L378" s="4">
        <f>L377+K378</f>
        <v/>
      </c>
      <c r="M378" s="2" t="inlineStr">
        <is>
          <t>00077</t>
        </is>
      </c>
      <c r="N378" s="2" t="inlineStr">
        <is>
          <t>https://app.redstat.kz/niche/00077?event_date=2026-08-01</t>
        </is>
      </c>
      <c r="O378" s="2" t="inlineStr">
        <is>
          <t>https://kaspi.kz/shop/c/car%20alarms/</t>
        </is>
      </c>
    </row>
    <row r="379">
      <c r="A379" s="2" t="n">
        <v>378</v>
      </c>
      <c r="B379" s="2" t="inlineStr">
        <is>
          <t>Квадроциклы</t>
        </is>
      </c>
      <c r="C379" s="2" t="inlineStr">
        <is>
          <t>Автотовары</t>
        </is>
      </c>
      <c r="D379" s="2" t="inlineStr">
        <is>
          <t>Автотовары → Мототехника → Квадроциклы</t>
        </is>
      </c>
      <c r="E379" s="3" t="n">
        <v>67773399</v>
      </c>
      <c r="F379" s="3" t="n">
        <v>86</v>
      </c>
      <c r="G379" s="3">
        <f>IFERROR(E379/F379,0)</f>
        <v/>
      </c>
      <c r="H379" s="3" t="n">
        <v>32</v>
      </c>
      <c r="I379" s="2" t="n">
        <v>15</v>
      </c>
      <c r="J379" s="3">
        <f>IFERROR(E379/H379,0)</f>
        <v/>
      </c>
      <c r="K379" s="10">
        <f>E379/'По разделам'!$B$21</f>
        <v/>
      </c>
      <c r="L379" s="4">
        <f>L378+K379</f>
        <v/>
      </c>
      <c r="M379" s="2" t="inlineStr">
        <is>
          <t>01452</t>
        </is>
      </c>
      <c r="N379" s="2" t="inlineStr">
        <is>
          <t>https://app.redstat.kz/niche/01452?event_date=2026-08-01</t>
        </is>
      </c>
      <c r="O379" s="2" t="inlineStr">
        <is>
          <t>https://kaspi.kz/shop/c/quadrocycles/</t>
        </is>
      </c>
    </row>
    <row r="380">
      <c r="A380" s="2" t="n">
        <v>379</v>
      </c>
      <c r="B380" s="2" t="inlineStr">
        <is>
          <t>Кабельная продукция</t>
        </is>
      </c>
      <c r="C380" s="2" t="inlineStr">
        <is>
          <t>Строительство, ремонт</t>
        </is>
      </c>
      <c r="D380" s="2" t="inlineStr">
        <is>
          <t>Строительство, ремонт → Электрика → Кабельная продукция → Кабельная продукция</t>
        </is>
      </c>
      <c r="E380" s="3" t="n">
        <v>67496182</v>
      </c>
      <c r="F380" s="3" t="n">
        <v>2929</v>
      </c>
      <c r="G380" s="3">
        <f>IFERROR(E380/F380,0)</f>
        <v/>
      </c>
      <c r="H380" s="3" t="n">
        <v>690</v>
      </c>
      <c r="I380" s="2" t="n">
        <v>86</v>
      </c>
      <c r="J380" s="3">
        <f>IFERROR(E380/H380,0)</f>
        <v/>
      </c>
      <c r="K380" s="10">
        <f>E380/'По разделам'!$B$21</f>
        <v/>
      </c>
      <c r="L380" s="4">
        <f>L379+K380</f>
        <v/>
      </c>
      <c r="M380" s="2" t="inlineStr">
        <is>
          <t>q9d3ec191d22e27e</t>
        </is>
      </c>
      <c r="N380" s="2" t="inlineStr">
        <is>
          <t>https://app.redstat.kz/niche/q9d3ec191d22e27e?event_date=2026-08-01</t>
        </is>
      </c>
      <c r="O380" s="2" t="inlineStr"/>
    </row>
    <row r="381">
      <c r="A381" s="2" t="n">
        <v>380</v>
      </c>
      <c r="B381" s="2" t="inlineStr">
        <is>
          <t>Куклы и аксессуары</t>
        </is>
      </c>
      <c r="C381" s="2" t="inlineStr">
        <is>
          <t>Детские товары</t>
        </is>
      </c>
      <c r="D381" s="2" t="inlineStr">
        <is>
          <t>Детские товары → Игрушки → Куклы и аксессуары → Куклы и аксессуары</t>
        </is>
      </c>
      <c r="E381" s="3" t="n">
        <v>66651020</v>
      </c>
      <c r="F381" s="3" t="n">
        <v>6990</v>
      </c>
      <c r="G381" s="3">
        <f>IFERROR(E381/F381,0)</f>
        <v/>
      </c>
      <c r="H381" s="3" t="n">
        <v>1098</v>
      </c>
      <c r="I381" s="2" t="n">
        <v>182</v>
      </c>
      <c r="J381" s="3">
        <f>IFERROR(E381/H381,0)</f>
        <v/>
      </c>
      <c r="K381" s="10">
        <f>E381/'По разделам'!$B$21</f>
        <v/>
      </c>
      <c r="L381" s="4">
        <f>L380+K381</f>
        <v/>
      </c>
      <c r="M381" s="2" t="inlineStr">
        <is>
          <t>qfbefae3b2dd223f</t>
        </is>
      </c>
      <c r="N381" s="2" t="inlineStr">
        <is>
          <t>https://app.redstat.kz/niche/qfbefae3b2dd223f?event_date=2026-08-01</t>
        </is>
      </c>
      <c r="O381" s="2" t="inlineStr"/>
    </row>
    <row r="382">
      <c r="A382" s="2" t="n">
        <v>381</v>
      </c>
      <c r="B382" s="2" t="inlineStr">
        <is>
          <t>Аксессуары для полива</t>
        </is>
      </c>
      <c r="C382" s="2" t="inlineStr">
        <is>
          <t>Товары для дома и дачи</t>
        </is>
      </c>
      <c r="D382" s="2" t="inlineStr">
        <is>
          <t>Товары для дома и дачи → Дача, сад и огород → Аксессуары для полива → Аксессуары для полива</t>
        </is>
      </c>
      <c r="E382" s="3" t="n">
        <v>66506720</v>
      </c>
      <c r="F382" s="3" t="n">
        <v>7091</v>
      </c>
      <c r="G382" s="3">
        <f>IFERROR(E382/F382,0)</f>
        <v/>
      </c>
      <c r="H382" s="3" t="n">
        <v>1573</v>
      </c>
      <c r="I382" s="2" t="n">
        <v>173</v>
      </c>
      <c r="J382" s="3">
        <f>IFERROR(E382/H382,0)</f>
        <v/>
      </c>
      <c r="K382" s="10">
        <f>E382/'По разделам'!$B$21</f>
        <v/>
      </c>
      <c r="L382" s="4">
        <f>L381+K382</f>
        <v/>
      </c>
      <c r="M382" s="2" t="inlineStr">
        <is>
          <t>q9993a9d9aa6ca59</t>
        </is>
      </c>
      <c r="N382" s="2" t="inlineStr">
        <is>
          <t>https://app.redstat.kz/niche/q9993a9d9aa6ca59?event_date=2026-08-01</t>
        </is>
      </c>
      <c r="O382" s="2" t="inlineStr"/>
    </row>
    <row r="383">
      <c r="A383" s="2" t="n">
        <v>382</v>
      </c>
      <c r="B383" s="2" t="inlineStr">
        <is>
          <t>Рыболовные наборы</t>
        </is>
      </c>
      <c r="C383" s="2" t="inlineStr">
        <is>
          <t>Спорт, туризм</t>
        </is>
      </c>
      <c r="D383" s="2" t="inlineStr">
        <is>
          <t>Спорт, туризм → Товары для рыбалки → Рыболовные наборы</t>
        </is>
      </c>
      <c r="E383" s="3" t="n">
        <v>66296649</v>
      </c>
      <c r="F383" s="3" t="n">
        <v>5335</v>
      </c>
      <c r="G383" s="3">
        <f>IFERROR(E383/F383,0)</f>
        <v/>
      </c>
      <c r="H383" s="3" t="n">
        <v>569</v>
      </c>
      <c r="I383" s="2" t="n">
        <v>68</v>
      </c>
      <c r="J383" s="3">
        <f>IFERROR(E383/H383,0)</f>
        <v/>
      </c>
      <c r="K383" s="10">
        <f>E383/'По разделам'!$B$21</f>
        <v/>
      </c>
      <c r="L383" s="4">
        <f>L382+K383</f>
        <v/>
      </c>
      <c r="M383" s="2" t="inlineStr">
        <is>
          <t>00925</t>
        </is>
      </c>
      <c r="N383" s="2" t="inlineStr">
        <is>
          <t>https://app.redstat.kz/niche/00925?event_date=2026-08-01</t>
        </is>
      </c>
      <c r="O383" s="2" t="inlineStr">
        <is>
          <t>https://kaspi.kz/shop/c/fishing%20kits/</t>
        </is>
      </c>
    </row>
    <row r="384">
      <c r="A384" s="2" t="n">
        <v>383</v>
      </c>
      <c r="B384" s="2" t="inlineStr">
        <is>
          <t>Прикормочные кораблики и аксессуары</t>
        </is>
      </c>
      <c r="C384" s="2" t="inlineStr">
        <is>
          <t>Спорт, туризм</t>
        </is>
      </c>
      <c r="D384" s="2" t="inlineStr">
        <is>
          <t>Спорт, туризм → Товары для рыбалки → Прикормочные кораблики и аксессуары → Прикормочные кораблики и аксессуары</t>
        </is>
      </c>
      <c r="E384" s="3" t="n">
        <v>66185239</v>
      </c>
      <c r="F384" s="3" t="n">
        <v>645</v>
      </c>
      <c r="G384" s="3">
        <f>IFERROR(E384/F384,0)</f>
        <v/>
      </c>
      <c r="H384" s="3" t="n">
        <v>121</v>
      </c>
      <c r="I384" s="2" t="n">
        <v>16</v>
      </c>
      <c r="J384" s="3">
        <f>IFERROR(E384/H384,0)</f>
        <v/>
      </c>
      <c r="K384" s="10">
        <f>E384/'По разделам'!$B$21</f>
        <v/>
      </c>
      <c r="L384" s="4">
        <f>L383+K384</f>
        <v/>
      </c>
      <c r="M384" s="2" t="inlineStr">
        <is>
          <t>q79a215154fdfd5a</t>
        </is>
      </c>
      <c r="N384" s="2" t="inlineStr">
        <is>
          <t>https://app.redstat.kz/niche/q79a215154fdfd5a?event_date=2026-08-01</t>
        </is>
      </c>
      <c r="O384" s="2" t="inlineStr"/>
    </row>
    <row r="385">
      <c r="A385" s="2" t="n">
        <v>384</v>
      </c>
      <c r="B385" s="2" t="inlineStr">
        <is>
          <t>Оптика для охоты</t>
        </is>
      </c>
      <c r="C385" s="2" t="inlineStr">
        <is>
          <t>Спорт, туризм</t>
        </is>
      </c>
      <c r="D385" s="2" t="inlineStr">
        <is>
          <t>Спорт, туризм → Туризм и отдых на природе → Оптика для охоты → Оптика для охоты</t>
        </is>
      </c>
      <c r="E385" s="3" t="n">
        <v>66128135</v>
      </c>
      <c r="F385" s="3" t="n">
        <v>1891</v>
      </c>
      <c r="G385" s="3">
        <f>IFERROR(E385/F385,0)</f>
        <v/>
      </c>
      <c r="H385" s="3" t="n">
        <v>369</v>
      </c>
      <c r="I385" s="2" t="n">
        <v>80</v>
      </c>
      <c r="J385" s="3">
        <f>IFERROR(E385/H385,0)</f>
        <v/>
      </c>
      <c r="K385" s="10">
        <f>E385/'По разделам'!$B$21</f>
        <v/>
      </c>
      <c r="L385" s="4">
        <f>L384+K385</f>
        <v/>
      </c>
      <c r="M385" s="2" t="inlineStr">
        <is>
          <t>q98f7b007ee10f31</t>
        </is>
      </c>
      <c r="N385" s="2" t="inlineStr">
        <is>
          <t>https://app.redstat.kz/niche/q98f7b007ee10f31?event_date=2026-08-01</t>
        </is>
      </c>
      <c r="O385" s="2" t="inlineStr"/>
    </row>
    <row r="386">
      <c r="A386" s="2" t="n">
        <v>385</v>
      </c>
      <c r="B386" s="2" t="inlineStr">
        <is>
          <t>Лампочки</t>
        </is>
      </c>
      <c r="C386" s="2" t="inlineStr">
        <is>
          <t>Товары для дома и дачи</t>
        </is>
      </c>
      <c r="D386" s="2" t="inlineStr">
        <is>
          <t>Товары для дома и дачи → Освещение → Лампочки</t>
        </is>
      </c>
      <c r="E386" s="3" t="n">
        <v>66032392</v>
      </c>
      <c r="F386" s="3" t="n">
        <v>15884</v>
      </c>
      <c r="G386" s="3">
        <f>IFERROR(E386/F386,0)</f>
        <v/>
      </c>
      <c r="H386" s="3" t="n">
        <v>3026</v>
      </c>
      <c r="I386" s="2" t="n">
        <v>218</v>
      </c>
      <c r="J386" s="3">
        <f>IFERROR(E386/H386,0)</f>
        <v/>
      </c>
      <c r="K386" s="10">
        <f>E386/'По разделам'!$B$21</f>
        <v/>
      </c>
      <c r="L386" s="4">
        <f>L385+K386</f>
        <v/>
      </c>
      <c r="M386" s="2" t="inlineStr">
        <is>
          <t>00694</t>
        </is>
      </c>
      <c r="N386" s="2" t="inlineStr">
        <is>
          <t>https://app.redstat.kz/niche/00694?event_date=2026-08-01</t>
        </is>
      </c>
      <c r="O386" s="2" t="inlineStr">
        <is>
          <t>https://kaspi.kz/shop/c/light%20bulbs/</t>
        </is>
      </c>
    </row>
    <row r="387">
      <c r="A387" s="2" t="n">
        <v>386</v>
      </c>
      <c r="B387" s="2" t="inlineStr">
        <is>
          <t>Батарейки и аккумуляторы</t>
        </is>
      </c>
      <c r="C387" s="2" t="inlineStr">
        <is>
          <t>ТВ, Аудио, Видео</t>
        </is>
      </c>
      <c r="D387" s="2" t="inlineStr">
        <is>
          <t>ТВ, Аудио, Видео → Фото- и видеокамеры → Батарейки и аккумуляторы</t>
        </is>
      </c>
      <c r="E387" s="3" t="n">
        <v>65336914</v>
      </c>
      <c r="F387" s="3" t="n">
        <v>21802</v>
      </c>
      <c r="G387" s="3">
        <f>IFERROR(E387/F387,0)</f>
        <v/>
      </c>
      <c r="H387" s="3" t="n">
        <v>1740</v>
      </c>
      <c r="I387" s="2" t="n">
        <v>146</v>
      </c>
      <c r="J387" s="3">
        <f>IFERROR(E387/H387,0)</f>
        <v/>
      </c>
      <c r="K387" s="10">
        <f>E387/'По разделам'!$B$21</f>
        <v/>
      </c>
      <c r="L387" s="4">
        <f>L386+K387</f>
        <v/>
      </c>
      <c r="M387" s="2" t="inlineStr">
        <is>
          <t>02190</t>
        </is>
      </c>
      <c r="N387" s="2" t="inlineStr">
        <is>
          <t>https://app.redstat.kz/niche/02190?event_date=2026-08-01</t>
        </is>
      </c>
      <c r="O387" s="2" t="inlineStr">
        <is>
          <t>https://kaspi.kz/shop/c/batteries%20and%20accumulators/</t>
        </is>
      </c>
    </row>
    <row r="388">
      <c r="A388" s="2" t="n">
        <v>387</v>
      </c>
      <c r="B388" s="2" t="inlineStr">
        <is>
          <t>Средства против насекомых</t>
        </is>
      </c>
      <c r="C388" s="2" t="inlineStr">
        <is>
          <t>Товары для дома и дачи</t>
        </is>
      </c>
      <c r="D388" s="2" t="inlineStr">
        <is>
          <t>Товары для дома и дачи → Бытовая химия → Средства против насекомых</t>
        </is>
      </c>
      <c r="E388" s="3" t="n">
        <v>65276056</v>
      </c>
      <c r="F388" s="3" t="n">
        <v>22380</v>
      </c>
      <c r="G388" s="3">
        <f>IFERROR(E388/F388,0)</f>
        <v/>
      </c>
      <c r="H388" s="3" t="n">
        <v>1469</v>
      </c>
      <c r="I388" s="2" t="n">
        <v>191</v>
      </c>
      <c r="J388" s="3">
        <f>IFERROR(E388/H388,0)</f>
        <v/>
      </c>
      <c r="K388" s="10">
        <f>E388/'По разделам'!$B$21</f>
        <v/>
      </c>
      <c r="L388" s="4">
        <f>L387+K388</f>
        <v/>
      </c>
      <c r="M388" s="2" t="inlineStr">
        <is>
          <t>02038</t>
        </is>
      </c>
      <c r="N388" s="2" t="inlineStr">
        <is>
          <t>https://app.redstat.kz/niche/02038?event_date=2026-08-01</t>
        </is>
      </c>
      <c r="O388" s="2" t="inlineStr">
        <is>
          <t>https://kaspi.kz/shop/c/insect%20repellents/</t>
        </is>
      </c>
    </row>
    <row r="389">
      <c r="A389" s="2" t="n">
        <v>388</v>
      </c>
      <c r="B389" s="2" t="inlineStr">
        <is>
          <t>Мотоэкипировка</t>
        </is>
      </c>
      <c r="C389" s="2" t="inlineStr">
        <is>
          <t>Автотовары</t>
        </is>
      </c>
      <c r="D389" s="2" t="inlineStr">
        <is>
          <t>Автотовары → Мототехника → Мотоэкипировка → Мотоэкипировка</t>
        </is>
      </c>
      <c r="E389" s="3" t="n">
        <v>65176931</v>
      </c>
      <c r="F389" s="3" t="n">
        <v>2579</v>
      </c>
      <c r="G389" s="3">
        <f>IFERROR(E389/F389,0)</f>
        <v/>
      </c>
      <c r="H389" s="3" t="n">
        <v>888</v>
      </c>
      <c r="I389" s="2" t="n">
        <v>112</v>
      </c>
      <c r="J389" s="3">
        <f>IFERROR(E389/H389,0)</f>
        <v/>
      </c>
      <c r="K389" s="10">
        <f>E389/'По разделам'!$B$21</f>
        <v/>
      </c>
      <c r="L389" s="4">
        <f>L388+K389</f>
        <v/>
      </c>
      <c r="M389" s="2" t="inlineStr">
        <is>
          <t>qf2848b97ab9f8e2</t>
        </is>
      </c>
      <c r="N389" s="2" t="inlineStr">
        <is>
          <t>https://app.redstat.kz/niche/qf2848b97ab9f8e2?event_date=2026-08-01</t>
        </is>
      </c>
      <c r="O389" s="2" t="inlineStr"/>
    </row>
    <row r="390">
      <c r="A390" s="2" t="n">
        <v>389</v>
      </c>
      <c r="B390" s="2" t="inlineStr">
        <is>
          <t>Аксессуары для музыкальных инструментов</t>
        </is>
      </c>
      <c r="C390" s="2" t="inlineStr">
        <is>
          <t>Досуг, книги</t>
        </is>
      </c>
      <c r="D390" s="2" t="inlineStr">
        <is>
          <t>Досуг, книги → Музыкальные инструменты → Аксессуары для музыкальных инструментов → Аксессуары для музыкальных инструментов</t>
        </is>
      </c>
      <c r="E390" s="3" t="n">
        <v>65123405</v>
      </c>
      <c r="F390" s="3" t="n">
        <v>6729</v>
      </c>
      <c r="G390" s="3">
        <f>IFERROR(E390/F390,0)</f>
        <v/>
      </c>
      <c r="H390" s="3" t="n">
        <v>1628</v>
      </c>
      <c r="I390" s="2" t="n">
        <v>190</v>
      </c>
      <c r="J390" s="3">
        <f>IFERROR(E390/H390,0)</f>
        <v/>
      </c>
      <c r="K390" s="10">
        <f>E390/'По разделам'!$B$21</f>
        <v/>
      </c>
      <c r="L390" s="4">
        <f>L389+K390</f>
        <v/>
      </c>
      <c r="M390" s="2" t="inlineStr">
        <is>
          <t>q215fa4d61a830ef</t>
        </is>
      </c>
      <c r="N390" s="2" t="inlineStr">
        <is>
          <t>https://app.redstat.kz/niche/q215fa4d61a830ef?event_date=2026-08-01</t>
        </is>
      </c>
      <c r="O390" s="2" t="inlineStr"/>
    </row>
    <row r="391">
      <c r="A391" s="2" t="n">
        <v>390</v>
      </c>
      <c r="B391" s="2" t="inlineStr">
        <is>
          <t>Зарядные и пуско-зарядные устройства для автомобилей</t>
        </is>
      </c>
      <c r="C391" s="2" t="inlineStr">
        <is>
          <t>Автотовары</t>
        </is>
      </c>
      <c r="D391" s="2" t="inlineStr">
        <is>
          <t>Автотовары → Автомобильное оборудование → Зарядные и пуско-зарядные устройства для автомобилей → Зарядные и пуско-зарядные устройства для автомобилей</t>
        </is>
      </c>
      <c r="E391" s="3" t="n">
        <v>64625166</v>
      </c>
      <c r="F391" s="3" t="n">
        <v>2484</v>
      </c>
      <c r="G391" s="3">
        <f>IFERROR(E391/F391,0)</f>
        <v/>
      </c>
      <c r="H391" s="3" t="n">
        <v>334</v>
      </c>
      <c r="I391" s="2" t="n">
        <v>131</v>
      </c>
      <c r="J391" s="3">
        <f>IFERROR(E391/H391,0)</f>
        <v/>
      </c>
      <c r="K391" s="10">
        <f>E391/'По разделам'!$B$21</f>
        <v/>
      </c>
      <c r="L391" s="4">
        <f>L390+K391</f>
        <v/>
      </c>
      <c r="M391" s="2" t="inlineStr">
        <is>
          <t>q9160f916118e7e3</t>
        </is>
      </c>
      <c r="N391" s="2" t="inlineStr">
        <is>
          <t>https://app.redstat.kz/niche/q9160f916118e7e3?event_date=2026-08-01</t>
        </is>
      </c>
      <c r="O391" s="2" t="inlineStr"/>
    </row>
    <row r="392">
      <c r="A392" s="2" t="n">
        <v>391</v>
      </c>
      <c r="B392" s="2" t="inlineStr">
        <is>
          <t>Чернила для принтера</t>
        </is>
      </c>
      <c r="C392" s="2" t="inlineStr">
        <is>
          <t>Компьютеры</t>
        </is>
      </c>
      <c r="D392" s="2" t="inlineStr">
        <is>
          <t>Компьютеры → Оргтехника и расходные материалы → Чернила для принтера</t>
        </is>
      </c>
      <c r="E392" s="3" t="n">
        <v>64127016</v>
      </c>
      <c r="F392" s="3" t="n">
        <v>10806</v>
      </c>
      <c r="G392" s="3">
        <f>IFERROR(E392/F392,0)</f>
        <v/>
      </c>
      <c r="H392" s="3" t="n">
        <v>588</v>
      </c>
      <c r="I392" s="2" t="n">
        <v>48</v>
      </c>
      <c r="J392" s="3">
        <f>IFERROR(E392/H392,0)</f>
        <v/>
      </c>
      <c r="K392" s="10">
        <f>E392/'По разделам'!$B$21</f>
        <v/>
      </c>
      <c r="L392" s="4">
        <f>L391+K392</f>
        <v/>
      </c>
      <c r="M392" s="2" t="inlineStr">
        <is>
          <t>02924</t>
        </is>
      </c>
      <c r="N392" s="2" t="inlineStr">
        <is>
          <t>https://app.redstat.kz/niche/02924?event_date=2026-08-01</t>
        </is>
      </c>
      <c r="O392" s="2" t="inlineStr">
        <is>
          <t>https://kaspi.kz/shop/c/printer%20ink/</t>
        </is>
      </c>
    </row>
    <row r="393">
      <c r="A393" s="2" t="n">
        <v>392</v>
      </c>
      <c r="B393" s="2" t="inlineStr">
        <is>
          <t>Комплекты в детскую комнату</t>
        </is>
      </c>
      <c r="C393" s="2" t="inlineStr">
        <is>
          <t>Мебель</t>
        </is>
      </c>
      <c r="D393" s="2" t="inlineStr">
        <is>
          <t>Мебель → Детская комната → Комплекты в детскую комнату</t>
        </is>
      </c>
      <c r="E393" s="3" t="n">
        <v>63781192</v>
      </c>
      <c r="F393" s="3" t="n">
        <v>421</v>
      </c>
      <c r="G393" s="3">
        <f>IFERROR(E393/F393,0)</f>
        <v/>
      </c>
      <c r="H393" s="3" t="n">
        <v>102</v>
      </c>
      <c r="I393" s="2" t="n">
        <v>26</v>
      </c>
      <c r="J393" s="3">
        <f>IFERROR(E393/H393,0)</f>
        <v/>
      </c>
      <c r="K393" s="10">
        <f>E393/'По разделам'!$B$21</f>
        <v/>
      </c>
      <c r="L393" s="4">
        <f>L392+K393</f>
        <v/>
      </c>
      <c r="M393" s="2" t="inlineStr">
        <is>
          <t>00591</t>
        </is>
      </c>
      <c r="N393" s="2" t="inlineStr">
        <is>
          <t>https://app.redstat.kz/niche/00591?event_date=2026-08-01</t>
        </is>
      </c>
      <c r="O393" s="2" t="inlineStr">
        <is>
          <t>https://kaspi.kz/shop/c/kids%20room%20sets/</t>
        </is>
      </c>
    </row>
    <row r="394">
      <c r="A394" s="2" t="n">
        <v>393</v>
      </c>
      <c r="B394" s="2" t="inlineStr">
        <is>
          <t>Отопительные котлы, оборудование для котельных</t>
        </is>
      </c>
      <c r="C394" s="2" t="inlineStr">
        <is>
          <t>Строительство, ремонт</t>
        </is>
      </c>
      <c r="D394" s="2" t="inlineStr">
        <is>
          <t>Строительство, ремонт → Системы отопления → Отопительные котлы, оборудование для котельных → Отопительные котлы, оборудование для котельных</t>
        </is>
      </c>
      <c r="E394" s="3" t="n">
        <v>62958706</v>
      </c>
      <c r="F394" s="3" t="n">
        <v>1659</v>
      </c>
      <c r="G394" s="3">
        <f>IFERROR(E394/F394,0)</f>
        <v/>
      </c>
      <c r="H394" s="3" t="n">
        <v>599</v>
      </c>
      <c r="I394" s="2" t="n">
        <v>100</v>
      </c>
      <c r="J394" s="3">
        <f>IFERROR(E394/H394,0)</f>
        <v/>
      </c>
      <c r="K394" s="10">
        <f>E394/'По разделам'!$B$21</f>
        <v/>
      </c>
      <c r="L394" s="4">
        <f>L393+K394</f>
        <v/>
      </c>
      <c r="M394" s="2" t="inlineStr">
        <is>
          <t>q81fba8d7fa94425</t>
        </is>
      </c>
      <c r="N394" s="2" t="inlineStr">
        <is>
          <t>https://app.redstat.kz/niche/q81fba8d7fa94425?event_date=2026-08-01</t>
        </is>
      </c>
      <c r="O394" s="2" t="inlineStr"/>
    </row>
    <row r="395">
      <c r="A395" s="2" t="n">
        <v>394</v>
      </c>
      <c r="B395" s="2" t="inlineStr">
        <is>
          <t>Роликовые коньки</t>
        </is>
      </c>
      <c r="C395" s="2" t="inlineStr">
        <is>
          <t>Спорт, туризм</t>
        </is>
      </c>
      <c r="D395" s="2" t="inlineStr">
        <is>
          <t>Спорт, туризм → Роликовые коньки и лыжероллеры → Роликовые коньки</t>
        </is>
      </c>
      <c r="E395" s="3" t="n">
        <v>62471840</v>
      </c>
      <c r="F395" s="3" t="n">
        <v>5840</v>
      </c>
      <c r="G395" s="3">
        <f>IFERROR(E395/F395,0)</f>
        <v/>
      </c>
      <c r="H395" s="3" t="n">
        <v>917</v>
      </c>
      <c r="I395" s="2" t="n">
        <v>77</v>
      </c>
      <c r="J395" s="3">
        <f>IFERROR(E395/H395,0)</f>
        <v/>
      </c>
      <c r="K395" s="10">
        <f>E395/'По разделам'!$B$21</f>
        <v/>
      </c>
      <c r="L395" s="4">
        <f>L394+K395</f>
        <v/>
      </c>
      <c r="M395" s="2" t="inlineStr">
        <is>
          <t>04405</t>
        </is>
      </c>
      <c r="N395" s="2" t="inlineStr">
        <is>
          <t>https://app.redstat.kz/niche/04405?event_date=2026-08-01</t>
        </is>
      </c>
      <c r="O395" s="2" t="inlineStr">
        <is>
          <t>https://kaspi.kz/shop/c/roller%20skates/</t>
        </is>
      </c>
    </row>
    <row r="396">
      <c r="A396" s="2" t="n">
        <v>395</v>
      </c>
      <c r="B396" s="2" t="inlineStr">
        <is>
          <t>Садовый декор</t>
        </is>
      </c>
      <c r="C396" s="2" t="inlineStr">
        <is>
          <t>Товары для дома и дачи</t>
        </is>
      </c>
      <c r="D396" s="2" t="inlineStr">
        <is>
          <t>Товары для дома и дачи → Дача, сад и огород → Садовый декор → Садовый декор</t>
        </is>
      </c>
      <c r="E396" s="3" t="n">
        <v>62211252</v>
      </c>
      <c r="F396" s="3" t="n">
        <v>5069</v>
      </c>
      <c r="G396" s="3">
        <f>IFERROR(E396/F396,0)</f>
        <v/>
      </c>
      <c r="H396" s="3" t="n">
        <v>956</v>
      </c>
      <c r="I396" s="2" t="n">
        <v>93</v>
      </c>
      <c r="J396" s="3">
        <f>IFERROR(E396/H396,0)</f>
        <v/>
      </c>
      <c r="K396" s="10">
        <f>E396/'По разделам'!$B$21</f>
        <v/>
      </c>
      <c r="L396" s="4">
        <f>L395+K396</f>
        <v/>
      </c>
      <c r="M396" s="2" t="inlineStr">
        <is>
          <t>q0ab04e5ba89bb80</t>
        </is>
      </c>
      <c r="N396" s="2" t="inlineStr">
        <is>
          <t>https://app.redstat.kz/niche/q0ab04e5ba89bb80?event_date=2026-08-01</t>
        </is>
      </c>
      <c r="O396" s="2" t="inlineStr"/>
    </row>
    <row r="397">
      <c r="A397" s="2" t="n">
        <v>396</v>
      </c>
      <c r="B397" s="2" t="inlineStr">
        <is>
          <t>Витамины и добавки для животных</t>
        </is>
      </c>
      <c r="C397" s="2" t="inlineStr">
        <is>
          <t>Товары для животных</t>
        </is>
      </c>
      <c r="D397" s="2" t="inlineStr">
        <is>
          <t>Товары для животных → Ветаптека → Витамины и добавки для животных</t>
        </is>
      </c>
      <c r="E397" s="3" t="n">
        <v>61508814</v>
      </c>
      <c r="F397" s="3" t="n">
        <v>9649</v>
      </c>
      <c r="G397" s="3">
        <f>IFERROR(E397/F397,0)</f>
        <v/>
      </c>
      <c r="H397" s="3" t="n">
        <v>818</v>
      </c>
      <c r="I397" s="2" t="n">
        <v>170</v>
      </c>
      <c r="J397" s="3">
        <f>IFERROR(E397/H397,0)</f>
        <v/>
      </c>
      <c r="K397" s="10">
        <f>E397/'По разделам'!$B$21</f>
        <v/>
      </c>
      <c r="L397" s="4">
        <f>L396+K397</f>
        <v/>
      </c>
      <c r="M397" s="2" t="inlineStr">
        <is>
          <t>03400</t>
        </is>
      </c>
      <c r="N397" s="2" t="inlineStr">
        <is>
          <t>https://app.redstat.kz/niche/03400?event_date=2026-08-01</t>
        </is>
      </c>
      <c r="O397" s="2" t="inlineStr">
        <is>
          <t>https://kaspi.kz/shop/c/vitamins%20and%20supplements/</t>
        </is>
      </c>
    </row>
    <row r="398">
      <c r="A398" s="2" t="n">
        <v>397</v>
      </c>
      <c r="B398" s="2" t="inlineStr">
        <is>
          <t>Для детской комнаты</t>
        </is>
      </c>
      <c r="C398" s="2" t="inlineStr">
        <is>
          <t>Детские товары</t>
        </is>
      </c>
      <c r="D398" s="2" t="inlineStr">
        <is>
          <t>Детские товары → Для малыша и мамы → Для детской комнаты → Для детской комнаты</t>
        </is>
      </c>
      <c r="E398" s="3" t="n">
        <v>61175506</v>
      </c>
      <c r="F398" s="3" t="n">
        <v>3939</v>
      </c>
      <c r="G398" s="3">
        <f>IFERROR(E398/F398,0)</f>
        <v/>
      </c>
      <c r="H398" s="3" t="n">
        <v>512</v>
      </c>
      <c r="I398" s="2" t="n">
        <v>122</v>
      </c>
      <c r="J398" s="3">
        <f>IFERROR(E398/H398,0)</f>
        <v/>
      </c>
      <c r="K398" s="10">
        <f>E398/'По разделам'!$B$21</f>
        <v/>
      </c>
      <c r="L398" s="4">
        <f>L397+K398</f>
        <v/>
      </c>
      <c r="M398" s="2" t="inlineStr">
        <is>
          <t>qdc82de7b54aee9f</t>
        </is>
      </c>
      <c r="N398" s="2" t="inlineStr">
        <is>
          <t>https://app.redstat.kz/niche/qdc82de7b54aee9f?event_date=2026-08-01</t>
        </is>
      </c>
      <c r="O398" s="2" t="inlineStr"/>
    </row>
    <row r="399">
      <c r="A399" s="2" t="n">
        <v>398</v>
      </c>
      <c r="B399" s="2" t="inlineStr">
        <is>
          <t>Изоляционные материалы, тенты</t>
        </is>
      </c>
      <c r="C399" s="2" t="inlineStr">
        <is>
          <t>Строительство, ремонт</t>
        </is>
      </c>
      <c r="D399" s="2" t="inlineStr">
        <is>
          <t>Строительство, ремонт → Строительные материалы → Изоляционные материалы, тенты → Изоляционные материалы, тенты</t>
        </is>
      </c>
      <c r="E399" s="3" t="n">
        <v>61067424</v>
      </c>
      <c r="F399" s="3" t="n">
        <v>2463</v>
      </c>
      <c r="G399" s="3">
        <f>IFERROR(E399/F399,0)</f>
        <v/>
      </c>
      <c r="H399" s="3" t="n">
        <v>450</v>
      </c>
      <c r="I399" s="2" t="n">
        <v>95</v>
      </c>
      <c r="J399" s="3">
        <f>IFERROR(E399/H399,0)</f>
        <v/>
      </c>
      <c r="K399" s="10">
        <f>E399/'По разделам'!$B$21</f>
        <v/>
      </c>
      <c r="L399" s="4">
        <f>L398+K399</f>
        <v/>
      </c>
      <c r="M399" s="2" t="inlineStr">
        <is>
          <t>q5aaa21a57596d10</t>
        </is>
      </c>
      <c r="N399" s="2" t="inlineStr">
        <is>
          <t>https://app.redstat.kz/niche/q5aaa21a57596d10?event_date=2026-08-01</t>
        </is>
      </c>
      <c r="O399" s="2" t="inlineStr"/>
    </row>
    <row r="400">
      <c r="A400" s="2" t="n">
        <v>399</v>
      </c>
      <c r="B400" s="2" t="inlineStr">
        <is>
          <t>Электрические зубные щетки</t>
        </is>
      </c>
      <c r="C400" s="2" t="inlineStr">
        <is>
          <t>Красота и здоровье</t>
        </is>
      </c>
      <c r="D400" s="2" t="inlineStr">
        <is>
          <t>Красота и здоровье → Уход за полостью рта → Электрические зубные щетки</t>
        </is>
      </c>
      <c r="E400" s="3" t="n">
        <v>60730120</v>
      </c>
      <c r="F400" s="3" t="n">
        <v>5704</v>
      </c>
      <c r="G400" s="3">
        <f>IFERROR(E400/F400,0)</f>
        <v/>
      </c>
      <c r="H400" s="3" t="n">
        <v>299</v>
      </c>
      <c r="I400" s="2" t="n">
        <v>62</v>
      </c>
      <c r="J400" s="3">
        <f>IFERROR(E400/H400,0)</f>
        <v/>
      </c>
      <c r="K400" s="10">
        <f>E400/'По разделам'!$B$21</f>
        <v/>
      </c>
      <c r="L400" s="4">
        <f>L399+K400</f>
        <v/>
      </c>
      <c r="M400" s="2" t="inlineStr">
        <is>
          <t>00727</t>
        </is>
      </c>
      <c r="N400" s="2" t="inlineStr">
        <is>
          <t>https://app.redstat.kz/niche/00727?event_date=2026-08-01</t>
        </is>
      </c>
      <c r="O400" s="2" t="inlineStr">
        <is>
          <t>https://kaspi.kz/shop/c/electric%20toothbrushes/</t>
        </is>
      </c>
    </row>
    <row r="401">
      <c r="A401" s="2" t="n">
        <v>400</v>
      </c>
      <c r="B401" s="2" t="inlineStr">
        <is>
          <t>Интерактивные панели</t>
        </is>
      </c>
      <c r="C401" s="2" t="inlineStr">
        <is>
          <t>ТВ, Аудио, Видео</t>
        </is>
      </c>
      <c r="D401" s="2" t="inlineStr">
        <is>
          <t>ТВ, Аудио, Видео → Видеотехника → Интерактивные панели</t>
        </is>
      </c>
      <c r="E401" s="3" t="n">
        <v>60684721</v>
      </c>
      <c r="F401" s="3" t="n">
        <v>132</v>
      </c>
      <c r="G401" s="3">
        <f>IFERROR(E401/F401,0)</f>
        <v/>
      </c>
      <c r="H401" s="3" t="n">
        <v>35</v>
      </c>
      <c r="I401" s="2" t="n">
        <v>18</v>
      </c>
      <c r="J401" s="3">
        <f>IFERROR(E401/H401,0)</f>
        <v/>
      </c>
      <c r="K401" s="10">
        <f>E401/'По разделам'!$B$21</f>
        <v/>
      </c>
      <c r="L401" s="4">
        <f>L400+K401</f>
        <v/>
      </c>
      <c r="M401" s="2" t="inlineStr">
        <is>
          <t>06216</t>
        </is>
      </c>
      <c r="N401" s="2" t="inlineStr">
        <is>
          <t>https://app.redstat.kz/niche/06216?event_date=2026-08-01</t>
        </is>
      </c>
      <c r="O401" s="2" t="inlineStr">
        <is>
          <t>https://kaspi.kz/shop/c/interactive%20panels/</t>
        </is>
      </c>
    </row>
    <row r="402">
      <c r="A402" s="2" t="n">
        <v>401</v>
      </c>
      <c r="B402" s="2" t="inlineStr">
        <is>
          <t>Настенно-потолочные светильники</t>
        </is>
      </c>
      <c r="C402" s="2" t="inlineStr">
        <is>
          <t>Товары для дома и дачи</t>
        </is>
      </c>
      <c r="D402" s="2" t="inlineStr">
        <is>
          <t>Товары для дома и дачи → Освещение → Настенно-потолочные светильники</t>
        </is>
      </c>
      <c r="E402" s="3" t="n">
        <v>60609564</v>
      </c>
      <c r="F402" s="3" t="n">
        <v>9208</v>
      </c>
      <c r="G402" s="3">
        <f>IFERROR(E402/F402,0)</f>
        <v/>
      </c>
      <c r="H402" s="3" t="n">
        <v>1473</v>
      </c>
      <c r="I402" s="2" t="n">
        <v>183</v>
      </c>
      <c r="J402" s="3">
        <f>IFERROR(E402/H402,0)</f>
        <v/>
      </c>
      <c r="K402" s="10">
        <f>E402/'По разделам'!$B$21</f>
        <v/>
      </c>
      <c r="L402" s="4">
        <f>L401+K402</f>
        <v/>
      </c>
      <c r="M402" s="2" t="inlineStr">
        <is>
          <t>00696</t>
        </is>
      </c>
      <c r="N402" s="2" t="inlineStr">
        <is>
          <t>https://app.redstat.kz/niche/00696?event_date=2026-08-01</t>
        </is>
      </c>
      <c r="O402" s="2" t="inlineStr">
        <is>
          <t>https://kaspi.kz/shop/c/ceiling%20lights/</t>
        </is>
      </c>
    </row>
    <row r="403">
      <c r="A403" s="2" t="n">
        <v>402</v>
      </c>
      <c r="B403" s="2" t="inlineStr">
        <is>
          <t>Стедикамы</t>
        </is>
      </c>
      <c r="C403" s="2" t="inlineStr">
        <is>
          <t>ТВ, Аудио, Видео</t>
        </is>
      </c>
      <c r="D403" s="2" t="inlineStr">
        <is>
          <t>ТВ, Аудио, Видео → Фото- и видеокамеры → Стедикамы</t>
        </is>
      </c>
      <c r="E403" s="3" t="n">
        <v>60470939</v>
      </c>
      <c r="F403" s="3" t="n">
        <v>644</v>
      </c>
      <c r="G403" s="3">
        <f>IFERROR(E403/F403,0)</f>
        <v/>
      </c>
      <c r="H403" s="3" t="n">
        <v>55</v>
      </c>
      <c r="I403" s="2" t="n">
        <v>12</v>
      </c>
      <c r="J403" s="3">
        <f>IFERROR(E403/H403,0)</f>
        <v/>
      </c>
      <c r="K403" s="10">
        <f>E403/'По разделам'!$B$21</f>
        <v/>
      </c>
      <c r="L403" s="4">
        <f>L402+K403</f>
        <v/>
      </c>
      <c r="M403" s="2" t="inlineStr">
        <is>
          <t>05275</t>
        </is>
      </c>
      <c r="N403" s="2" t="inlineStr">
        <is>
          <t>https://app.redstat.kz/niche/05275?event_date=2026-08-01</t>
        </is>
      </c>
      <c r="O403" s="2" t="inlineStr">
        <is>
          <t>https://kaspi.kz/shop/c/camera%20stabilizers/</t>
        </is>
      </c>
    </row>
    <row r="404">
      <c r="A404" s="2" t="n">
        <v>403</v>
      </c>
      <c r="B404" s="2" t="inlineStr">
        <is>
          <t>Воск для депиляции</t>
        </is>
      </c>
      <c r="C404" s="2" t="inlineStr">
        <is>
          <t>Красота и здоровье</t>
        </is>
      </c>
      <c r="D404" s="2" t="inlineStr">
        <is>
          <t>Красота и здоровье → Депиляция и эпиляция → Воск для депиляции</t>
        </is>
      </c>
      <c r="E404" s="3" t="n">
        <v>60378502</v>
      </c>
      <c r="F404" s="3" t="n">
        <v>21864</v>
      </c>
      <c r="G404" s="3">
        <f>IFERROR(E404/F404,0)</f>
        <v/>
      </c>
      <c r="H404" s="3" t="n">
        <v>446</v>
      </c>
      <c r="I404" s="2" t="n">
        <v>41</v>
      </c>
      <c r="J404" s="3">
        <f>IFERROR(E404/H404,0)</f>
        <v/>
      </c>
      <c r="K404" s="10">
        <f>E404/'По разделам'!$B$21</f>
        <v/>
      </c>
      <c r="L404" s="4">
        <f>L403+K404</f>
        <v/>
      </c>
      <c r="M404" s="2" t="inlineStr">
        <is>
          <t>01605</t>
        </is>
      </c>
      <c r="N404" s="2" t="inlineStr">
        <is>
          <t>https://app.redstat.kz/niche/01605?event_date=2026-08-01</t>
        </is>
      </c>
      <c r="O404" s="2" t="inlineStr">
        <is>
          <t>https://kaspi.kz/shop/c/hair%20removal%20wax/</t>
        </is>
      </c>
    </row>
    <row r="405">
      <c r="A405" s="2" t="n">
        <v>404</v>
      </c>
      <c r="B405" s="2" t="inlineStr">
        <is>
          <t>Товары для шитья и вышивания</t>
        </is>
      </c>
      <c r="C405" s="2" t="inlineStr">
        <is>
          <t>Досуг, книги</t>
        </is>
      </c>
      <c r="D405" s="2" t="inlineStr">
        <is>
          <t>Досуг, книги → Хобби и творчество → Товары для шитья и вышивания → Товары для шитья и вышивания</t>
        </is>
      </c>
      <c r="E405" s="3" t="n">
        <v>59711703</v>
      </c>
      <c r="F405" s="3" t="n">
        <v>21456</v>
      </c>
      <c r="G405" s="3">
        <f>IFERROR(E405/F405,0)</f>
        <v/>
      </c>
      <c r="H405" s="3" t="n">
        <v>4178</v>
      </c>
      <c r="I405" s="2" t="n">
        <v>265</v>
      </c>
      <c r="J405" s="3">
        <f>IFERROR(E405/H405,0)</f>
        <v/>
      </c>
      <c r="K405" s="10">
        <f>E405/'По разделам'!$B$21</f>
        <v/>
      </c>
      <c r="L405" s="4">
        <f>L404+K405</f>
        <v/>
      </c>
      <c r="M405" s="2" t="inlineStr">
        <is>
          <t>q082166ea90316cd</t>
        </is>
      </c>
      <c r="N405" s="2" t="inlineStr">
        <is>
          <t>https://app.redstat.kz/niche/q082166ea90316cd?event_date=2026-08-01</t>
        </is>
      </c>
      <c r="O405" s="2" t="inlineStr"/>
    </row>
    <row r="406">
      <c r="A406" s="2" t="n">
        <v>405</v>
      </c>
      <c r="B406" s="2" t="inlineStr">
        <is>
          <t>Снаряжение для рыбалки</t>
        </is>
      </c>
      <c r="C406" s="2" t="inlineStr">
        <is>
          <t>Спорт, туризм</t>
        </is>
      </c>
      <c r="D406" s="2" t="inlineStr">
        <is>
          <t>Спорт, туризм → Товары для рыбалки → Снаряжение для рыбалки → Снаряжение для рыбалки</t>
        </is>
      </c>
      <c r="E406" s="3" t="n">
        <v>59364629</v>
      </c>
      <c r="F406" s="3" t="n">
        <v>8597</v>
      </c>
      <c r="G406" s="3">
        <f>IFERROR(E406/F406,0)</f>
        <v/>
      </c>
      <c r="H406" s="3" t="n">
        <v>1283</v>
      </c>
      <c r="I406" s="2" t="n">
        <v>189</v>
      </c>
      <c r="J406" s="3">
        <f>IFERROR(E406/H406,0)</f>
        <v/>
      </c>
      <c r="K406" s="10">
        <f>E406/'По разделам'!$B$21</f>
        <v/>
      </c>
      <c r="L406" s="4">
        <f>L405+K406</f>
        <v/>
      </c>
      <c r="M406" s="2" t="inlineStr">
        <is>
          <t>q0020acf47410938</t>
        </is>
      </c>
      <c r="N406" s="2" t="inlineStr">
        <is>
          <t>https://app.redstat.kz/niche/q0020acf47410938?event_date=2026-08-01</t>
        </is>
      </c>
      <c r="O406" s="2" t="inlineStr"/>
    </row>
    <row r="407">
      <c r="A407" s="2" t="n">
        <v>406</v>
      </c>
      <c r="B407" s="2" t="inlineStr">
        <is>
          <t>Рулевое управление</t>
        </is>
      </c>
      <c r="C407" s="2" t="inlineStr">
        <is>
          <t>Автотовары</t>
        </is>
      </c>
      <c r="D407" s="2" t="inlineStr">
        <is>
          <t>Автотовары → Автозапчасти → Рулевое управление → Рулевое управление</t>
        </is>
      </c>
      <c r="E407" s="3" t="n">
        <v>59149840</v>
      </c>
      <c r="F407" s="3" t="n">
        <v>1253</v>
      </c>
      <c r="G407" s="3">
        <f>IFERROR(E407/F407,0)</f>
        <v/>
      </c>
      <c r="H407" s="3" t="n">
        <v>757</v>
      </c>
      <c r="I407" s="2" t="n">
        <v>153</v>
      </c>
      <c r="J407" s="3">
        <f>IFERROR(E407/H407,0)</f>
        <v/>
      </c>
      <c r="K407" s="10">
        <f>E407/'По разделам'!$B$21</f>
        <v/>
      </c>
      <c r="L407" s="4">
        <f>L406+K407</f>
        <v/>
      </c>
      <c r="M407" s="2" t="inlineStr">
        <is>
          <t>qcebadc0794fd8b6</t>
        </is>
      </c>
      <c r="N407" s="2" t="inlineStr">
        <is>
          <t>https://app.redstat.kz/niche/qcebadc0794fd8b6?event_date=2026-08-01</t>
        </is>
      </c>
      <c r="O407" s="2" t="inlineStr"/>
    </row>
    <row r="408">
      <c r="A408" s="2" t="n">
        <v>407</v>
      </c>
      <c r="B408" s="2" t="inlineStr">
        <is>
          <t>Материнские платы</t>
        </is>
      </c>
      <c r="C408" s="2" t="inlineStr">
        <is>
          <t>Компьютеры</t>
        </is>
      </c>
      <c r="D408" s="2" t="inlineStr">
        <is>
          <t>Компьютеры → Комплектующие → Материнские платы</t>
        </is>
      </c>
      <c r="E408" s="3" t="n">
        <v>58911419</v>
      </c>
      <c r="F408" s="3" t="n">
        <v>722</v>
      </c>
      <c r="G408" s="3">
        <f>IFERROR(E408/F408,0)</f>
        <v/>
      </c>
      <c r="H408" s="3" t="n">
        <v>224</v>
      </c>
      <c r="I408" s="2" t="n">
        <v>15</v>
      </c>
      <c r="J408" s="3">
        <f>IFERROR(E408/H408,0)</f>
        <v/>
      </c>
      <c r="K408" s="10">
        <f>E408/'По разделам'!$B$21</f>
        <v/>
      </c>
      <c r="L408" s="4">
        <f>L407+K408</f>
        <v/>
      </c>
      <c r="M408" s="2" t="inlineStr">
        <is>
          <t>00065</t>
        </is>
      </c>
      <c r="N408" s="2" t="inlineStr">
        <is>
          <t>https://app.redstat.kz/niche/00065?event_date=2026-08-01</t>
        </is>
      </c>
      <c r="O408" s="2" t="inlineStr">
        <is>
          <t>https://kaspi.kz/shop/c/motherboards/</t>
        </is>
      </c>
    </row>
    <row r="409">
      <c r="A409" s="2" t="n">
        <v>408</v>
      </c>
      <c r="B409" s="2" t="inlineStr">
        <is>
          <t>Мужские туфли</t>
        </is>
      </c>
      <c r="C409" s="2" t="inlineStr">
        <is>
          <t>Обувь</t>
        </is>
      </c>
      <c r="D409" s="2" t="inlineStr">
        <is>
          <t>Обувь → Мужская обувь → Мужские туфли</t>
        </is>
      </c>
      <c r="E409" s="3" t="n">
        <v>58379420</v>
      </c>
      <c r="F409" s="3" t="n">
        <v>2011</v>
      </c>
      <c r="G409" s="3">
        <f>IFERROR(E409/F409,0)</f>
        <v/>
      </c>
      <c r="H409" s="3" t="n">
        <v>1333</v>
      </c>
      <c r="I409" s="2" t="n">
        <v>187</v>
      </c>
      <c r="J409" s="3">
        <f>IFERROR(E409/H409,0)</f>
        <v/>
      </c>
      <c r="K409" s="10">
        <f>E409/'По разделам'!$B$21</f>
        <v/>
      </c>
      <c r="L409" s="4">
        <f>L408+K409</f>
        <v/>
      </c>
      <c r="M409" s="2" t="inlineStr">
        <is>
          <t>00802</t>
        </is>
      </c>
      <c r="N409" s="2" t="inlineStr">
        <is>
          <t>https://app.redstat.kz/niche/00802?event_date=2026-08-01</t>
        </is>
      </c>
      <c r="O409" s="2" t="inlineStr">
        <is>
          <t>https://kaspi.kz/shop/c/men%20dress%20shoes/</t>
        </is>
      </c>
    </row>
    <row r="410">
      <c r="A410" s="2" t="n">
        <v>409</v>
      </c>
      <c r="B410" s="2" t="inlineStr">
        <is>
          <t>Контур для глаз</t>
        </is>
      </c>
      <c r="C410" s="2" t="inlineStr">
        <is>
          <t>Красота и здоровье</t>
        </is>
      </c>
      <c r="D410" s="2" t="inlineStr">
        <is>
          <t>Красота и здоровье → Декоративная косметика → Контур для глаз</t>
        </is>
      </c>
      <c r="E410" s="3" t="n">
        <v>58276681</v>
      </c>
      <c r="F410" s="3" t="n">
        <v>50388</v>
      </c>
      <c r="G410" s="3">
        <f>IFERROR(E410/F410,0)</f>
        <v/>
      </c>
      <c r="H410" s="3" t="n">
        <v>938</v>
      </c>
      <c r="I410" s="2" t="n">
        <v>191</v>
      </c>
      <c r="J410" s="3">
        <f>IFERROR(E410/H410,0)</f>
        <v/>
      </c>
      <c r="K410" s="10">
        <f>E410/'По разделам'!$B$21</f>
        <v/>
      </c>
      <c r="L410" s="4">
        <f>L409+K410</f>
        <v/>
      </c>
      <c r="M410" s="2" t="inlineStr">
        <is>
          <t>00963</t>
        </is>
      </c>
      <c r="N410" s="2" t="inlineStr">
        <is>
          <t>https://app.redstat.kz/niche/00963?event_date=2026-08-01</t>
        </is>
      </c>
      <c r="O410" s="2" t="inlineStr">
        <is>
          <t>https://kaspi.kz/shop/c/eyeliners/</t>
        </is>
      </c>
    </row>
    <row r="411">
      <c r="A411" s="2" t="n">
        <v>410</v>
      </c>
      <c r="B411" s="2" t="inlineStr">
        <is>
          <t>Роликовые кроссовки</t>
        </is>
      </c>
      <c r="C411" s="2" t="inlineStr">
        <is>
          <t>Спорт, туризм</t>
        </is>
      </c>
      <c r="D411" s="2" t="inlineStr">
        <is>
          <t>Спорт, туризм → Роликовые коньки и лыжероллеры → Роликовые кроссовки</t>
        </is>
      </c>
      <c r="E411" s="3" t="n">
        <v>57994346</v>
      </c>
      <c r="F411" s="3" t="n">
        <v>4058</v>
      </c>
      <c r="G411" s="3">
        <f>IFERROR(E411/F411,0)</f>
        <v/>
      </c>
      <c r="H411" s="3" t="n">
        <v>759</v>
      </c>
      <c r="I411" s="2" t="n">
        <v>22</v>
      </c>
      <c r="J411" s="3">
        <f>IFERROR(E411/H411,0)</f>
        <v/>
      </c>
      <c r="K411" s="10">
        <f>E411/'По разделам'!$B$21</f>
        <v/>
      </c>
      <c r="L411" s="4">
        <f>L410+K411</f>
        <v/>
      </c>
      <c r="M411" s="2" t="inlineStr">
        <is>
          <t>07008</t>
        </is>
      </c>
      <c r="N411" s="2" t="inlineStr">
        <is>
          <t>https://app.redstat.kz/niche/07008?event_date=2026-08-01</t>
        </is>
      </c>
      <c r="O411" s="2" t="inlineStr">
        <is>
          <t>https://kaspi.kz/shop/c/roller%20shoes/</t>
        </is>
      </c>
    </row>
    <row r="412">
      <c r="A412" s="2" t="n">
        <v>411</v>
      </c>
      <c r="B412" s="2" t="inlineStr">
        <is>
          <t>Шиномонтажное оборудование</t>
        </is>
      </c>
      <c r="C412" s="2" t="inlineStr">
        <is>
          <t>Автотовары</t>
        </is>
      </c>
      <c r="D412" s="2" t="inlineStr">
        <is>
          <t>Автотовары → Автосервисное оборудование → Шиномонтажное оборудование → Шиномонтажное оборудование</t>
        </is>
      </c>
      <c r="E412" s="3" t="n">
        <v>57829085</v>
      </c>
      <c r="F412" s="3" t="n">
        <v>1656</v>
      </c>
      <c r="G412" s="3">
        <f>IFERROR(E412/F412,0)</f>
        <v/>
      </c>
      <c r="H412" s="3" t="n">
        <v>69</v>
      </c>
      <c r="I412" s="2" t="n">
        <v>21</v>
      </c>
      <c r="J412" s="3">
        <f>IFERROR(E412/H412,0)</f>
        <v/>
      </c>
      <c r="K412" s="10">
        <f>E412/'По разделам'!$B$21</f>
        <v/>
      </c>
      <c r="L412" s="4">
        <f>L411+K412</f>
        <v/>
      </c>
      <c r="M412" s="2" t="inlineStr">
        <is>
          <t>qe000cdf392b0c87</t>
        </is>
      </c>
      <c r="N412" s="2" t="inlineStr">
        <is>
          <t>https://app.redstat.kz/niche/qe000cdf392b0c87?event_date=2026-08-01</t>
        </is>
      </c>
      <c r="O412" s="2" t="inlineStr"/>
    </row>
    <row r="413">
      <c r="A413" s="2" t="n">
        <v>412</v>
      </c>
      <c r="B413" s="2" t="inlineStr">
        <is>
          <t>Нижнее белье для девочек</t>
        </is>
      </c>
      <c r="C413" s="2" t="inlineStr">
        <is>
          <t>Одежда</t>
        </is>
      </c>
      <c r="D413" s="2" t="inlineStr">
        <is>
          <t>Одежда → Девочкам → Нижнее белье для девочек → Нижнее белье для девочек</t>
        </is>
      </c>
      <c r="E413" s="3" t="n">
        <v>57767602</v>
      </c>
      <c r="F413" s="3" t="n">
        <v>37084</v>
      </c>
      <c r="G413" s="3">
        <f>IFERROR(E413/F413,0)</f>
        <v/>
      </c>
      <c r="H413" s="3" t="n">
        <v>3265</v>
      </c>
      <c r="I413" s="2" t="n">
        <v>216</v>
      </c>
      <c r="J413" s="3">
        <f>IFERROR(E413/H413,0)</f>
        <v/>
      </c>
      <c r="K413" s="10">
        <f>E413/'По разделам'!$B$21</f>
        <v/>
      </c>
      <c r="L413" s="4">
        <f>L412+K413</f>
        <v/>
      </c>
      <c r="M413" s="2" t="inlineStr">
        <is>
          <t>q824acee2482cce8</t>
        </is>
      </c>
      <c r="N413" s="2" t="inlineStr">
        <is>
          <t>https://app.redstat.kz/niche/q824acee2482cce8?event_date=2026-08-01</t>
        </is>
      </c>
      <c r="O413" s="2" t="inlineStr"/>
    </row>
    <row r="414">
      <c r="A414" s="2" t="n">
        <v>413</v>
      </c>
      <c r="B414" s="2" t="inlineStr">
        <is>
          <t>Мужская спортивная обувь</t>
        </is>
      </c>
      <c r="C414" s="2" t="inlineStr">
        <is>
          <t>Обувь</t>
        </is>
      </c>
      <c r="D414" s="2" t="inlineStr">
        <is>
          <t>Обувь → Мужская обувь → Мужская спортивная обувь</t>
        </is>
      </c>
      <c r="E414" s="3" t="n">
        <v>57251115</v>
      </c>
      <c r="F414" s="3" t="n">
        <v>2143</v>
      </c>
      <c r="G414" s="3">
        <f>IFERROR(E414/F414,0)</f>
        <v/>
      </c>
      <c r="H414" s="3" t="n">
        <v>1434</v>
      </c>
      <c r="I414" s="2" t="n">
        <v>52</v>
      </c>
      <c r="J414" s="3">
        <f>IFERROR(E414/H414,0)</f>
        <v/>
      </c>
      <c r="K414" s="10">
        <f>E414/'По разделам'!$B$21</f>
        <v/>
      </c>
      <c r="L414" s="4">
        <f>L413+K414</f>
        <v/>
      </c>
      <c r="M414" s="2" t="inlineStr">
        <is>
          <t>03601</t>
        </is>
      </c>
      <c r="N414" s="2" t="inlineStr">
        <is>
          <t>https://app.redstat.kz/niche/03601?event_date=2026-08-01</t>
        </is>
      </c>
      <c r="O414" s="2" t="inlineStr">
        <is>
          <t>https://kaspi.kz/shop/c/men%20athletic%20shoes/</t>
        </is>
      </c>
    </row>
    <row r="415">
      <c r="A415" s="2" t="n">
        <v>414</v>
      </c>
      <c r="B415" s="2" t="inlineStr">
        <is>
          <t>Очищающие и укрепляющие средства для бровей и ресниц</t>
        </is>
      </c>
      <c r="C415" s="2" t="inlineStr">
        <is>
          <t>Красота и здоровье</t>
        </is>
      </c>
      <c r="D415" s="2" t="inlineStr">
        <is>
          <t>Красота и здоровье → Косметика и аксессуары для бровей и ресниц → Очищающие и укрепляющие средства для бровей и ресниц</t>
        </is>
      </c>
      <c r="E415" s="3" t="n">
        <v>57247364</v>
      </c>
      <c r="F415" s="3" t="n">
        <v>7823</v>
      </c>
      <c r="G415" s="3">
        <f>IFERROR(E415/F415,0)</f>
        <v/>
      </c>
      <c r="H415" s="3" t="n">
        <v>169</v>
      </c>
      <c r="I415" s="2" t="n">
        <v>97</v>
      </c>
      <c r="J415" s="3">
        <f>IFERROR(E415/H415,0)</f>
        <v/>
      </c>
      <c r="K415" s="10">
        <f>E415/'По разделам'!$B$21</f>
        <v/>
      </c>
      <c r="L415" s="4">
        <f>L414+K415</f>
        <v/>
      </c>
      <c r="M415" s="2" t="inlineStr">
        <is>
          <t>07012</t>
        </is>
      </c>
      <c r="N415" s="2" t="inlineStr">
        <is>
          <t>https://app.redstat.kz/niche/07012?event_date=2026-08-01</t>
        </is>
      </c>
      <c r="O415" s="2" t="inlineStr">
        <is>
          <t>https://kaspi.kz/shop/c/care%20and%20cleansing%20products/</t>
        </is>
      </c>
    </row>
    <row r="416">
      <c r="A416" s="2" t="n">
        <v>415</v>
      </c>
      <c r="B416" s="2" t="inlineStr">
        <is>
          <t>Базовое и верхнее покрытие, гель-лаки</t>
        </is>
      </c>
      <c r="C416" s="2" t="inlineStr">
        <is>
          <t>Красота и здоровье</t>
        </is>
      </c>
      <c r="D416" s="2" t="inlineStr">
        <is>
          <t>Красота и здоровье → Для маникюра и педикюра → Базовое и верхнее покрытие, гель-лаки</t>
        </is>
      </c>
      <c r="E416" s="3" t="n">
        <v>56666562</v>
      </c>
      <c r="F416" s="3" t="n">
        <v>14585</v>
      </c>
      <c r="G416" s="3">
        <f>IFERROR(E416/F416,0)</f>
        <v/>
      </c>
      <c r="H416" s="3" t="n">
        <v>2043</v>
      </c>
      <c r="I416" s="2" t="n">
        <v>128</v>
      </c>
      <c r="J416" s="3">
        <f>IFERROR(E416/H416,0)</f>
        <v/>
      </c>
      <c r="K416" s="10">
        <f>E416/'По разделам'!$B$21</f>
        <v/>
      </c>
      <c r="L416" s="4">
        <f>L415+K416</f>
        <v/>
      </c>
      <c r="M416" s="2" t="inlineStr">
        <is>
          <t>01116</t>
        </is>
      </c>
      <c r="N416" s="2" t="inlineStr">
        <is>
          <t>https://app.redstat.kz/niche/01116?event_date=2026-08-01</t>
        </is>
      </c>
      <c r="O416" s="2" t="inlineStr">
        <is>
          <t>https://kaspi.kz/shop/c/gel%20nail%20polish/</t>
        </is>
      </c>
    </row>
    <row r="417">
      <c r="A417" s="2" t="n">
        <v>416</v>
      </c>
      <c r="B417" s="2" t="inlineStr">
        <is>
          <t>Фотокамеры моментальной печати</t>
        </is>
      </c>
      <c r="C417" s="2" t="inlineStr">
        <is>
          <t>ТВ, Аудио, Видео</t>
        </is>
      </c>
      <c r="D417" s="2" t="inlineStr">
        <is>
          <t>ТВ, Аудио, Видео → Фото- и видеокамеры → Фотокамеры моментальной печати</t>
        </is>
      </c>
      <c r="E417" s="3" t="n">
        <v>56596170</v>
      </c>
      <c r="F417" s="3" t="n">
        <v>784</v>
      </c>
      <c r="G417" s="3">
        <f>IFERROR(E417/F417,0)</f>
        <v/>
      </c>
      <c r="H417" s="3" t="n">
        <v>84</v>
      </c>
      <c r="I417" s="2" t="n">
        <v>9</v>
      </c>
      <c r="J417" s="3">
        <f>IFERROR(E417/H417,0)</f>
        <v/>
      </c>
      <c r="K417" s="10">
        <f>E417/'По разделам'!$B$21</f>
        <v/>
      </c>
      <c r="L417" s="4">
        <f>L416+K417</f>
        <v/>
      </c>
      <c r="M417" s="2" t="inlineStr">
        <is>
          <t>00822</t>
        </is>
      </c>
      <c r="N417" s="2" t="inlineStr">
        <is>
          <t>https://app.redstat.kz/niche/00822?event_date=2026-08-01</t>
        </is>
      </c>
      <c r="O417" s="2" t="inlineStr">
        <is>
          <t>https://kaspi.kz/shop/c/instant%20cameras/</t>
        </is>
      </c>
    </row>
    <row r="418">
      <c r="A418" s="2" t="n">
        <v>417</v>
      </c>
      <c r="B418" s="2" t="inlineStr">
        <is>
          <t>Автоприцепы</t>
        </is>
      </c>
      <c r="C418" s="2" t="inlineStr">
        <is>
          <t>Автотовары</t>
        </is>
      </c>
      <c r="D418" s="2" t="inlineStr">
        <is>
          <t>Автотовары → Спецтехника → Автоприцепы</t>
        </is>
      </c>
      <c r="E418" s="3" t="n">
        <v>56491320</v>
      </c>
      <c r="F418" s="3" t="n">
        <v>79</v>
      </c>
      <c r="G418" s="3">
        <f>IFERROR(E418/F418,0)</f>
        <v/>
      </c>
      <c r="H418" s="3" t="n">
        <v>60</v>
      </c>
      <c r="I418" s="2" t="n">
        <v>12</v>
      </c>
      <c r="J418" s="3">
        <f>IFERROR(E418/H418,0)</f>
        <v/>
      </c>
      <c r="K418" s="10">
        <f>E418/'По разделам'!$B$21</f>
        <v/>
      </c>
      <c r="L418" s="4">
        <f>L417+K418</f>
        <v/>
      </c>
      <c r="M418" s="2" t="inlineStr">
        <is>
          <t>04392</t>
        </is>
      </c>
      <c r="N418" s="2" t="inlineStr">
        <is>
          <t>https://app.redstat.kz/niche/04392?event_date=2026-08-01</t>
        </is>
      </c>
      <c r="O418" s="2" t="inlineStr">
        <is>
          <t>https://kaspi.kz/shop/c/car%20trailers/</t>
        </is>
      </c>
    </row>
    <row r="419">
      <c r="A419" s="2" t="n">
        <v>418</v>
      </c>
      <c r="B419" s="2" t="inlineStr">
        <is>
          <t>Женские толстовки и свитшоты</t>
        </is>
      </c>
      <c r="C419" s="2" t="inlineStr">
        <is>
          <t>Одежда</t>
        </is>
      </c>
      <c r="D419" s="2" t="inlineStr">
        <is>
          <t>Одежда → Женщинам → Женские толстовки и свитшоты</t>
        </is>
      </c>
      <c r="E419" s="3" t="n">
        <v>56325122</v>
      </c>
      <c r="F419" s="3" t="n">
        <v>6699</v>
      </c>
      <c r="G419" s="3">
        <f>IFERROR(E419/F419,0)</f>
        <v/>
      </c>
      <c r="H419" s="3" t="n">
        <v>1643</v>
      </c>
      <c r="I419" s="2" t="n">
        <v>163</v>
      </c>
      <c r="J419" s="3">
        <f>IFERROR(E419/H419,0)</f>
        <v/>
      </c>
      <c r="K419" s="10">
        <f>E419/'По разделам'!$B$21</f>
        <v/>
      </c>
      <c r="L419" s="4">
        <f>L418+K419</f>
        <v/>
      </c>
      <c r="M419" s="2" t="inlineStr">
        <is>
          <t>01327</t>
        </is>
      </c>
      <c r="N419" s="2" t="inlineStr">
        <is>
          <t>https://app.redstat.kz/niche/01327?event_date=2026-08-01</t>
        </is>
      </c>
      <c r="O419" s="2" t="inlineStr">
        <is>
          <t>https://kaspi.kz/shop/c/women%20hoodies/</t>
        </is>
      </c>
    </row>
    <row r="420">
      <c r="A420" s="2" t="n">
        <v>419</v>
      </c>
      <c r="B420" s="2" t="inlineStr">
        <is>
          <t>Составы для выпрямления и завивки волос</t>
        </is>
      </c>
      <c r="C420" s="2" t="inlineStr">
        <is>
          <t>Красота и здоровье</t>
        </is>
      </c>
      <c r="D420" s="2" t="inlineStr">
        <is>
          <t>Красота и здоровье → Уход за волосами → Составы для выпрямления и завивки волос</t>
        </is>
      </c>
      <c r="E420" s="3" t="n">
        <v>56038737</v>
      </c>
      <c r="F420" s="3" t="n">
        <v>2816</v>
      </c>
      <c r="G420" s="3">
        <f>IFERROR(E420/F420,0)</f>
        <v/>
      </c>
      <c r="H420" s="3" t="n">
        <v>389</v>
      </c>
      <c r="I420" s="2" t="n">
        <v>105</v>
      </c>
      <c r="J420" s="3">
        <f>IFERROR(E420/H420,0)</f>
        <v/>
      </c>
      <c r="K420" s="10">
        <f>E420/'По разделам'!$B$21</f>
        <v/>
      </c>
      <c r="L420" s="4">
        <f>L419+K420</f>
        <v/>
      </c>
      <c r="M420" s="2" t="inlineStr">
        <is>
          <t>06716</t>
        </is>
      </c>
      <c r="N420" s="2" t="inlineStr">
        <is>
          <t>https://app.redstat.kz/niche/06716?event_date=2026-08-01</t>
        </is>
      </c>
      <c r="O420" s="2" t="inlineStr">
        <is>
          <t>https://kaspi.kz/shop/c/compositions%20for%20straightening/</t>
        </is>
      </c>
    </row>
    <row r="421">
      <c r="A421" s="2" t="n">
        <v>420</v>
      </c>
      <c r="B421" s="2" t="inlineStr">
        <is>
          <t>Оборудование для аппаратной косметологии</t>
        </is>
      </c>
      <c r="C421" s="2" t="inlineStr">
        <is>
          <t>Красота и здоровье</t>
        </is>
      </c>
      <c r="D421" s="2" t="inlineStr">
        <is>
          <t>Красота и здоровье → Техника и оборудование для красоты → Оборудование для аппаратной косметологии</t>
        </is>
      </c>
      <c r="E421" s="3" t="n">
        <v>55467391</v>
      </c>
      <c r="F421" s="3" t="n">
        <v>648</v>
      </c>
      <c r="G421" s="3">
        <f>IFERROR(E421/F421,0)</f>
        <v/>
      </c>
      <c r="H421" s="3" t="n">
        <v>134</v>
      </c>
      <c r="I421" s="2" t="n">
        <v>44</v>
      </c>
      <c r="J421" s="3">
        <f>IFERROR(E421/H421,0)</f>
        <v/>
      </c>
      <c r="K421" s="10">
        <f>E421/'По разделам'!$B$21</f>
        <v/>
      </c>
      <c r="L421" s="4">
        <f>L420+K421</f>
        <v/>
      </c>
      <c r="M421" s="2" t="inlineStr">
        <is>
          <t>04129</t>
        </is>
      </c>
      <c r="N421" s="2" t="inlineStr">
        <is>
          <t>https://app.redstat.kz/niche/04129?event_date=2026-08-01</t>
        </is>
      </c>
      <c r="O421" s="2" t="inlineStr">
        <is>
          <t>https://kaspi.kz/shop/c/hardware%20cosmetology/</t>
        </is>
      </c>
    </row>
    <row r="422">
      <c r="A422" s="2" t="n">
        <v>421</v>
      </c>
      <c r="B422" s="2" t="inlineStr">
        <is>
          <t>Часы и метеостанции</t>
        </is>
      </c>
      <c r="C422" s="2" t="inlineStr">
        <is>
          <t>Товары для дома и дачи</t>
        </is>
      </c>
      <c r="D422" s="2" t="inlineStr">
        <is>
          <t>Товары для дома и дачи → Интерьер → Часы и метеостанции → Часы и метеостанции</t>
        </is>
      </c>
      <c r="E422" s="3" t="n">
        <v>55069466</v>
      </c>
      <c r="F422" s="3" t="n">
        <v>11138</v>
      </c>
      <c r="G422" s="3">
        <f>IFERROR(E422/F422,0)</f>
        <v/>
      </c>
      <c r="H422" s="3" t="n">
        <v>1396</v>
      </c>
      <c r="I422" s="2" t="n">
        <v>209</v>
      </c>
      <c r="J422" s="3">
        <f>IFERROR(E422/H422,0)</f>
        <v/>
      </c>
      <c r="K422" s="10">
        <f>E422/'По разделам'!$B$21</f>
        <v/>
      </c>
      <c r="L422" s="4">
        <f>L421+K422</f>
        <v/>
      </c>
      <c r="M422" s="2" t="inlineStr">
        <is>
          <t>q4ab0b49dac37599</t>
        </is>
      </c>
      <c r="N422" s="2" t="inlineStr">
        <is>
          <t>https://app.redstat.kz/niche/q4ab0b49dac37599?event_date=2026-08-01</t>
        </is>
      </c>
      <c r="O422" s="2" t="inlineStr"/>
    </row>
    <row r="423">
      <c r="A423" s="2" t="n">
        <v>422</v>
      </c>
      <c r="B423" s="2" t="inlineStr">
        <is>
          <t>Держатели для телефонов</t>
        </is>
      </c>
      <c r="C423" s="2" t="inlineStr">
        <is>
          <t>Телефоны и гаджеты</t>
        </is>
      </c>
      <c r="D423" s="2" t="inlineStr">
        <is>
          <t>Телефоны и гаджеты → Аксессуары для телефонов → Держатели для телефонов</t>
        </is>
      </c>
      <c r="E423" s="3" t="n">
        <v>54801780</v>
      </c>
      <c r="F423" s="3" t="n">
        <v>35535</v>
      </c>
      <c r="G423" s="3">
        <f>IFERROR(E423/F423,0)</f>
        <v/>
      </c>
      <c r="H423" s="3" t="n">
        <v>2023</v>
      </c>
      <c r="I423" s="2" t="n">
        <v>265</v>
      </c>
      <c r="J423" s="3">
        <f>IFERROR(E423/H423,0)</f>
        <v/>
      </c>
      <c r="K423" s="10">
        <f>E423/'По разделам'!$B$21</f>
        <v/>
      </c>
      <c r="L423" s="4">
        <f>L422+K423</f>
        <v/>
      </c>
      <c r="M423" s="2" t="inlineStr">
        <is>
          <t>01458</t>
        </is>
      </c>
      <c r="N423" s="2" t="inlineStr">
        <is>
          <t>https://app.redstat.kz/niche/01458?event_date=2026-08-01</t>
        </is>
      </c>
      <c r="O423" s="2" t="inlineStr">
        <is>
          <t>https://kaspi.kz/shop/c/phone%20holders/</t>
        </is>
      </c>
    </row>
    <row r="424">
      <c r="A424" s="2" t="n">
        <v>423</v>
      </c>
      <c r="B424" s="2" t="inlineStr">
        <is>
          <t>Кронштейны и подставки для ТВ</t>
        </is>
      </c>
      <c r="C424" s="2" t="inlineStr">
        <is>
          <t>ТВ, Аудио, Видео</t>
        </is>
      </c>
      <c r="D424" s="2" t="inlineStr">
        <is>
          <t>ТВ, Аудио, Видео → Видеотехника → Кронштейны и подставки для ТВ</t>
        </is>
      </c>
      <c r="E424" s="3" t="n">
        <v>54152281</v>
      </c>
      <c r="F424" s="3" t="n">
        <v>7844</v>
      </c>
      <c r="G424" s="3">
        <f>IFERROR(E424/F424,0)</f>
        <v/>
      </c>
      <c r="H424" s="3" t="n">
        <v>477</v>
      </c>
      <c r="I424" s="2" t="n">
        <v>82</v>
      </c>
      <c r="J424" s="3">
        <f>IFERROR(E424/H424,0)</f>
        <v/>
      </c>
      <c r="K424" s="10">
        <f>E424/'По разделам'!$B$21</f>
        <v/>
      </c>
      <c r="L424" s="4">
        <f>L423+K424</f>
        <v/>
      </c>
      <c r="M424" s="2" t="inlineStr">
        <is>
          <t>00657</t>
        </is>
      </c>
      <c r="N424" s="2" t="inlineStr">
        <is>
          <t>https://app.redstat.kz/niche/00657?event_date=2026-08-01</t>
        </is>
      </c>
      <c r="O424" s="2" t="inlineStr">
        <is>
          <t>https://kaspi.kz/shop/c/tv%20mounts/</t>
        </is>
      </c>
    </row>
    <row r="425">
      <c r="A425" s="2" t="n">
        <v>424</v>
      </c>
      <c r="B425" s="2" t="inlineStr">
        <is>
          <t>Тормозная система</t>
        </is>
      </c>
      <c r="C425" s="2" t="inlineStr">
        <is>
          <t>Автотовары</t>
        </is>
      </c>
      <c r="D425" s="2" t="inlineStr">
        <is>
          <t>Автотовары → Автозапчасти → Тормозная система → Тормозная система</t>
        </is>
      </c>
      <c r="E425" s="3" t="n">
        <v>53690490</v>
      </c>
      <c r="F425" s="3" t="n">
        <v>2307</v>
      </c>
      <c r="G425" s="3">
        <f>IFERROR(E425/F425,0)</f>
        <v/>
      </c>
      <c r="H425" s="3" t="n">
        <v>1420</v>
      </c>
      <c r="I425" s="2" t="n">
        <v>196</v>
      </c>
      <c r="J425" s="3">
        <f>IFERROR(E425/H425,0)</f>
        <v/>
      </c>
      <c r="K425" s="10">
        <f>E425/'По разделам'!$B$21</f>
        <v/>
      </c>
      <c r="L425" s="4">
        <f>L424+K425</f>
        <v/>
      </c>
      <c r="M425" s="2" t="inlineStr">
        <is>
          <t>qf83c33c364ba93a</t>
        </is>
      </c>
      <c r="N425" s="2" t="inlineStr">
        <is>
          <t>https://app.redstat.kz/niche/qf83c33c364ba93a?event_date=2026-08-01</t>
        </is>
      </c>
      <c r="O425" s="2" t="inlineStr"/>
    </row>
    <row r="426">
      <c r="A426" s="2" t="n">
        <v>425</v>
      </c>
      <c r="B426" s="2" t="inlineStr">
        <is>
          <t>Садовые инструменты</t>
        </is>
      </c>
      <c r="C426" s="2" t="inlineStr">
        <is>
          <t>Товары для дома и дачи</t>
        </is>
      </c>
      <c r="D426" s="2" t="inlineStr">
        <is>
          <t>Товары для дома и дачи → Дача, сад и огород → Садовые инструменты → Садовые инструменты</t>
        </is>
      </c>
      <c r="E426" s="3" t="n">
        <v>53618551</v>
      </c>
      <c r="F426" s="3" t="n">
        <v>8106</v>
      </c>
      <c r="G426" s="3">
        <f>IFERROR(E426/F426,0)</f>
        <v/>
      </c>
      <c r="H426" s="3" t="n">
        <v>1281</v>
      </c>
      <c r="I426" s="2" t="n">
        <v>251</v>
      </c>
      <c r="J426" s="3">
        <f>IFERROR(E426/H426,0)</f>
        <v/>
      </c>
      <c r="K426" s="10">
        <f>E426/'По разделам'!$B$21</f>
        <v/>
      </c>
      <c r="L426" s="4">
        <f>L425+K426</f>
        <v/>
      </c>
      <c r="M426" s="2" t="inlineStr">
        <is>
          <t>q05d5c85ee3aa537</t>
        </is>
      </c>
      <c r="N426" s="2" t="inlineStr">
        <is>
          <t>https://app.redstat.kz/niche/q05d5c85ee3aa537?event_date=2026-08-01</t>
        </is>
      </c>
      <c r="O426" s="2" t="inlineStr"/>
    </row>
    <row r="427">
      <c r="A427" s="2" t="n">
        <v>426</v>
      </c>
      <c r="B427" s="2" t="inlineStr">
        <is>
          <t>Аксессуары для крупной бытовой техники</t>
        </is>
      </c>
      <c r="C427" s="2" t="inlineStr">
        <is>
          <t>Бытовая техника</t>
        </is>
      </c>
      <c r="D427" s="2" t="inlineStr">
        <is>
          <t>Бытовая техника → Крупная техника для дома → Аксессуары для крупной бытовой техники → Аксессуары для крупной бытовой техники</t>
        </is>
      </c>
      <c r="E427" s="3" t="n">
        <v>53603303</v>
      </c>
      <c r="F427" s="3" t="n">
        <v>6619</v>
      </c>
      <c r="G427" s="3">
        <f>IFERROR(E427/F427,0)</f>
        <v/>
      </c>
      <c r="H427" s="3" t="n">
        <v>1188</v>
      </c>
      <c r="I427" s="2" t="n">
        <v>113</v>
      </c>
      <c r="J427" s="3">
        <f>IFERROR(E427/H427,0)</f>
        <v/>
      </c>
      <c r="K427" s="10">
        <f>E427/'По разделам'!$B$21</f>
        <v/>
      </c>
      <c r="L427" s="4">
        <f>L426+K427</f>
        <v/>
      </c>
      <c r="M427" s="2" t="inlineStr">
        <is>
          <t>qc2c7890eb914519</t>
        </is>
      </c>
      <c r="N427" s="2" t="inlineStr">
        <is>
          <t>https://app.redstat.kz/niche/qc2c7890eb914519?event_date=2026-08-01</t>
        </is>
      </c>
      <c r="O427" s="2" t="inlineStr"/>
    </row>
    <row r="428">
      <c r="A428" s="2" t="n">
        <v>427</v>
      </c>
      <c r="B428" s="2" t="inlineStr">
        <is>
          <t>Турники</t>
        </is>
      </c>
      <c r="C428" s="2" t="inlineStr">
        <is>
          <t>Спорт, туризм</t>
        </is>
      </c>
      <c r="D428" s="2" t="inlineStr">
        <is>
          <t>Спорт, туризм → Товары для фитнеса → Турники</t>
        </is>
      </c>
      <c r="E428" s="3" t="n">
        <v>53537689</v>
      </c>
      <c r="F428" s="3" t="n">
        <v>2905</v>
      </c>
      <c r="G428" s="3">
        <f>IFERROR(E428/F428,0)</f>
        <v/>
      </c>
      <c r="H428" s="3" t="n">
        <v>242</v>
      </c>
      <c r="I428" s="2" t="n">
        <v>59</v>
      </c>
      <c r="J428" s="3">
        <f>IFERROR(E428/H428,0)</f>
        <v/>
      </c>
      <c r="K428" s="10">
        <f>E428/'По разделам'!$B$21</f>
        <v/>
      </c>
      <c r="L428" s="4">
        <f>L427+K428</f>
        <v/>
      </c>
      <c r="M428" s="2" t="inlineStr">
        <is>
          <t>00766</t>
        </is>
      </c>
      <c r="N428" s="2" t="inlineStr">
        <is>
          <t>https://app.redstat.kz/niche/00766?event_date=2026-08-01</t>
        </is>
      </c>
      <c r="O428" s="2" t="inlineStr">
        <is>
          <t>https://kaspi.kz/shop/c/pull-up%20bars/</t>
        </is>
      </c>
    </row>
    <row r="429">
      <c r="A429" s="2" t="n">
        <v>428</v>
      </c>
      <c r="B429" s="2" t="inlineStr">
        <is>
          <t>Защитные пленки и стекла для смартфонов</t>
        </is>
      </c>
      <c r="C429" s="2" t="inlineStr">
        <is>
          <t>Телефоны и гаджеты</t>
        </is>
      </c>
      <c r="D429" s="2" t="inlineStr">
        <is>
          <t>Телефоны и гаджеты → Аксессуары для телефонов → Защитные пленки и стекла для смартфонов</t>
        </is>
      </c>
      <c r="E429" s="3" t="n">
        <v>53431305</v>
      </c>
      <c r="F429" s="3" t="n">
        <v>56779</v>
      </c>
      <c r="G429" s="3">
        <f>IFERROR(E429/F429,0)</f>
        <v/>
      </c>
      <c r="H429" s="3" t="n">
        <v>4749</v>
      </c>
      <c r="I429" s="2" t="n">
        <v>174</v>
      </c>
      <c r="J429" s="3">
        <f>IFERROR(E429/H429,0)</f>
        <v/>
      </c>
      <c r="K429" s="10">
        <f>E429/'По разделам'!$B$21</f>
        <v/>
      </c>
      <c r="L429" s="4">
        <f>L428+K429</f>
        <v/>
      </c>
      <c r="M429" s="2" t="inlineStr">
        <is>
          <t>04713</t>
        </is>
      </c>
      <c r="N429" s="2" t="inlineStr">
        <is>
          <t>https://app.redstat.kz/niche/04713?event_date=2026-08-01</t>
        </is>
      </c>
      <c r="O429" s="2" t="inlineStr">
        <is>
          <t>https://kaspi.kz/shop/c/smartphones%20screen%20protection/</t>
        </is>
      </c>
    </row>
    <row r="430">
      <c r="A430" s="2" t="n">
        <v>429</v>
      </c>
      <c r="B430" s="2" t="inlineStr">
        <is>
          <t>Женские шлепанцы</t>
        </is>
      </c>
      <c r="C430" s="2" t="inlineStr">
        <is>
          <t>Обувь</t>
        </is>
      </c>
      <c r="D430" s="2" t="inlineStr">
        <is>
          <t>Обувь → Женская обувь → Женские шлепанцы</t>
        </is>
      </c>
      <c r="E430" s="3" t="n">
        <v>52875035</v>
      </c>
      <c r="F430" s="3" t="n">
        <v>21799</v>
      </c>
      <c r="G430" s="3">
        <f>IFERROR(E430/F430,0)</f>
        <v/>
      </c>
      <c r="H430" s="3" t="n">
        <v>2060</v>
      </c>
      <c r="I430" s="2" t="n">
        <v>223</v>
      </c>
      <c r="J430" s="3">
        <f>IFERROR(E430/H430,0)</f>
        <v/>
      </c>
      <c r="K430" s="10">
        <f>E430/'По разделам'!$B$21</f>
        <v/>
      </c>
      <c r="L430" s="4">
        <f>L429+K430</f>
        <v/>
      </c>
      <c r="M430" s="2" t="inlineStr">
        <is>
          <t>01249</t>
        </is>
      </c>
      <c r="N430" s="2" t="inlineStr">
        <is>
          <t>https://app.redstat.kz/niche/01249?event_date=2026-08-01</t>
        </is>
      </c>
      <c r="O430" s="2" t="inlineStr">
        <is>
          <t>https://kaspi.kz/shop/c/women%20flip%20flops/</t>
        </is>
      </c>
    </row>
    <row r="431">
      <c r="A431" s="2" t="n">
        <v>430</v>
      </c>
      <c r="B431" s="2" t="inlineStr">
        <is>
          <t>Домофоны и аксессуары</t>
        </is>
      </c>
      <c r="C431" s="2" t="inlineStr">
        <is>
          <t>Строительство, ремонт</t>
        </is>
      </c>
      <c r="D431" s="2" t="inlineStr">
        <is>
          <t>Строительство, ремонт → Системы безопасности → Домофоны и аксессуары → Домофоны и аксессуары</t>
        </is>
      </c>
      <c r="E431" s="3" t="n">
        <v>52830260</v>
      </c>
      <c r="F431" s="3" t="n">
        <v>2578</v>
      </c>
      <c r="G431" s="3">
        <f>IFERROR(E431/F431,0)</f>
        <v/>
      </c>
      <c r="H431" s="3" t="n">
        <v>261</v>
      </c>
      <c r="I431" s="2" t="n">
        <v>57</v>
      </c>
      <c r="J431" s="3">
        <f>IFERROR(E431/H431,0)</f>
        <v/>
      </c>
      <c r="K431" s="10">
        <f>E431/'По разделам'!$B$21</f>
        <v/>
      </c>
      <c r="L431" s="4">
        <f>L430+K431</f>
        <v/>
      </c>
      <c r="M431" s="2" t="inlineStr">
        <is>
          <t>qde61be4dfcabd86</t>
        </is>
      </c>
      <c r="N431" s="2" t="inlineStr">
        <is>
          <t>https://app.redstat.kz/niche/qde61be4dfcabd86?event_date=2026-08-01</t>
        </is>
      </c>
      <c r="O431" s="2" t="inlineStr"/>
    </row>
    <row r="432">
      <c r="A432" s="2" t="n">
        <v>431</v>
      </c>
      <c r="B432" s="2" t="inlineStr">
        <is>
          <t>Защитные бортики</t>
        </is>
      </c>
      <c r="C432" s="2" t="inlineStr">
        <is>
          <t>Мебель</t>
        </is>
      </c>
      <c r="D432" s="2" t="inlineStr">
        <is>
          <t>Мебель → Фурнитура и комплектующие для мебели → Защитные бортики</t>
        </is>
      </c>
      <c r="E432" s="3" t="n">
        <v>52708054</v>
      </c>
      <c r="F432" s="3" t="n">
        <v>2473</v>
      </c>
      <c r="G432" s="3">
        <f>IFERROR(E432/F432,0)</f>
        <v/>
      </c>
      <c r="H432" s="3" t="n">
        <v>173</v>
      </c>
      <c r="I432" s="2" t="n">
        <v>31</v>
      </c>
      <c r="J432" s="3">
        <f>IFERROR(E432/H432,0)</f>
        <v/>
      </c>
      <c r="K432" s="10">
        <f>E432/'По разделам'!$B$21</f>
        <v/>
      </c>
      <c r="L432" s="4">
        <f>L431+K432</f>
        <v/>
      </c>
      <c r="M432" s="2" t="inlineStr">
        <is>
          <t>06813</t>
        </is>
      </c>
      <c r="N432" s="2" t="inlineStr">
        <is>
          <t>https://app.redstat.kz/niche/06813?event_date=2026-08-01</t>
        </is>
      </c>
      <c r="O432" s="2" t="inlineStr">
        <is>
          <t>https://kaspi.kz/shop/c/protective%20bumpers/</t>
        </is>
      </c>
    </row>
    <row r="433">
      <c r="A433" s="2" t="n">
        <v>432</v>
      </c>
      <c r="B433" s="2" t="inlineStr">
        <is>
          <t>Уход за обувью</t>
        </is>
      </c>
      <c r="C433" s="2" t="inlineStr">
        <is>
          <t>Товары для дома и дачи</t>
        </is>
      </c>
      <c r="D433" s="2" t="inlineStr">
        <is>
          <t>Товары для дома и дачи → Хозяйственные товары → Уход за обувью → Уход за обувью</t>
        </is>
      </c>
      <c r="E433" s="3" t="n">
        <v>52556841</v>
      </c>
      <c r="F433" s="3" t="n">
        <v>25077</v>
      </c>
      <c r="G433" s="3">
        <f>IFERROR(E433/F433,0)</f>
        <v/>
      </c>
      <c r="H433" s="3" t="n">
        <v>2347</v>
      </c>
      <c r="I433" s="2" t="n">
        <v>293</v>
      </c>
      <c r="J433" s="3">
        <f>IFERROR(E433/H433,0)</f>
        <v/>
      </c>
      <c r="K433" s="10">
        <f>E433/'По разделам'!$B$21</f>
        <v/>
      </c>
      <c r="L433" s="4">
        <f>L432+K433</f>
        <v/>
      </c>
      <c r="M433" s="2" t="inlineStr">
        <is>
          <t>q4dabbe138a89412</t>
        </is>
      </c>
      <c r="N433" s="2" t="inlineStr">
        <is>
          <t>https://app.redstat.kz/niche/q4dabbe138a89412?event_date=2026-08-01</t>
        </is>
      </c>
      <c r="O433" s="2" t="inlineStr"/>
    </row>
    <row r="434">
      <c r="A434" s="2" t="n">
        <v>433</v>
      </c>
      <c r="B434" s="2" t="inlineStr">
        <is>
          <t>Краскопульты</t>
        </is>
      </c>
      <c r="C434" s="2" t="inlineStr">
        <is>
          <t>Строительство, ремонт</t>
        </is>
      </c>
      <c r="D434" s="2" t="inlineStr">
        <is>
          <t>Строительство, ремонт → Инструменты → Краскопульты</t>
        </is>
      </c>
      <c r="E434" s="3" t="n">
        <v>52534806</v>
      </c>
      <c r="F434" s="3" t="n">
        <v>2193</v>
      </c>
      <c r="G434" s="3">
        <f>IFERROR(E434/F434,0)</f>
        <v/>
      </c>
      <c r="H434" s="3" t="n">
        <v>245</v>
      </c>
      <c r="I434" s="2" t="n">
        <v>96</v>
      </c>
      <c r="J434" s="3">
        <f>IFERROR(E434/H434,0)</f>
        <v/>
      </c>
      <c r="K434" s="10">
        <f>E434/'По разделам'!$B$21</f>
        <v/>
      </c>
      <c r="L434" s="4">
        <f>L433+K434</f>
        <v/>
      </c>
      <c r="M434" s="2" t="inlineStr">
        <is>
          <t>03537</t>
        </is>
      </c>
      <c r="N434" s="2" t="inlineStr">
        <is>
          <t>https://app.redstat.kz/niche/03537?event_date=2026-08-01</t>
        </is>
      </c>
      <c r="O434" s="2" t="inlineStr">
        <is>
          <t>https://kaspi.kz/shop/c/spray%20guns/</t>
        </is>
      </c>
    </row>
    <row r="435">
      <c r="A435" s="2" t="n">
        <v>434</v>
      </c>
      <c r="B435" s="2" t="inlineStr">
        <is>
          <t>Ежедневники, блокноты, скетчбуки</t>
        </is>
      </c>
      <c r="C435" s="2" t="inlineStr">
        <is>
          <t>Канцелярские товары</t>
        </is>
      </c>
      <c r="D435" s="2" t="inlineStr">
        <is>
          <t>Канцелярские товары → Бумага и бумажная продукция → Ежедневники, блокноты, скетчбуки</t>
        </is>
      </c>
      <c r="E435" s="3" t="n">
        <v>52415392</v>
      </c>
      <c r="F435" s="3" t="n">
        <v>15112</v>
      </c>
      <c r="G435" s="3">
        <f>IFERROR(E435/F435,0)</f>
        <v/>
      </c>
      <c r="H435" s="3" t="n">
        <v>1746</v>
      </c>
      <c r="I435" s="2" t="n">
        <v>195</v>
      </c>
      <c r="J435" s="3">
        <f>IFERROR(E435/H435,0)</f>
        <v/>
      </c>
      <c r="K435" s="10">
        <f>E435/'По разделам'!$B$21</f>
        <v/>
      </c>
      <c r="L435" s="4">
        <f>L434+K435</f>
        <v/>
      </c>
      <c r="M435" s="2" t="inlineStr">
        <is>
          <t>04234</t>
        </is>
      </c>
      <c r="N435" s="2" t="inlineStr">
        <is>
          <t>https://app.redstat.kz/niche/04234?event_date=2026-08-01</t>
        </is>
      </c>
      <c r="O435" s="2" t="inlineStr">
        <is>
          <t>https://kaspi.kz/shop/c/paper%20notebooks/</t>
        </is>
      </c>
    </row>
    <row r="436">
      <c r="A436" s="2" t="n">
        <v>435</v>
      </c>
      <c r="B436" s="2" t="inlineStr">
        <is>
          <t>Женские сандалии и босоножки</t>
        </is>
      </c>
      <c r="C436" s="2" t="inlineStr">
        <is>
          <t>Обувь</t>
        </is>
      </c>
      <c r="D436" s="2" t="inlineStr">
        <is>
          <t>Обувь → Женская обувь → Женские сандалии и босоножки</t>
        </is>
      </c>
      <c r="E436" s="3" t="n">
        <v>52325788</v>
      </c>
      <c r="F436" s="3" t="n">
        <v>4670</v>
      </c>
      <c r="G436" s="3">
        <f>IFERROR(E436/F436,0)</f>
        <v/>
      </c>
      <c r="H436" s="3" t="n">
        <v>1843</v>
      </c>
      <c r="I436" s="2" t="n">
        <v>292</v>
      </c>
      <c r="J436" s="3">
        <f>IFERROR(E436/H436,0)</f>
        <v/>
      </c>
      <c r="K436" s="10">
        <f>E436/'По разделам'!$B$21</f>
        <v/>
      </c>
      <c r="L436" s="4">
        <f>L435+K436</f>
        <v/>
      </c>
      <c r="M436" s="2" t="inlineStr">
        <is>
          <t>03744</t>
        </is>
      </c>
      <c r="N436" s="2" t="inlineStr">
        <is>
          <t>https://app.redstat.kz/niche/03744?event_date=2026-08-01</t>
        </is>
      </c>
      <c r="O436" s="2" t="inlineStr">
        <is>
          <t>https://kaspi.kz/shop/c/women%20sandals/</t>
        </is>
      </c>
    </row>
    <row r="437">
      <c r="A437" s="2" t="n">
        <v>436</v>
      </c>
      <c r="B437" s="2" t="inlineStr">
        <is>
          <t>Детские игровые коврики</t>
        </is>
      </c>
      <c r="C437" s="2" t="inlineStr">
        <is>
          <t>Детские товары</t>
        </is>
      </c>
      <c r="D437" s="2" t="inlineStr">
        <is>
          <t>Детские товары → Игрушки → Детские игровые коврики</t>
        </is>
      </c>
      <c r="E437" s="3" t="n">
        <v>52108977</v>
      </c>
      <c r="F437" s="3" t="n">
        <v>9733</v>
      </c>
      <c r="G437" s="3">
        <f>IFERROR(E437/F437,0)</f>
        <v/>
      </c>
      <c r="H437" s="3" t="n">
        <v>311</v>
      </c>
      <c r="I437" s="2" t="n">
        <v>83</v>
      </c>
      <c r="J437" s="3">
        <f>IFERROR(E437/H437,0)</f>
        <v/>
      </c>
      <c r="K437" s="10">
        <f>E437/'По разделам'!$B$21</f>
        <v/>
      </c>
      <c r="L437" s="4">
        <f>L436+K437</f>
        <v/>
      </c>
      <c r="M437" s="2" t="inlineStr">
        <is>
          <t>02552</t>
        </is>
      </c>
      <c r="N437" s="2" t="inlineStr">
        <is>
          <t>https://app.redstat.kz/niche/02552?event_date=2026-08-01</t>
        </is>
      </c>
      <c r="O437" s="2" t="inlineStr">
        <is>
          <t>https://kaspi.kz/shop/c/play%20mats%20for%20kids/</t>
        </is>
      </c>
    </row>
    <row r="438">
      <c r="A438" s="2" t="n">
        <v>437</v>
      </c>
      <c r="B438" s="2" t="inlineStr">
        <is>
          <t>Автомобильные дефлекторы и спойлеры</t>
        </is>
      </c>
      <c r="C438" s="2" t="inlineStr">
        <is>
          <t>Автотовары</t>
        </is>
      </c>
      <c r="D438" s="2" t="inlineStr">
        <is>
          <t>Автотовары → Защита и внешний тюнинг → Автомобильные дефлекторы и спойлеры</t>
        </is>
      </c>
      <c r="E438" s="3" t="n">
        <v>51829684</v>
      </c>
      <c r="F438" s="3" t="n">
        <v>2710</v>
      </c>
      <c r="G438" s="3">
        <f>IFERROR(E438/F438,0)</f>
        <v/>
      </c>
      <c r="H438" s="3" t="n">
        <v>1279</v>
      </c>
      <c r="I438" s="2" t="n">
        <v>75</v>
      </c>
      <c r="J438" s="3">
        <f>IFERROR(E438/H438,0)</f>
        <v/>
      </c>
      <c r="K438" s="10">
        <f>E438/'По разделам'!$B$21</f>
        <v/>
      </c>
      <c r="L438" s="4">
        <f>L437+K438</f>
        <v/>
      </c>
      <c r="M438" s="2" t="inlineStr">
        <is>
          <t>04756</t>
        </is>
      </c>
      <c r="N438" s="2" t="inlineStr">
        <is>
          <t>https://app.redstat.kz/niche/04756?event_date=2026-08-01</t>
        </is>
      </c>
      <c r="O438" s="2" t="inlineStr">
        <is>
          <t>https://kaspi.kz/shop/c/car%20deflectors/</t>
        </is>
      </c>
    </row>
    <row r="439">
      <c r="A439" s="2" t="n">
        <v>438</v>
      </c>
      <c r="B439" s="2" t="inlineStr">
        <is>
          <t>Система наращивания</t>
        </is>
      </c>
      <c r="C439" s="2" t="inlineStr">
        <is>
          <t>Красота и здоровье</t>
        </is>
      </c>
      <c r="D439" s="2" t="inlineStr">
        <is>
          <t>Красота и здоровье → Для маникюра и педикюра → Система наращивания → Система наращивания</t>
        </is>
      </c>
      <c r="E439" s="3" t="n">
        <v>51637134</v>
      </c>
      <c r="F439" s="3" t="n">
        <v>15426</v>
      </c>
      <c r="G439" s="3">
        <f>IFERROR(E439/F439,0)</f>
        <v/>
      </c>
      <c r="H439" s="3" t="n">
        <v>1964</v>
      </c>
      <c r="I439" s="2" t="n">
        <v>123</v>
      </c>
      <c r="J439" s="3">
        <f>IFERROR(E439/H439,0)</f>
        <v/>
      </c>
      <c r="K439" s="10">
        <f>E439/'По разделам'!$B$21</f>
        <v/>
      </c>
      <c r="L439" s="4">
        <f>L438+K439</f>
        <v/>
      </c>
      <c r="M439" s="2" t="inlineStr">
        <is>
          <t>qf94cef6837a1cf1</t>
        </is>
      </c>
      <c r="N439" s="2" t="inlineStr">
        <is>
          <t>https://app.redstat.kz/niche/qf94cef6837a1cf1?event_date=2026-08-01</t>
        </is>
      </c>
      <c r="O439" s="2" t="inlineStr"/>
    </row>
    <row r="440">
      <c r="A440" s="2" t="n">
        <v>439</v>
      </c>
      <c r="B440" s="2" t="inlineStr">
        <is>
          <t>Папки и аксессуары</t>
        </is>
      </c>
      <c r="C440" s="2" t="inlineStr">
        <is>
          <t>Канцелярские товары</t>
        </is>
      </c>
      <c r="D440" s="2" t="inlineStr">
        <is>
          <t>Канцелярские товары → Офисные принадлежности → Папки и аксессуары → Папки и аксессуары</t>
        </is>
      </c>
      <c r="E440" s="3" t="n">
        <v>51075987</v>
      </c>
      <c r="F440" s="3" t="n">
        <v>32899</v>
      </c>
      <c r="G440" s="3">
        <f>IFERROR(E440/F440,0)</f>
        <v/>
      </c>
      <c r="H440" s="3" t="n">
        <v>2034</v>
      </c>
      <c r="I440" s="2" t="n">
        <v>137</v>
      </c>
      <c r="J440" s="3">
        <f>IFERROR(E440/H440,0)</f>
        <v/>
      </c>
      <c r="K440" s="10">
        <f>E440/'По разделам'!$B$21</f>
        <v/>
      </c>
      <c r="L440" s="4">
        <f>L439+K440</f>
        <v/>
      </c>
      <c r="M440" s="2" t="inlineStr">
        <is>
          <t>q3781d8bfdcb69bb</t>
        </is>
      </c>
      <c r="N440" s="2" t="inlineStr">
        <is>
          <t>https://app.redstat.kz/niche/q3781d8bfdcb69bb?event_date=2026-08-01</t>
        </is>
      </c>
      <c r="O440" s="2" t="inlineStr"/>
    </row>
    <row r="441">
      <c r="A441" s="2" t="n">
        <v>440</v>
      </c>
      <c r="B441" s="2" t="inlineStr">
        <is>
          <t>Шкафы-витрины</t>
        </is>
      </c>
      <c r="C441" s="2" t="inlineStr">
        <is>
          <t>Мебель</t>
        </is>
      </c>
      <c r="D441" s="2" t="inlineStr">
        <is>
          <t>Мебель → Гостиная → Шкафы-витрины</t>
        </is>
      </c>
      <c r="E441" s="3" t="n">
        <v>50825366</v>
      </c>
      <c r="F441" s="3" t="n">
        <v>279</v>
      </c>
      <c r="G441" s="3">
        <f>IFERROR(E441/F441,0)</f>
        <v/>
      </c>
      <c r="H441" s="3" t="n">
        <v>123</v>
      </c>
      <c r="I441" s="2" t="n">
        <v>37</v>
      </c>
      <c r="J441" s="3">
        <f>IFERROR(E441/H441,0)</f>
        <v/>
      </c>
      <c r="K441" s="10">
        <f>E441/'По разделам'!$B$21</f>
        <v/>
      </c>
      <c r="L441" s="4">
        <f>L440+K441</f>
        <v/>
      </c>
      <c r="M441" s="2" t="inlineStr">
        <is>
          <t>01613</t>
        </is>
      </c>
      <c r="N441" s="2" t="inlineStr">
        <is>
          <t>https://app.redstat.kz/niche/01613?event_date=2026-08-01</t>
        </is>
      </c>
      <c r="O441" s="2" t="inlineStr">
        <is>
          <t>https://kaspi.kz/shop/c/sideboards%20and%20buffets/</t>
        </is>
      </c>
    </row>
    <row r="442">
      <c r="A442" s="2" t="n">
        <v>441</v>
      </c>
      <c r="B442" s="2" t="inlineStr">
        <is>
          <t>Расчески и щетки для волос</t>
        </is>
      </c>
      <c r="C442" s="2" t="inlineStr">
        <is>
          <t>Красота и здоровье</t>
        </is>
      </c>
      <c r="D442" s="2" t="inlineStr">
        <is>
          <t>Красота и здоровье → Уход за волосами → Расчески и щетки для волос</t>
        </is>
      </c>
      <c r="E442" s="3" t="n">
        <v>50808105</v>
      </c>
      <c r="F442" s="3" t="n">
        <v>50201</v>
      </c>
      <c r="G442" s="3">
        <f>IFERROR(E442/F442,0)</f>
        <v/>
      </c>
      <c r="H442" s="3" t="n">
        <v>1491</v>
      </c>
      <c r="I442" s="2" t="n">
        <v>281</v>
      </c>
      <c r="J442" s="3">
        <f>IFERROR(E442/H442,0)</f>
        <v/>
      </c>
      <c r="K442" s="10">
        <f>E442/'По разделам'!$B$21</f>
        <v/>
      </c>
      <c r="L442" s="4">
        <f>L441+K442</f>
        <v/>
      </c>
      <c r="M442" s="2" t="inlineStr">
        <is>
          <t>01185</t>
        </is>
      </c>
      <c r="N442" s="2" t="inlineStr">
        <is>
          <t>https://app.redstat.kz/niche/01185?event_date=2026-08-01</t>
        </is>
      </c>
      <c r="O442" s="2" t="inlineStr">
        <is>
          <t>https://kaspi.kz/shop/c/hair%20brushes/</t>
        </is>
      </c>
    </row>
    <row r="443">
      <c r="A443" s="2" t="n">
        <v>442</v>
      </c>
      <c r="B443" s="2" t="inlineStr">
        <is>
          <t>Обогреватели и кондиционеры двигателя и салона</t>
        </is>
      </c>
      <c r="C443" s="2" t="inlineStr">
        <is>
          <t>Автотовары</t>
        </is>
      </c>
      <c r="D443" s="2" t="inlineStr">
        <is>
          <t>Автотовары → Автомобильное оборудование → Обогреватели и кондиционеры двигателя и салона</t>
        </is>
      </c>
      <c r="E443" s="3" t="n">
        <v>50794945</v>
      </c>
      <c r="F443" s="3" t="n">
        <v>751</v>
      </c>
      <c r="G443" s="3">
        <f>IFERROR(E443/F443,0)</f>
        <v/>
      </c>
      <c r="H443" s="3" t="n">
        <v>226</v>
      </c>
      <c r="I443" s="2" t="n">
        <v>66</v>
      </c>
      <c r="J443" s="3">
        <f>IFERROR(E443/H443,0)</f>
        <v/>
      </c>
      <c r="K443" s="10">
        <f>E443/'По разделам'!$B$21</f>
        <v/>
      </c>
      <c r="L443" s="4">
        <f>L442+K443</f>
        <v/>
      </c>
      <c r="M443" s="2" t="inlineStr">
        <is>
          <t>02236</t>
        </is>
      </c>
      <c r="N443" s="2" t="inlineStr">
        <is>
          <t>https://app.redstat.kz/niche/02236?event_date=2026-08-01</t>
        </is>
      </c>
      <c r="O443" s="2" t="inlineStr">
        <is>
          <t>https://kaspi.kz/shop/c/heaters%20for%20the%20engine%20and%20car%20interior/</t>
        </is>
      </c>
    </row>
    <row r="444">
      <c r="A444" s="2" t="n">
        <v>443</v>
      </c>
      <c r="B444" s="2" t="inlineStr">
        <is>
          <t>Вентиляторы вытяжные</t>
        </is>
      </c>
      <c r="C444" s="2" t="inlineStr">
        <is>
          <t>Строительство, ремонт</t>
        </is>
      </c>
      <c r="D444" s="2" t="inlineStr">
        <is>
          <t>Строительство, ремонт → Вентиляция → Вентиляторы вытяжные</t>
        </is>
      </c>
      <c r="E444" s="3" t="n">
        <v>50786038</v>
      </c>
      <c r="F444" s="3" t="n">
        <v>2817</v>
      </c>
      <c r="G444" s="3">
        <f>IFERROR(E444/F444,0)</f>
        <v/>
      </c>
      <c r="H444" s="3" t="n">
        <v>449</v>
      </c>
      <c r="I444" s="2" t="n">
        <v>63</v>
      </c>
      <c r="J444" s="3">
        <f>IFERROR(E444/H444,0)</f>
        <v/>
      </c>
      <c r="K444" s="10">
        <f>E444/'По разделам'!$B$21</f>
        <v/>
      </c>
      <c r="L444" s="4">
        <f>L443+K444</f>
        <v/>
      </c>
      <c r="M444" s="2" t="inlineStr">
        <is>
          <t>03771</t>
        </is>
      </c>
      <c r="N444" s="2" t="inlineStr">
        <is>
          <t>https://app.redstat.kz/niche/03771?event_date=2026-08-01</t>
        </is>
      </c>
      <c r="O444" s="2" t="inlineStr">
        <is>
          <t>https://kaspi.kz/shop/c/exhaust%20fans/</t>
        </is>
      </c>
    </row>
    <row r="445">
      <c r="A445" s="2" t="n">
        <v>444</v>
      </c>
      <c r="B445" s="2" t="inlineStr">
        <is>
          <t>Системы контроля и управления доступом</t>
        </is>
      </c>
      <c r="C445" s="2" t="inlineStr">
        <is>
          <t>Строительство, ремонт</t>
        </is>
      </c>
      <c r="D445" s="2" t="inlineStr">
        <is>
          <t>Строительство, ремонт → Системы безопасности → Системы контроля и управления доступом → Системы контроля и управления доступом</t>
        </is>
      </c>
      <c r="E445" s="3" t="n">
        <v>50724478</v>
      </c>
      <c r="F445" s="3" t="n">
        <v>3156</v>
      </c>
      <c r="G445" s="3">
        <f>IFERROR(E445/F445,0)</f>
        <v/>
      </c>
      <c r="H445" s="3" t="n">
        <v>404</v>
      </c>
      <c r="I445" s="2" t="n">
        <v>89</v>
      </c>
      <c r="J445" s="3">
        <f>IFERROR(E445/H445,0)</f>
        <v/>
      </c>
      <c r="K445" s="10">
        <f>E445/'По разделам'!$B$21</f>
        <v/>
      </c>
      <c r="L445" s="4">
        <f>L444+K445</f>
        <v/>
      </c>
      <c r="M445" s="2" t="inlineStr">
        <is>
          <t>q2a7d961fcd4ac7d</t>
        </is>
      </c>
      <c r="N445" s="2" t="inlineStr">
        <is>
          <t>https://app.redstat.kz/niche/q2a7d961fcd4ac7d?event_date=2026-08-01</t>
        </is>
      </c>
      <c r="O445" s="2" t="inlineStr"/>
    </row>
    <row r="446">
      <c r="A446" s="2" t="n">
        <v>445</v>
      </c>
      <c r="B446" s="2" t="inlineStr">
        <is>
          <t>Гвоздезабивные пистолеты и скобозабиватели</t>
        </is>
      </c>
      <c r="C446" s="2" t="inlineStr">
        <is>
          <t>Строительство, ремонт</t>
        </is>
      </c>
      <c r="D446" s="2" t="inlineStr">
        <is>
          <t>Строительство, ремонт → Инструменты → Гвоздезабивные пистолеты и скобозабиватели</t>
        </is>
      </c>
      <c r="E446" s="3" t="n">
        <v>50658505</v>
      </c>
      <c r="F446" s="3" t="n">
        <v>1205</v>
      </c>
      <c r="G446" s="3">
        <f>IFERROR(E446/F446,0)</f>
        <v/>
      </c>
      <c r="H446" s="3" t="n">
        <v>188</v>
      </c>
      <c r="I446" s="2" t="n">
        <v>72</v>
      </c>
      <c r="J446" s="3">
        <f>IFERROR(E446/H446,0)</f>
        <v/>
      </c>
      <c r="K446" s="10">
        <f>E446/'По разделам'!$B$21</f>
        <v/>
      </c>
      <c r="L446" s="4">
        <f>L445+K446</f>
        <v/>
      </c>
      <c r="M446" s="2" t="inlineStr">
        <is>
          <t>03445</t>
        </is>
      </c>
      <c r="N446" s="2" t="inlineStr">
        <is>
          <t>https://app.redstat.kz/niche/03445?event_date=2026-08-01</t>
        </is>
      </c>
      <c r="O446" s="2" t="inlineStr">
        <is>
          <t>https://kaspi.kz/shop/c/nail%20and%20staple%20guns/</t>
        </is>
      </c>
    </row>
    <row r="447">
      <c r="A447" s="2" t="n">
        <v>446</v>
      </c>
      <c r="B447" s="2" t="inlineStr">
        <is>
          <t>Лотки для животных</t>
        </is>
      </c>
      <c r="C447" s="2" t="inlineStr">
        <is>
          <t>Товары для животных</t>
        </is>
      </c>
      <c r="D447" s="2" t="inlineStr">
        <is>
          <t>Товары для животных → Аксессуары для животных → Лотки для животных</t>
        </is>
      </c>
      <c r="E447" s="3" t="n">
        <v>50643104</v>
      </c>
      <c r="F447" s="3" t="n">
        <v>6024</v>
      </c>
      <c r="G447" s="3">
        <f>IFERROR(E447/F447,0)</f>
        <v/>
      </c>
      <c r="H447" s="3" t="n">
        <v>369</v>
      </c>
      <c r="I447" s="2" t="n">
        <v>74</v>
      </c>
      <c r="J447" s="3">
        <f>IFERROR(E447/H447,0)</f>
        <v/>
      </c>
      <c r="K447" s="10">
        <f>E447/'По разделам'!$B$21</f>
        <v/>
      </c>
      <c r="L447" s="4">
        <f>L446+K447</f>
        <v/>
      </c>
      <c r="M447" s="2" t="inlineStr">
        <is>
          <t>05427</t>
        </is>
      </c>
      <c r="N447" s="2" t="inlineStr">
        <is>
          <t>https://app.redstat.kz/niche/05427?event_date=2026-08-01</t>
        </is>
      </c>
      <c r="O447" s="2" t="inlineStr">
        <is>
          <t>https://kaspi.kz/shop/c/cat%20litter%20boxes/</t>
        </is>
      </c>
    </row>
    <row r="448">
      <c r="A448" s="2" t="n">
        <v>447</v>
      </c>
      <c r="B448" s="2" t="inlineStr">
        <is>
          <t>Шейкеры и бутылки для спортсменов</t>
        </is>
      </c>
      <c r="C448" s="2" t="inlineStr">
        <is>
          <t>Спорт, туризм</t>
        </is>
      </c>
      <c r="D448" s="2" t="inlineStr">
        <is>
          <t>Спорт, туризм → Спортивное питание → Шейкеры и бутылки для спортсменов</t>
        </is>
      </c>
      <c r="E448" s="3" t="n">
        <v>50498643</v>
      </c>
      <c r="F448" s="3" t="n">
        <v>23138</v>
      </c>
      <c r="G448" s="3">
        <f>IFERROR(E448/F448,0)</f>
        <v/>
      </c>
      <c r="H448" s="3" t="n">
        <v>1117</v>
      </c>
      <c r="I448" s="2" t="n">
        <v>173</v>
      </c>
      <c r="J448" s="3">
        <f>IFERROR(E448/H448,0)</f>
        <v/>
      </c>
      <c r="K448" s="10">
        <f>E448/'По разделам'!$B$21</f>
        <v/>
      </c>
      <c r="L448" s="4">
        <f>L447+K448</f>
        <v/>
      </c>
      <c r="M448" s="2" t="inlineStr">
        <is>
          <t>00981</t>
        </is>
      </c>
      <c r="N448" s="2" t="inlineStr">
        <is>
          <t>https://app.redstat.kz/niche/00981?event_date=2026-08-01</t>
        </is>
      </c>
      <c r="O448" s="2" t="inlineStr">
        <is>
          <t>https://kaspi.kz/shop/c/sports%20water%20bottles%20and%20shakers/</t>
        </is>
      </c>
    </row>
    <row r="449">
      <c r="A449" s="2" t="n">
        <v>448</v>
      </c>
      <c r="B449" s="2" t="inlineStr">
        <is>
          <t>Тележки и тачки</t>
        </is>
      </c>
      <c r="C449" s="2" t="inlineStr">
        <is>
          <t>Строительство, ремонт</t>
        </is>
      </c>
      <c r="D449" s="2" t="inlineStr">
        <is>
          <t>Строительство, ремонт → Строительный инвентарь → Тележки и тачки</t>
        </is>
      </c>
      <c r="E449" s="3" t="n">
        <v>50425007</v>
      </c>
      <c r="F449" s="3" t="n">
        <v>1927</v>
      </c>
      <c r="G449" s="3">
        <f>IFERROR(E449/F449,0)</f>
        <v/>
      </c>
      <c r="H449" s="3" t="n">
        <v>272</v>
      </c>
      <c r="I449" s="2" t="n">
        <v>65</v>
      </c>
      <c r="J449" s="3">
        <f>IFERROR(E449/H449,0)</f>
        <v/>
      </c>
      <c r="K449" s="10">
        <f>E449/'По разделам'!$B$21</f>
        <v/>
      </c>
      <c r="L449" s="4">
        <f>L448+K449</f>
        <v/>
      </c>
      <c r="M449" s="2" t="inlineStr">
        <is>
          <t>01498</t>
        </is>
      </c>
      <c r="N449" s="2" t="inlineStr">
        <is>
          <t>https://app.redstat.kz/niche/01498?event_date=2026-08-01</t>
        </is>
      </c>
      <c r="O449" s="2" t="inlineStr">
        <is>
          <t>https://kaspi.kz/shop/c/yard%20carts%20and%20wheelbarrows/</t>
        </is>
      </c>
    </row>
    <row r="450">
      <c r="A450" s="2" t="n">
        <v>449</v>
      </c>
      <c r="B450" s="2" t="inlineStr">
        <is>
          <t>Фильтры-кувшины для воды и сменные модули</t>
        </is>
      </c>
      <c r="C450" s="2" t="inlineStr">
        <is>
          <t>Товары для дома и дачи</t>
        </is>
      </c>
      <c r="D450" s="2" t="inlineStr">
        <is>
          <t>Товары для дома и дачи → Посуда и принадлежности → Фильтры-кувшины для воды и сменные модули → Фильтры-кувшины для воды и сменные модули</t>
        </is>
      </c>
      <c r="E450" s="3" t="n">
        <v>50091046</v>
      </c>
      <c r="F450" s="3" t="n">
        <v>8631</v>
      </c>
      <c r="G450" s="3">
        <f>IFERROR(E450/F450,0)</f>
        <v/>
      </c>
      <c r="H450" s="3" t="n">
        <v>329</v>
      </c>
      <c r="I450" s="2" t="n">
        <v>9</v>
      </c>
      <c r="J450" s="3">
        <f>IFERROR(E450/H450,0)</f>
        <v/>
      </c>
      <c r="K450" s="10">
        <f>E450/'По разделам'!$B$21</f>
        <v/>
      </c>
      <c r="L450" s="4">
        <f>L449+K450</f>
        <v/>
      </c>
      <c r="M450" s="2" t="inlineStr">
        <is>
          <t>qa24511e6caf161c</t>
        </is>
      </c>
      <c r="N450" s="2" t="inlineStr">
        <is>
          <t>https://app.redstat.kz/niche/qa24511e6caf161c?event_date=2026-08-01</t>
        </is>
      </c>
      <c r="O450" s="2" t="inlineStr"/>
    </row>
    <row r="451">
      <c r="A451" s="2" t="n">
        <v>450</v>
      </c>
      <c r="B451" s="2" t="inlineStr">
        <is>
          <t>Полки настенные</t>
        </is>
      </c>
      <c r="C451" s="2" t="inlineStr">
        <is>
          <t>Мебель</t>
        </is>
      </c>
      <c r="D451" s="2" t="inlineStr">
        <is>
          <t>Мебель → Системы хранения, полки, этажерки → Полки настенные</t>
        </is>
      </c>
      <c r="E451" s="3" t="n">
        <v>49844647</v>
      </c>
      <c r="F451" s="3" t="n">
        <v>7681</v>
      </c>
      <c r="G451" s="3">
        <f>IFERROR(E451/F451,0)</f>
        <v/>
      </c>
      <c r="H451" s="3" t="n">
        <v>631</v>
      </c>
      <c r="I451" s="2" t="n">
        <v>105</v>
      </c>
      <c r="J451" s="3">
        <f>IFERROR(E451/H451,0)</f>
        <v/>
      </c>
      <c r="K451" s="10">
        <f>E451/'По разделам'!$B$21</f>
        <v/>
      </c>
      <c r="L451" s="4">
        <f>L450+K451</f>
        <v/>
      </c>
      <c r="M451" s="2" t="inlineStr">
        <is>
          <t>05380</t>
        </is>
      </c>
      <c r="N451" s="2" t="inlineStr">
        <is>
          <t>https://app.redstat.kz/niche/05380?event_date=2026-08-01</t>
        </is>
      </c>
      <c r="O451" s="2" t="inlineStr">
        <is>
          <t>https://kaspi.kz/shop/c/wall%20shelves/</t>
        </is>
      </c>
    </row>
    <row r="452">
      <c r="A452" s="2" t="n">
        <v>451</v>
      </c>
      <c r="B452" s="2" t="inlineStr">
        <is>
          <t>Ламинаторы</t>
        </is>
      </c>
      <c r="C452" s="2" t="inlineStr">
        <is>
          <t>Компьютеры</t>
        </is>
      </c>
      <c r="D452" s="2" t="inlineStr">
        <is>
          <t>Компьютеры → Оргтехника и расходные материалы → Ламинаторы</t>
        </is>
      </c>
      <c r="E452" s="3" t="n">
        <v>49559164</v>
      </c>
      <c r="F452" s="3" t="n">
        <v>3375</v>
      </c>
      <c r="G452" s="3">
        <f>IFERROR(E452/F452,0)</f>
        <v/>
      </c>
      <c r="H452" s="3" t="n">
        <v>112</v>
      </c>
      <c r="I452" s="2" t="n">
        <v>27</v>
      </c>
      <c r="J452" s="3">
        <f>IFERROR(E452/H452,0)</f>
        <v/>
      </c>
      <c r="K452" s="10">
        <f>E452/'По разделам'!$B$21</f>
        <v/>
      </c>
      <c r="L452" s="4">
        <f>L451+K452</f>
        <v/>
      </c>
      <c r="M452" s="2" t="inlineStr">
        <is>
          <t>02934</t>
        </is>
      </c>
      <c r="N452" s="2" t="inlineStr">
        <is>
          <t>https://app.redstat.kz/niche/02934?event_date=2026-08-01</t>
        </is>
      </c>
      <c r="O452" s="2" t="inlineStr">
        <is>
          <t>https://kaspi.kz/shop/c/laminators/</t>
        </is>
      </c>
    </row>
    <row r="453">
      <c r="A453" s="2" t="n">
        <v>452</v>
      </c>
      <c r="B453" s="2" t="inlineStr">
        <is>
          <t>Силовые тренажеры</t>
        </is>
      </c>
      <c r="C453" s="2" t="inlineStr">
        <is>
          <t>Спорт, туризм</t>
        </is>
      </c>
      <c r="D453" s="2" t="inlineStr">
        <is>
          <t>Спорт, туризм → Тренажеры → Силовые тренажеры</t>
        </is>
      </c>
      <c r="E453" s="3" t="n">
        <v>48996517</v>
      </c>
      <c r="F453" s="3" t="n">
        <v>2287</v>
      </c>
      <c r="G453" s="3">
        <f>IFERROR(E453/F453,0)</f>
        <v/>
      </c>
      <c r="H453" s="3" t="n">
        <v>116</v>
      </c>
      <c r="I453" s="2" t="n">
        <v>36</v>
      </c>
      <c r="J453" s="3">
        <f>IFERROR(E453/H453,0)</f>
        <v/>
      </c>
      <c r="K453" s="10">
        <f>E453/'По разделам'!$B$21</f>
        <v/>
      </c>
      <c r="L453" s="4">
        <f>L452+K453</f>
        <v/>
      </c>
      <c r="M453" s="2" t="inlineStr">
        <is>
          <t>02024</t>
        </is>
      </c>
      <c r="N453" s="2" t="inlineStr">
        <is>
          <t>https://app.redstat.kz/niche/02024?event_date=2026-08-01</t>
        </is>
      </c>
      <c r="O453" s="2" t="inlineStr">
        <is>
          <t>https://kaspi.kz/shop/c/strength%20training%20stations/</t>
        </is>
      </c>
    </row>
    <row r="454">
      <c r="A454" s="2" t="n">
        <v>453</v>
      </c>
      <c r="B454" s="2" t="inlineStr">
        <is>
          <t>Аксессуары для кухонной техники</t>
        </is>
      </c>
      <c r="C454" s="2" t="inlineStr">
        <is>
          <t>Бытовая техника</t>
        </is>
      </c>
      <c r="D454" s="2" t="inlineStr">
        <is>
          <t>Бытовая техника → Мелкая техника для кухни → Аксессуары для кухонной техники</t>
        </is>
      </c>
      <c r="E454" s="3" t="n">
        <v>48707875</v>
      </c>
      <c r="F454" s="3" t="n">
        <v>8178</v>
      </c>
      <c r="G454" s="3">
        <f>IFERROR(E454/F454,0)</f>
        <v/>
      </c>
      <c r="H454" s="3" t="n">
        <v>1187</v>
      </c>
      <c r="I454" s="2" t="n">
        <v>163</v>
      </c>
      <c r="J454" s="3">
        <f>IFERROR(E454/H454,0)</f>
        <v/>
      </c>
      <c r="K454" s="10">
        <f>E454/'По разделам'!$B$21</f>
        <v/>
      </c>
      <c r="L454" s="4">
        <f>L453+K454</f>
        <v/>
      </c>
      <c r="M454" s="2" t="inlineStr">
        <is>
          <t>03487</t>
        </is>
      </c>
      <c r="N454" s="2" t="inlineStr">
        <is>
          <t>https://app.redstat.kz/niche/03487?event_date=2026-08-01</t>
        </is>
      </c>
      <c r="O454" s="2" t="inlineStr">
        <is>
          <t>https://kaspi.kz/shop/c/accessories%20for%20small%20kitchen%20appliances/</t>
        </is>
      </c>
    </row>
    <row r="455">
      <c r="A455" s="2" t="n">
        <v>454</v>
      </c>
      <c r="B455" s="2" t="inlineStr">
        <is>
          <t>Автомобильные домкраты и подставки</t>
        </is>
      </c>
      <c r="C455" s="2" t="inlineStr">
        <is>
          <t>Автотовары</t>
        </is>
      </c>
      <c r="D455" s="2" t="inlineStr">
        <is>
          <t>Автотовары → Автоинструменты → Автомобильные домкраты и подставки</t>
        </is>
      </c>
      <c r="E455" s="3" t="n">
        <v>48600178</v>
      </c>
      <c r="F455" s="3" t="n">
        <v>2009</v>
      </c>
      <c r="G455" s="3">
        <f>IFERROR(E455/F455,0)</f>
        <v/>
      </c>
      <c r="H455" s="3" t="n">
        <v>251</v>
      </c>
      <c r="I455" s="2" t="n">
        <v>84</v>
      </c>
      <c r="J455" s="3">
        <f>IFERROR(E455/H455,0)</f>
        <v/>
      </c>
      <c r="K455" s="10">
        <f>E455/'По разделам'!$B$21</f>
        <v/>
      </c>
      <c r="L455" s="4">
        <f>L454+K455</f>
        <v/>
      </c>
      <c r="M455" s="2" t="inlineStr">
        <is>
          <t>05580</t>
        </is>
      </c>
      <c r="N455" s="2" t="inlineStr">
        <is>
          <t>https://app.redstat.kz/niche/05580?event_date=2026-08-01</t>
        </is>
      </c>
      <c r="O455" s="2" t="inlineStr">
        <is>
          <t>https://kaspi.kz/shop/c/jacks/</t>
        </is>
      </c>
    </row>
    <row r="456">
      <c r="A456" s="2" t="n">
        <v>455</v>
      </c>
      <c r="B456" s="2" t="inlineStr">
        <is>
          <t>Инструменты и аксессуары для бровей и ресниц</t>
        </is>
      </c>
      <c r="C456" s="2" t="inlineStr">
        <is>
          <t>Красота и здоровье</t>
        </is>
      </c>
      <c r="D456" s="2" t="inlineStr">
        <is>
          <t>Красота и здоровье → Косметика и аксессуары для бровей и ресниц → Инструменты и аксессуары для бровей и ресниц</t>
        </is>
      </c>
      <c r="E456" s="3" t="n">
        <v>48546558</v>
      </c>
      <c r="F456" s="3" t="n">
        <v>56128</v>
      </c>
      <c r="G456" s="3">
        <f>IFERROR(E456/F456,0)</f>
        <v/>
      </c>
      <c r="H456" s="3" t="n">
        <v>1216</v>
      </c>
      <c r="I456" s="2" t="n">
        <v>223</v>
      </c>
      <c r="J456" s="3">
        <f>IFERROR(E456/H456,0)</f>
        <v/>
      </c>
      <c r="K456" s="10">
        <f>E456/'По разделам'!$B$21</f>
        <v/>
      </c>
      <c r="L456" s="4">
        <f>L455+K456</f>
        <v/>
      </c>
      <c r="M456" s="2" t="inlineStr">
        <is>
          <t>06668</t>
        </is>
      </c>
      <c r="N456" s="2" t="inlineStr">
        <is>
          <t>https://app.redstat.kz/niche/06668?event_date=2026-08-01</t>
        </is>
      </c>
      <c r="O456" s="2" t="inlineStr">
        <is>
          <t>https://kaspi.kz/shop/c/eyebrow%20tools%20and%20accessories/</t>
        </is>
      </c>
    </row>
    <row r="457">
      <c r="A457" s="2" t="n">
        <v>456</v>
      </c>
      <c r="B457" s="2" t="inlineStr">
        <is>
          <t>Спортивные мячи</t>
        </is>
      </c>
      <c r="C457" s="2" t="inlineStr">
        <is>
          <t>Спорт, туризм</t>
        </is>
      </c>
      <c r="D457" s="2" t="inlineStr">
        <is>
          <t>Спорт, туризм → Командные виды спорта → Спортивные мячи</t>
        </is>
      </c>
      <c r="E457" s="3" t="n">
        <v>47612675</v>
      </c>
      <c r="F457" s="3" t="n">
        <v>7944</v>
      </c>
      <c r="G457" s="3">
        <f>IFERROR(E457/F457,0)</f>
        <v/>
      </c>
      <c r="H457" s="3" t="n">
        <v>954</v>
      </c>
      <c r="I457" s="2" t="n">
        <v>121</v>
      </c>
      <c r="J457" s="3">
        <f>IFERROR(E457/H457,0)</f>
        <v/>
      </c>
      <c r="K457" s="10">
        <f>E457/'По разделам'!$B$21</f>
        <v/>
      </c>
      <c r="L457" s="4">
        <f>L456+K457</f>
        <v/>
      </c>
      <c r="M457" s="2" t="inlineStr">
        <is>
          <t>01136</t>
        </is>
      </c>
      <c r="N457" s="2" t="inlineStr">
        <is>
          <t>https://app.redstat.kz/niche/01136?event_date=2026-08-01</t>
        </is>
      </c>
      <c r="O457" s="2" t="inlineStr">
        <is>
          <t>https://kaspi.kz/shop/c/sports%20balls/</t>
        </is>
      </c>
    </row>
    <row r="458">
      <c r="A458" s="2" t="n">
        <v>457</v>
      </c>
      <c r="B458" s="2" t="inlineStr">
        <is>
          <t>Футболки и майки для мальчиков</t>
        </is>
      </c>
      <c r="C458" s="2" t="inlineStr">
        <is>
          <t>Одежда</t>
        </is>
      </c>
      <c r="D458" s="2" t="inlineStr">
        <is>
          <t>Одежда → Мальчикам → Футболки и майки для мальчиков</t>
        </is>
      </c>
      <c r="E458" s="3" t="n">
        <v>47591883</v>
      </c>
      <c r="F458" s="3" t="n">
        <v>20144</v>
      </c>
      <c r="G458" s="3">
        <f>IFERROR(E458/F458,0)</f>
        <v/>
      </c>
      <c r="H458" s="3" t="n">
        <v>2706</v>
      </c>
      <c r="I458" s="2" t="n">
        <v>135</v>
      </c>
      <c r="J458" s="3">
        <f>IFERROR(E458/H458,0)</f>
        <v/>
      </c>
      <c r="K458" s="10">
        <f>E458/'По разделам'!$B$21</f>
        <v/>
      </c>
      <c r="L458" s="4">
        <f>L457+K458</f>
        <v/>
      </c>
      <c r="M458" s="2" t="inlineStr">
        <is>
          <t>02393</t>
        </is>
      </c>
      <c r="N458" s="2" t="inlineStr">
        <is>
          <t>https://app.redstat.kz/niche/02393?event_date=2026-08-01</t>
        </is>
      </c>
      <c r="O458" s="2" t="inlineStr">
        <is>
          <t>https://kaspi.kz/shop/c/boy%20t-shirts/</t>
        </is>
      </c>
    </row>
    <row r="459">
      <c r="A459" s="2" t="n">
        <v>458</v>
      </c>
      <c r="B459" s="2" t="inlineStr">
        <is>
          <t>Спецобувь для мужчин</t>
        </is>
      </c>
      <c r="C459" s="2" t="inlineStr">
        <is>
          <t>Обувь</t>
        </is>
      </c>
      <c r="D459" s="2" t="inlineStr">
        <is>
          <t>Обувь → Мужская обувь → Спецобувь для мужчин</t>
        </is>
      </c>
      <c r="E459" s="3" t="n">
        <v>47492077</v>
      </c>
      <c r="F459" s="3" t="n">
        <v>3226</v>
      </c>
      <c r="G459" s="3">
        <f>IFERROR(E459/F459,0)</f>
        <v/>
      </c>
      <c r="H459" s="3" t="n">
        <v>1267</v>
      </c>
      <c r="I459" s="2" t="n">
        <v>120</v>
      </c>
      <c r="J459" s="3">
        <f>IFERROR(E459/H459,0)</f>
        <v/>
      </c>
      <c r="K459" s="10">
        <f>E459/'По разделам'!$B$21</f>
        <v/>
      </c>
      <c r="L459" s="4">
        <f>L458+K459</f>
        <v/>
      </c>
      <c r="M459" s="2" t="inlineStr">
        <is>
          <t>02387</t>
        </is>
      </c>
      <c r="N459" s="2" t="inlineStr">
        <is>
          <t>https://app.redstat.kz/niche/02387?event_date=2026-08-01</t>
        </is>
      </c>
      <c r="O459" s="2" t="inlineStr">
        <is>
          <t>https://kaspi.kz/shop/c/men%20safety%20shoes/</t>
        </is>
      </c>
    </row>
    <row r="460">
      <c r="A460" s="2" t="n">
        <v>459</v>
      </c>
      <c r="B460" s="2" t="inlineStr">
        <is>
          <t>Комплектующие для оружия</t>
        </is>
      </c>
      <c r="C460" s="2" t="inlineStr">
        <is>
          <t>Спорт, туризм</t>
        </is>
      </c>
      <c r="D460" s="2" t="inlineStr">
        <is>
          <t>Спорт, туризм → Товары для охоты и стрельбы → Комплектующие для оружия → Комплектующие для оружия</t>
        </is>
      </c>
      <c r="E460" s="3" t="n">
        <v>47468060</v>
      </c>
      <c r="F460" s="3" t="n">
        <v>1324</v>
      </c>
      <c r="G460" s="3">
        <f>IFERROR(E460/F460,0)</f>
        <v/>
      </c>
      <c r="H460" s="3" t="n">
        <v>380</v>
      </c>
      <c r="I460" s="2" t="n">
        <v>70</v>
      </c>
      <c r="J460" s="3">
        <f>IFERROR(E460/H460,0)</f>
        <v/>
      </c>
      <c r="K460" s="10">
        <f>E460/'По разделам'!$B$21</f>
        <v/>
      </c>
      <c r="L460" s="4">
        <f>L459+K460</f>
        <v/>
      </c>
      <c r="M460" s="2" t="inlineStr">
        <is>
          <t>qe068f25f9384a45</t>
        </is>
      </c>
      <c r="N460" s="2" t="inlineStr">
        <is>
          <t>https://app.redstat.kz/niche/qe068f25f9384a45?event_date=2026-08-01</t>
        </is>
      </c>
      <c r="O460" s="2" t="inlineStr"/>
    </row>
    <row r="461">
      <c r="A461" s="2" t="n">
        <v>460</v>
      </c>
      <c r="B461" s="2" t="inlineStr">
        <is>
          <t>Женские ботинки и полуботинки</t>
        </is>
      </c>
      <c r="C461" s="2" t="inlineStr">
        <is>
          <t>Обувь</t>
        </is>
      </c>
      <c r="D461" s="2" t="inlineStr">
        <is>
          <t>Обувь → Женская обувь → Женские ботинки и полуботинки</t>
        </is>
      </c>
      <c r="E461" s="3" t="n">
        <v>47443307</v>
      </c>
      <c r="F461" s="3" t="n">
        <v>1504</v>
      </c>
      <c r="G461" s="3">
        <f>IFERROR(E461/F461,0)</f>
        <v/>
      </c>
      <c r="H461" s="3" t="n">
        <v>1235</v>
      </c>
      <c r="I461" s="2" t="n">
        <v>229</v>
      </c>
      <c r="J461" s="3">
        <f>IFERROR(E461/H461,0)</f>
        <v/>
      </c>
      <c r="K461" s="10">
        <f>E461/'По разделам'!$B$21</f>
        <v/>
      </c>
      <c r="L461" s="4">
        <f>L460+K461</f>
        <v/>
      </c>
      <c r="M461" s="2" t="inlineStr">
        <is>
          <t>02276</t>
        </is>
      </c>
      <c r="N461" s="2" t="inlineStr">
        <is>
          <t>https://app.redstat.kz/niche/02276?event_date=2026-08-01</t>
        </is>
      </c>
      <c r="O461" s="2" t="inlineStr">
        <is>
          <t>https://kaspi.kz/shop/c/women%20boots/</t>
        </is>
      </c>
    </row>
    <row r="462">
      <c r="A462" s="2" t="n">
        <v>461</v>
      </c>
      <c r="B462" s="2" t="inlineStr">
        <is>
          <t>Кухонные уголки</t>
        </is>
      </c>
      <c r="C462" s="2" t="inlineStr">
        <is>
          <t>Мебель</t>
        </is>
      </c>
      <c r="D462" s="2" t="inlineStr">
        <is>
          <t>Мебель → Кухня → Кухонные уголки</t>
        </is>
      </c>
      <c r="E462" s="3" t="n">
        <v>47275591</v>
      </c>
      <c r="F462" s="3" t="n">
        <v>356</v>
      </c>
      <c r="G462" s="3">
        <f>IFERROR(E462/F462,0)</f>
        <v/>
      </c>
      <c r="H462" s="3" t="n">
        <v>100</v>
      </c>
      <c r="I462" s="2" t="n">
        <v>13</v>
      </c>
      <c r="J462" s="3">
        <f>IFERROR(E462/H462,0)</f>
        <v/>
      </c>
      <c r="K462" s="10">
        <f>E462/'По разделам'!$B$21</f>
        <v/>
      </c>
      <c r="L462" s="4">
        <f>L461+K462</f>
        <v/>
      </c>
      <c r="M462" s="2" t="inlineStr">
        <is>
          <t>01260</t>
        </is>
      </c>
      <c r="N462" s="2" t="inlineStr">
        <is>
          <t>https://app.redstat.kz/niche/01260?event_date=2026-08-01</t>
        </is>
      </c>
      <c r="O462" s="2" t="inlineStr">
        <is>
          <t>https://kaspi.kz/shop/c/kitchen%20corner%20seating/</t>
        </is>
      </c>
    </row>
    <row r="463">
      <c r="A463" s="2" t="n">
        <v>462</v>
      </c>
      <c r="B463" s="2" t="inlineStr">
        <is>
          <t>Принтеры чеков и этикеток</t>
        </is>
      </c>
      <c r="C463" s="2" t="inlineStr">
        <is>
          <t>Компьютеры</t>
        </is>
      </c>
      <c r="D463" s="2" t="inlineStr">
        <is>
          <t>Компьютеры → Электронное оборудование для торговли → Принтеры чеков и этикеток</t>
        </is>
      </c>
      <c r="E463" s="3" t="n">
        <v>47240305</v>
      </c>
      <c r="F463" s="3" t="n">
        <v>1770</v>
      </c>
      <c r="G463" s="3">
        <f>IFERROR(E463/F463,0)</f>
        <v/>
      </c>
      <c r="H463" s="3" t="n">
        <v>161</v>
      </c>
      <c r="I463" s="2" t="n">
        <v>39</v>
      </c>
      <c r="J463" s="3">
        <f>IFERROR(E463/H463,0)</f>
        <v/>
      </c>
      <c r="K463" s="10">
        <f>E463/'По разделам'!$B$21</f>
        <v/>
      </c>
      <c r="L463" s="4">
        <f>L462+K463</f>
        <v/>
      </c>
      <c r="M463" s="2" t="inlineStr">
        <is>
          <t>04630</t>
        </is>
      </c>
      <c r="N463" s="2" t="inlineStr">
        <is>
          <t>https://app.redstat.kz/niche/04630?event_date=2026-08-01</t>
        </is>
      </c>
      <c r="O463" s="2" t="inlineStr">
        <is>
          <t>https://kaspi.kz/shop/c/receipt%20and%20label%20printers/</t>
        </is>
      </c>
    </row>
    <row r="464">
      <c r="A464" s="2" t="n">
        <v>463</v>
      </c>
      <c r="B464" s="2" t="inlineStr">
        <is>
          <t>Виброплатформы</t>
        </is>
      </c>
      <c r="C464" s="2" t="inlineStr">
        <is>
          <t>Спорт, туризм</t>
        </is>
      </c>
      <c r="D464" s="2" t="inlineStr">
        <is>
          <t>Спорт, туризм → Тренажеры → Виброплатформы</t>
        </is>
      </c>
      <c r="E464" s="3" t="n">
        <v>47200255</v>
      </c>
      <c r="F464" s="3" t="n">
        <v>6673</v>
      </c>
      <c r="G464" s="3">
        <f>IFERROR(E464/F464,0)</f>
        <v/>
      </c>
      <c r="H464" s="3" t="n">
        <v>120</v>
      </c>
      <c r="I464" s="2" t="n">
        <v>49</v>
      </c>
      <c r="J464" s="3">
        <f>IFERROR(E464/H464,0)</f>
        <v/>
      </c>
      <c r="K464" s="10">
        <f>E464/'По разделам'!$B$21</f>
        <v/>
      </c>
      <c r="L464" s="4">
        <f>L463+K464</f>
        <v/>
      </c>
      <c r="M464" s="2" t="inlineStr">
        <is>
          <t>07103</t>
        </is>
      </c>
      <c r="N464" s="2" t="inlineStr">
        <is>
          <t>https://app.redstat.kz/niche/07103?event_date=2026-08-01</t>
        </is>
      </c>
      <c r="O464" s="2" t="inlineStr">
        <is>
          <t>https://kaspi.kz/shop/c/vibration%20platforms%20for%20fitness/</t>
        </is>
      </c>
    </row>
    <row r="465">
      <c r="A465" s="2" t="n">
        <v>464</v>
      </c>
      <c r="B465" s="2" t="inlineStr">
        <is>
          <t>Эспандеры</t>
        </is>
      </c>
      <c r="C465" s="2" t="inlineStr">
        <is>
          <t>Спорт, туризм</t>
        </is>
      </c>
      <c r="D465" s="2" t="inlineStr">
        <is>
          <t>Спорт, туризм → Товары для фитнеса → Эспандеры</t>
        </is>
      </c>
      <c r="E465" s="3" t="n">
        <v>47166953</v>
      </c>
      <c r="F465" s="3" t="n">
        <v>15919</v>
      </c>
      <c r="G465" s="3">
        <f>IFERROR(E465/F465,0)</f>
        <v/>
      </c>
      <c r="H465" s="3" t="n">
        <v>1105</v>
      </c>
      <c r="I465" s="2" t="n">
        <v>203</v>
      </c>
      <c r="J465" s="3">
        <f>IFERROR(E465/H465,0)</f>
        <v/>
      </c>
      <c r="K465" s="10">
        <f>E465/'По разделам'!$B$21</f>
        <v/>
      </c>
      <c r="L465" s="4">
        <f>L464+K465</f>
        <v/>
      </c>
      <c r="M465" s="2" t="inlineStr">
        <is>
          <t>01758</t>
        </is>
      </c>
      <c r="N465" s="2" t="inlineStr">
        <is>
          <t>https://app.redstat.kz/niche/01758?event_date=2026-08-01</t>
        </is>
      </c>
      <c r="O465" s="2" t="inlineStr">
        <is>
          <t>https://kaspi.kz/shop/c/hand%20strengtheners/</t>
        </is>
      </c>
    </row>
    <row r="466">
      <c r="A466" s="2" t="n">
        <v>465</v>
      </c>
      <c r="B466" s="2" t="inlineStr">
        <is>
          <t>Шезлонги и качели для малышей</t>
        </is>
      </c>
      <c r="C466" s="2" t="inlineStr">
        <is>
          <t>Детские товары</t>
        </is>
      </c>
      <c r="D466" s="2" t="inlineStr">
        <is>
          <t>Детские товары → Для малыша и мамы → Шезлонги и качели для малышей</t>
        </is>
      </c>
      <c r="E466" s="3" t="n">
        <v>46636048</v>
      </c>
      <c r="F466" s="3" t="n">
        <v>3285</v>
      </c>
      <c r="G466" s="3">
        <f>IFERROR(E466/F466,0)</f>
        <v/>
      </c>
      <c r="H466" s="3" t="n">
        <v>211</v>
      </c>
      <c r="I466" s="2" t="n">
        <v>52</v>
      </c>
      <c r="J466" s="3">
        <f>IFERROR(E466/H466,0)</f>
        <v/>
      </c>
      <c r="K466" s="10">
        <f>E466/'По разделам'!$B$21</f>
        <v/>
      </c>
      <c r="L466" s="4">
        <f>L465+K466</f>
        <v/>
      </c>
      <c r="M466" s="2" t="inlineStr">
        <is>
          <t>01038</t>
        </is>
      </c>
      <c r="N466" s="2" t="inlineStr">
        <is>
          <t>https://app.redstat.kz/niche/01038?event_date=2026-08-01</t>
        </is>
      </c>
      <c r="O466" s="2" t="inlineStr">
        <is>
          <t>https://kaspi.kz/shop/c/baby%20swings%20and%20bouncers/</t>
        </is>
      </c>
    </row>
    <row r="467">
      <c r="A467" s="2" t="n">
        <v>466</v>
      </c>
      <c r="B467" s="2" t="inlineStr">
        <is>
          <t>Женские балетки</t>
        </is>
      </c>
      <c r="C467" s="2" t="inlineStr">
        <is>
          <t>Обувь</t>
        </is>
      </c>
      <c r="D467" s="2" t="inlineStr">
        <is>
          <t>Обувь → Женская обувь → Женские балетки</t>
        </is>
      </c>
      <c r="E467" s="3" t="n">
        <v>46624645</v>
      </c>
      <c r="F467" s="3" t="n">
        <v>5863</v>
      </c>
      <c r="G467" s="3">
        <f>IFERROR(E467/F467,0)</f>
        <v/>
      </c>
      <c r="H467" s="3" t="n">
        <v>1219</v>
      </c>
      <c r="I467" s="2" t="n">
        <v>168</v>
      </c>
      <c r="J467" s="3">
        <f>IFERROR(E467/H467,0)</f>
        <v/>
      </c>
      <c r="K467" s="10">
        <f>E467/'По разделам'!$B$21</f>
        <v/>
      </c>
      <c r="L467" s="4">
        <f>L466+K467</f>
        <v/>
      </c>
      <c r="M467" s="2" t="inlineStr">
        <is>
          <t>00811</t>
        </is>
      </c>
      <c r="N467" s="2" t="inlineStr">
        <is>
          <t>https://app.redstat.kz/niche/00811?event_date=2026-08-01</t>
        </is>
      </c>
      <c r="O467" s="2" t="inlineStr">
        <is>
          <t>https://kaspi.kz/shop/c/women%20ballet%20pumps/</t>
        </is>
      </c>
    </row>
    <row r="468">
      <c r="A468" s="2" t="n">
        <v>467</v>
      </c>
      <c r="B468" s="2" t="inlineStr">
        <is>
          <t>Средства индивидуальной защиты</t>
        </is>
      </c>
      <c r="C468" s="2" t="inlineStr">
        <is>
          <t>Строительство, ремонт</t>
        </is>
      </c>
      <c r="D468" s="2" t="inlineStr">
        <is>
          <t>Строительство, ремонт → Строительный инвентарь → Средства индивидуальной защиты → Средства индивидуальной защиты</t>
        </is>
      </c>
      <c r="E468" s="3" t="n">
        <v>46316646</v>
      </c>
      <c r="F468" s="3" t="n">
        <v>12408</v>
      </c>
      <c r="G468" s="3">
        <f>IFERROR(E468/F468,0)</f>
        <v/>
      </c>
      <c r="H468" s="3" t="n">
        <v>916</v>
      </c>
      <c r="I468" s="2" t="n">
        <v>202</v>
      </c>
      <c r="J468" s="3">
        <f>IFERROR(E468/H468,0)</f>
        <v/>
      </c>
      <c r="K468" s="10">
        <f>E468/'По разделам'!$B$21</f>
        <v/>
      </c>
      <c r="L468" s="4">
        <f>L467+K468</f>
        <v/>
      </c>
      <c r="M468" s="2" t="inlineStr">
        <is>
          <t>q1c8c24a8659288e</t>
        </is>
      </c>
      <c r="N468" s="2" t="inlineStr">
        <is>
          <t>https://app.redstat.kz/niche/q1c8c24a8659288e?event_date=2026-08-01</t>
        </is>
      </c>
      <c r="O468" s="2" t="inlineStr"/>
    </row>
    <row r="469">
      <c r="A469" s="2" t="n">
        <v>468</v>
      </c>
      <c r="B469" s="2" t="inlineStr">
        <is>
          <t>Камины и печи</t>
        </is>
      </c>
      <c r="C469" s="2" t="inlineStr">
        <is>
          <t>Строительство, ремонт</t>
        </is>
      </c>
      <c r="D469" s="2" t="inlineStr">
        <is>
          <t>Строительство, ремонт → Системы отопления → Камины и печи → Камины и печи</t>
        </is>
      </c>
      <c r="E469" s="3" t="n">
        <v>46118901</v>
      </c>
      <c r="F469" s="3" t="n">
        <v>345</v>
      </c>
      <c r="G469" s="3">
        <f>IFERROR(E469/F469,0)</f>
        <v/>
      </c>
      <c r="H469" s="3" t="n">
        <v>149</v>
      </c>
      <c r="I469" s="2" t="n">
        <v>31</v>
      </c>
      <c r="J469" s="3">
        <f>IFERROR(E469/H469,0)</f>
        <v/>
      </c>
      <c r="K469" s="10">
        <f>E469/'По разделам'!$B$21</f>
        <v/>
      </c>
      <c r="L469" s="4">
        <f>L468+K469</f>
        <v/>
      </c>
      <c r="M469" s="2" t="inlineStr">
        <is>
          <t>qe194d85890a072c</t>
        </is>
      </c>
      <c r="N469" s="2" t="inlineStr">
        <is>
          <t>https://app.redstat.kz/niche/qe194d85890a072c?event_date=2026-08-01</t>
        </is>
      </c>
      <c r="O469" s="2" t="inlineStr"/>
    </row>
    <row r="470">
      <c r="A470" s="2" t="n">
        <v>469</v>
      </c>
      <c r="B470" s="2" t="inlineStr">
        <is>
          <t>Картриджи</t>
        </is>
      </c>
      <c r="C470" s="2" t="inlineStr">
        <is>
          <t>Компьютеры</t>
        </is>
      </c>
      <c r="D470" s="2" t="inlineStr">
        <is>
          <t>Компьютеры → Оргтехника и расходные материалы → Картриджи</t>
        </is>
      </c>
      <c r="E470" s="3" t="n">
        <v>45444240</v>
      </c>
      <c r="F470" s="3" t="n">
        <v>6050</v>
      </c>
      <c r="G470" s="3">
        <f>IFERROR(E470/F470,0)</f>
        <v/>
      </c>
      <c r="H470" s="3" t="n">
        <v>1012</v>
      </c>
      <c r="I470" s="2" t="n">
        <v>54</v>
      </c>
      <c r="J470" s="3">
        <f>IFERROR(E470/H470,0)</f>
        <v/>
      </c>
      <c r="K470" s="10">
        <f>E470/'По разделам'!$B$21</f>
        <v/>
      </c>
      <c r="L470" s="4">
        <f>L469+K470</f>
        <v/>
      </c>
      <c r="M470" s="2" t="inlineStr">
        <is>
          <t>02936</t>
        </is>
      </c>
      <c r="N470" s="2" t="inlineStr">
        <is>
          <t>https://app.redstat.kz/niche/02936?event_date=2026-08-01</t>
        </is>
      </c>
      <c r="O470" s="2" t="inlineStr">
        <is>
          <t>https://kaspi.kz/shop/c/cartridges/</t>
        </is>
      </c>
    </row>
    <row r="471">
      <c r="A471" s="2" t="n">
        <v>470</v>
      </c>
      <c r="B471" s="2" t="inlineStr">
        <is>
          <t>Этажерки</t>
        </is>
      </c>
      <c r="C471" s="2" t="inlineStr">
        <is>
          <t>Мебель</t>
        </is>
      </c>
      <c r="D471" s="2" t="inlineStr">
        <is>
          <t>Мебель → Системы хранения, полки, этажерки → Этажерки</t>
        </is>
      </c>
      <c r="E471" s="3" t="n">
        <v>45342079</v>
      </c>
      <c r="F471" s="3" t="n">
        <v>5871</v>
      </c>
      <c r="G471" s="3">
        <f>IFERROR(E471/F471,0)</f>
        <v/>
      </c>
      <c r="H471" s="3" t="n">
        <v>426</v>
      </c>
      <c r="I471" s="2" t="n">
        <v>82</v>
      </c>
      <c r="J471" s="3">
        <f>IFERROR(E471/H471,0)</f>
        <v/>
      </c>
      <c r="K471" s="10">
        <f>E471/'По разделам'!$B$21</f>
        <v/>
      </c>
      <c r="L471" s="4">
        <f>L470+K471</f>
        <v/>
      </c>
      <c r="M471" s="2" t="inlineStr">
        <is>
          <t>05381</t>
        </is>
      </c>
      <c r="N471" s="2" t="inlineStr">
        <is>
          <t>https://app.redstat.kz/niche/05381?event_date=2026-08-01</t>
        </is>
      </c>
      <c r="O471" s="2" t="inlineStr">
        <is>
          <t>https://kaspi.kz/shop/c/shelves/</t>
        </is>
      </c>
    </row>
    <row r="472">
      <c r="A472" s="2" t="n">
        <v>471</v>
      </c>
      <c r="B472" s="2" t="inlineStr">
        <is>
          <t>Принадлежности для ванны и душа</t>
        </is>
      </c>
      <c r="C472" s="2" t="inlineStr">
        <is>
          <t>Красота и здоровье</t>
        </is>
      </c>
      <c r="D472" s="2" t="inlineStr">
        <is>
          <t>Красота и здоровье → Уход за телом → Принадлежности для ванны и душа</t>
        </is>
      </c>
      <c r="E472" s="3" t="n">
        <v>45052331</v>
      </c>
      <c r="F472" s="3" t="n">
        <v>47432</v>
      </c>
      <c r="G472" s="3">
        <f>IFERROR(E472/F472,0)</f>
        <v/>
      </c>
      <c r="H472" s="3" t="n">
        <v>1473</v>
      </c>
      <c r="I472" s="2" t="n">
        <v>326</v>
      </c>
      <c r="J472" s="3">
        <f>IFERROR(E472/H472,0)</f>
        <v/>
      </c>
      <c r="K472" s="10">
        <f>E472/'По разделам'!$B$21</f>
        <v/>
      </c>
      <c r="L472" s="4">
        <f>L471+K472</f>
        <v/>
      </c>
      <c r="M472" s="2" t="inlineStr">
        <is>
          <t>05150</t>
        </is>
      </c>
      <c r="N472" s="2" t="inlineStr">
        <is>
          <t>https://app.redstat.kz/niche/05150?event_date=2026-08-01</t>
        </is>
      </c>
      <c r="O472" s="2" t="inlineStr">
        <is>
          <t>https://kaspi.kz/shop/c/skin%20care%20accessories/</t>
        </is>
      </c>
    </row>
    <row r="473">
      <c r="A473" s="2" t="n">
        <v>472</v>
      </c>
      <c r="B473" s="2" t="inlineStr">
        <is>
          <t>Нижнее белье для мальчиков</t>
        </is>
      </c>
      <c r="C473" s="2" t="inlineStr">
        <is>
          <t>Одежда</t>
        </is>
      </c>
      <c r="D473" s="2" t="inlineStr">
        <is>
          <t>Одежда → Мальчикам → Нижнее белье для мальчиков → Нижнее белье для мальчиков</t>
        </is>
      </c>
      <c r="E473" s="3" t="n">
        <v>44162633</v>
      </c>
      <c r="F473" s="3" t="n">
        <v>20502</v>
      </c>
      <c r="G473" s="3">
        <f>IFERROR(E473/F473,0)</f>
        <v/>
      </c>
      <c r="H473" s="3" t="n">
        <v>1585</v>
      </c>
      <c r="I473" s="2" t="n">
        <v>150</v>
      </c>
      <c r="J473" s="3">
        <f>IFERROR(E473/H473,0)</f>
        <v/>
      </c>
      <c r="K473" s="10">
        <f>E473/'По разделам'!$B$21</f>
        <v/>
      </c>
      <c r="L473" s="4">
        <f>L472+K473</f>
        <v/>
      </c>
      <c r="M473" s="2" t="inlineStr">
        <is>
          <t>q6bdd1dd8e621d57</t>
        </is>
      </c>
      <c r="N473" s="2" t="inlineStr">
        <is>
          <t>https://app.redstat.kz/niche/q6bdd1dd8e621d57?event_date=2026-08-01</t>
        </is>
      </c>
      <c r="O473" s="2" t="inlineStr"/>
    </row>
    <row r="474">
      <c r="A474" s="2" t="n">
        <v>473</v>
      </c>
      <c r="B474" s="2" t="inlineStr">
        <is>
          <t>Электроника для рыбалки</t>
        </is>
      </c>
      <c r="C474" s="2" t="inlineStr">
        <is>
          <t>Спорт, туризм</t>
        </is>
      </c>
      <c r="D474" s="2" t="inlineStr">
        <is>
          <t>Спорт, туризм → Товары для рыбалки → Электроника для рыбалки → Электроника для рыбалки</t>
        </is>
      </c>
      <c r="E474" s="3" t="n">
        <v>43640502</v>
      </c>
      <c r="F474" s="3" t="n">
        <v>1785</v>
      </c>
      <c r="G474" s="3">
        <f>IFERROR(E474/F474,0)</f>
        <v/>
      </c>
      <c r="H474" s="3" t="n">
        <v>269</v>
      </c>
      <c r="I474" s="2" t="n">
        <v>48</v>
      </c>
      <c r="J474" s="3">
        <f>IFERROR(E474/H474,0)</f>
        <v/>
      </c>
      <c r="K474" s="10">
        <f>E474/'По разделам'!$B$21</f>
        <v/>
      </c>
      <c r="L474" s="4">
        <f>L473+K474</f>
        <v/>
      </c>
      <c r="M474" s="2" t="inlineStr">
        <is>
          <t>q3fa76f7c8cf7a5f</t>
        </is>
      </c>
      <c r="N474" s="2" t="inlineStr">
        <is>
          <t>https://app.redstat.kz/niche/q3fa76f7c8cf7a5f?event_date=2026-08-01</t>
        </is>
      </c>
      <c r="O474" s="2" t="inlineStr"/>
    </row>
    <row r="475">
      <c r="A475" s="2" t="n">
        <v>474</v>
      </c>
      <c r="B475" s="2" t="inlineStr">
        <is>
          <t>Мягкие игрушки</t>
        </is>
      </c>
      <c r="C475" s="2" t="inlineStr">
        <is>
          <t>Детские товары</t>
        </is>
      </c>
      <c r="D475" s="2" t="inlineStr">
        <is>
          <t>Детские товары → Игрушки → Мягкие игрушки</t>
        </is>
      </c>
      <c r="E475" s="3" t="n">
        <v>43510637</v>
      </c>
      <c r="F475" s="3" t="n">
        <v>8935</v>
      </c>
      <c r="G475" s="3">
        <f>IFERROR(E475/F475,0)</f>
        <v/>
      </c>
      <c r="H475" s="3" t="n">
        <v>1200</v>
      </c>
      <c r="I475" s="2" t="n">
        <v>147</v>
      </c>
      <c r="J475" s="3">
        <f>IFERROR(E475/H475,0)</f>
        <v/>
      </c>
      <c r="K475" s="10">
        <f>E475/'По разделам'!$B$21</f>
        <v/>
      </c>
      <c r="L475" s="4">
        <f>L474+K475</f>
        <v/>
      </c>
      <c r="M475" s="2" t="inlineStr">
        <is>
          <t>00107</t>
        </is>
      </c>
      <c r="N475" s="2" t="inlineStr">
        <is>
          <t>https://app.redstat.kz/niche/00107?event_date=2026-08-01</t>
        </is>
      </c>
      <c r="O475" s="2" t="inlineStr">
        <is>
          <t>https://kaspi.kz/shop/c/stuffed%20toys/</t>
        </is>
      </c>
    </row>
    <row r="476">
      <c r="A476" s="2" t="n">
        <v>475</v>
      </c>
      <c r="B476" s="2" t="inlineStr">
        <is>
          <t>Игровые комплексы</t>
        </is>
      </c>
      <c r="C476" s="2" t="inlineStr">
        <is>
          <t>Детские товары</t>
        </is>
      </c>
      <c r="D476" s="2" t="inlineStr">
        <is>
          <t>Детские товары → Игровая площадка → Игровые комплексы</t>
        </is>
      </c>
      <c r="E476" s="3" t="n">
        <v>43486253</v>
      </c>
      <c r="F476" s="3" t="n">
        <v>748</v>
      </c>
      <c r="G476" s="3">
        <f>IFERROR(E476/F476,0)</f>
        <v/>
      </c>
      <c r="H476" s="3" t="n">
        <v>168</v>
      </c>
      <c r="I476" s="2" t="n">
        <v>47</v>
      </c>
      <c r="J476" s="3">
        <f>IFERROR(E476/H476,0)</f>
        <v/>
      </c>
      <c r="K476" s="10">
        <f>E476/'По разделам'!$B$21</f>
        <v/>
      </c>
      <c r="L476" s="4">
        <f>L475+K476</f>
        <v/>
      </c>
      <c r="M476" s="2" t="inlineStr">
        <is>
          <t>02470</t>
        </is>
      </c>
      <c r="N476" s="2" t="inlineStr">
        <is>
          <t>https://app.redstat.kz/niche/02470?event_date=2026-08-01</t>
        </is>
      </c>
      <c r="O476" s="2" t="inlineStr">
        <is>
          <t>https://kaspi.kz/shop/c/play%20sets/</t>
        </is>
      </c>
    </row>
    <row r="477">
      <c r="A477" s="2" t="n">
        <v>476</v>
      </c>
      <c r="B477" s="2" t="inlineStr">
        <is>
          <t>Пульты для аудио и видеотехники</t>
        </is>
      </c>
      <c r="C477" s="2" t="inlineStr">
        <is>
          <t>ТВ, Аудио, Видео</t>
        </is>
      </c>
      <c r="D477" s="2" t="inlineStr">
        <is>
          <t>ТВ, Аудио, Видео → Видеотехника → Пульты для аудио и видеотехники</t>
        </is>
      </c>
      <c r="E477" s="3" t="n">
        <v>43260100</v>
      </c>
      <c r="F477" s="3" t="n">
        <v>12969</v>
      </c>
      <c r="G477" s="3">
        <f>IFERROR(E477/F477,0)</f>
        <v/>
      </c>
      <c r="H477" s="3" t="n">
        <v>854</v>
      </c>
      <c r="I477" s="2" t="n">
        <v>69</v>
      </c>
      <c r="J477" s="3">
        <f>IFERROR(E477/H477,0)</f>
        <v/>
      </c>
      <c r="K477" s="10">
        <f>E477/'По разделам'!$B$21</f>
        <v/>
      </c>
      <c r="L477" s="4">
        <f>L476+K477</f>
        <v/>
      </c>
      <c r="M477" s="2" t="inlineStr">
        <is>
          <t>05346</t>
        </is>
      </c>
      <c r="N477" s="2" t="inlineStr">
        <is>
          <t>https://app.redstat.kz/niche/05346?event_date=2026-08-01</t>
        </is>
      </c>
      <c r="O477" s="2" t="inlineStr">
        <is>
          <t>https://kaspi.kz/shop/c/tv%20remote%20controls/</t>
        </is>
      </c>
    </row>
    <row r="478">
      <c r="A478" s="2" t="n">
        <v>477</v>
      </c>
      <c r="B478" s="2" t="inlineStr">
        <is>
          <t>Малярное оборудование</t>
        </is>
      </c>
      <c r="C478" s="2" t="inlineStr">
        <is>
          <t>Строительство, ремонт</t>
        </is>
      </c>
      <c r="D478" s="2" t="inlineStr">
        <is>
          <t>Строительство, ремонт → Строительное оборудование → Малярное оборудование → Малярное оборудование</t>
        </is>
      </c>
      <c r="E478" s="3" t="n">
        <v>43110841</v>
      </c>
      <c r="F478" s="3" t="n">
        <v>232</v>
      </c>
      <c r="G478" s="3">
        <f>IFERROR(E478/F478,0)</f>
        <v/>
      </c>
      <c r="H478" s="3" t="n">
        <v>86</v>
      </c>
      <c r="I478" s="2" t="n">
        <v>27</v>
      </c>
      <c r="J478" s="3">
        <f>IFERROR(E478/H478,0)</f>
        <v/>
      </c>
      <c r="K478" s="10">
        <f>E478/'По разделам'!$B$21</f>
        <v/>
      </c>
      <c r="L478" s="4">
        <f>L477+K478</f>
        <v/>
      </c>
      <c r="M478" s="2" t="inlineStr">
        <is>
          <t>q58180ac243e6cea</t>
        </is>
      </c>
      <c r="N478" s="2" t="inlineStr">
        <is>
          <t>https://app.redstat.kz/niche/q58180ac243e6cea?event_date=2026-08-01</t>
        </is>
      </c>
      <c r="O478" s="2" t="inlineStr"/>
    </row>
    <row r="479">
      <c r="A479" s="2" t="n">
        <v>478</v>
      </c>
      <c r="B479" s="2" t="inlineStr">
        <is>
          <t>Графические планшеты</t>
        </is>
      </c>
      <c r="C479" s="2" t="inlineStr">
        <is>
          <t>Компьютеры</t>
        </is>
      </c>
      <c r="D479" s="2" t="inlineStr">
        <is>
          <t>Компьютеры → Планшеты и аксессуары → Графические планшеты</t>
        </is>
      </c>
      <c r="E479" s="3" t="n">
        <v>42697683</v>
      </c>
      <c r="F479" s="3" t="n">
        <v>555</v>
      </c>
      <c r="G479" s="3">
        <f>IFERROR(E479/F479,0)</f>
        <v/>
      </c>
      <c r="H479" s="3" t="n">
        <v>118</v>
      </c>
      <c r="I479" s="2" t="n">
        <v>11</v>
      </c>
      <c r="J479" s="3">
        <f>IFERROR(E479/H479,0)</f>
        <v/>
      </c>
      <c r="K479" s="10">
        <f>E479/'По разделам'!$B$21</f>
        <v/>
      </c>
      <c r="L479" s="4">
        <f>L478+K479</f>
        <v/>
      </c>
      <c r="M479" s="2" t="inlineStr">
        <is>
          <t>00584</t>
        </is>
      </c>
      <c r="N479" s="2" t="inlineStr">
        <is>
          <t>https://app.redstat.kz/niche/00584?event_date=2026-08-01</t>
        </is>
      </c>
      <c r="O479" s="2" t="inlineStr">
        <is>
          <t>https://kaspi.kz/shop/c/graphics%20tablets/</t>
        </is>
      </c>
    </row>
    <row r="480">
      <c r="A480" s="2" t="n">
        <v>479</v>
      </c>
      <c r="B480" s="2" t="inlineStr">
        <is>
          <t>Безопасность ребенка</t>
        </is>
      </c>
      <c r="C480" s="2" t="inlineStr">
        <is>
          <t>Детские товары</t>
        </is>
      </c>
      <c r="D480" s="2" t="inlineStr">
        <is>
          <t>Детские товары → Для малыша и мамы → Безопасность ребенка → Безопасность ребенка</t>
        </is>
      </c>
      <c r="E480" s="3" t="n">
        <v>42595518</v>
      </c>
      <c r="F480" s="3" t="n">
        <v>10471</v>
      </c>
      <c r="G480" s="3">
        <f>IFERROR(E480/F480,0)</f>
        <v/>
      </c>
      <c r="H480" s="3" t="n">
        <v>512</v>
      </c>
      <c r="I480" s="2" t="n">
        <v>139</v>
      </c>
      <c r="J480" s="3">
        <f>IFERROR(E480/H480,0)</f>
        <v/>
      </c>
      <c r="K480" s="10">
        <f>E480/'По разделам'!$B$21</f>
        <v/>
      </c>
      <c r="L480" s="4">
        <f>L479+K480</f>
        <v/>
      </c>
      <c r="M480" s="2" t="inlineStr">
        <is>
          <t>q73d6975efc39bb7</t>
        </is>
      </c>
      <c r="N480" s="2" t="inlineStr">
        <is>
          <t>https://app.redstat.kz/niche/q73d6975efc39bb7?event_date=2026-08-01</t>
        </is>
      </c>
      <c r="O480" s="2" t="inlineStr"/>
    </row>
    <row r="481">
      <c r="A481" s="2" t="n">
        <v>480</v>
      </c>
      <c r="B481" s="2" t="inlineStr">
        <is>
          <t>Мебель для кафе и ресторанов</t>
        </is>
      </c>
      <c r="C481" s="2" t="inlineStr">
        <is>
          <t>Мебель</t>
        </is>
      </c>
      <c r="D481" s="2" t="inlineStr">
        <is>
          <t>Мебель → Торговое оборудование → Мебель для кафе и ресторанов → Мебель для кафе и ресторанов</t>
        </is>
      </c>
      <c r="E481" s="3" t="n">
        <v>42493127</v>
      </c>
      <c r="F481" s="3" t="n">
        <v>602</v>
      </c>
      <c r="G481" s="3">
        <f>IFERROR(E481/F481,0)</f>
        <v/>
      </c>
      <c r="H481" s="3" t="n">
        <v>215</v>
      </c>
      <c r="I481" s="2" t="n">
        <v>31</v>
      </c>
      <c r="J481" s="3">
        <f>IFERROR(E481/H481,0)</f>
        <v/>
      </c>
      <c r="K481" s="10">
        <f>E481/'По разделам'!$B$21</f>
        <v/>
      </c>
      <c r="L481" s="4">
        <f>L480+K481</f>
        <v/>
      </c>
      <c r="M481" s="2" t="inlineStr">
        <is>
          <t>q1f2510457ac03ad</t>
        </is>
      </c>
      <c r="N481" s="2" t="inlineStr">
        <is>
          <t>https://app.redstat.kz/niche/q1f2510457ac03ad?event_date=2026-08-01</t>
        </is>
      </c>
      <c r="O481" s="2" t="inlineStr"/>
    </row>
    <row r="482">
      <c r="A482" s="2" t="n">
        <v>481</v>
      </c>
      <c r="B482" s="2" t="inlineStr">
        <is>
          <t>Туристические ножи, мультитулы и инструменты</t>
        </is>
      </c>
      <c r="C482" s="2" t="inlineStr">
        <is>
          <t>Спорт, туризм</t>
        </is>
      </c>
      <c r="D482" s="2" t="inlineStr">
        <is>
          <t>Спорт, туризм → Туризм и отдых на природе → Туристические ножи, мультитулы и инструменты → Туристические ножи, мультитулы и инструменты</t>
        </is>
      </c>
      <c r="E482" s="3" t="n">
        <v>42272624</v>
      </c>
      <c r="F482" s="3" t="n">
        <v>6017</v>
      </c>
      <c r="G482" s="3">
        <f>IFERROR(E482/F482,0)</f>
        <v/>
      </c>
      <c r="H482" s="3" t="n">
        <v>937</v>
      </c>
      <c r="I482" s="2" t="n">
        <v>177</v>
      </c>
      <c r="J482" s="3">
        <f>IFERROR(E482/H482,0)</f>
        <v/>
      </c>
      <c r="K482" s="10">
        <f>E482/'По разделам'!$B$21</f>
        <v/>
      </c>
      <c r="L482" s="4">
        <f>L481+K482</f>
        <v/>
      </c>
      <c r="M482" s="2" t="inlineStr">
        <is>
          <t>q9d938c2660001d5</t>
        </is>
      </c>
      <c r="N482" s="2" t="inlineStr">
        <is>
          <t>https://app.redstat.kz/niche/q9d938c2660001d5?event_date=2026-08-01</t>
        </is>
      </c>
      <c r="O482" s="2" t="inlineStr"/>
    </row>
    <row r="483">
      <c r="A483" s="2" t="n">
        <v>482</v>
      </c>
      <c r="B483" s="2" t="inlineStr">
        <is>
          <t>Комплектующие для климатической техники</t>
        </is>
      </c>
      <c r="C483" s="2" t="inlineStr">
        <is>
          <t>Бытовая техника</t>
        </is>
      </c>
      <c r="D483" s="2" t="inlineStr">
        <is>
          <t>Бытовая техника → Климатическая техника → Комплектующие для климатической техники → Комплектующие для климатической техники</t>
        </is>
      </c>
      <c r="E483" s="3" t="n">
        <v>42024805</v>
      </c>
      <c r="F483" s="3" t="n">
        <v>6705</v>
      </c>
      <c r="G483" s="3">
        <f>IFERROR(E483/F483,0)</f>
        <v/>
      </c>
      <c r="H483" s="3" t="n">
        <v>665</v>
      </c>
      <c r="I483" s="2" t="n">
        <v>85</v>
      </c>
      <c r="J483" s="3">
        <f>IFERROR(E483/H483,0)</f>
        <v/>
      </c>
      <c r="K483" s="10">
        <f>E483/'По разделам'!$B$21</f>
        <v/>
      </c>
      <c r="L483" s="4">
        <f>L482+K483</f>
        <v/>
      </c>
      <c r="M483" s="2" t="inlineStr">
        <is>
          <t>q192c541212ef8c2</t>
        </is>
      </c>
      <c r="N483" s="2" t="inlineStr">
        <is>
          <t>https://app.redstat.kz/niche/q192c541212ef8c2?event_date=2026-08-01</t>
        </is>
      </c>
      <c r="O483" s="2" t="inlineStr"/>
    </row>
    <row r="484">
      <c r="A484" s="2" t="n">
        <v>483</v>
      </c>
      <c r="B484" s="2" t="inlineStr">
        <is>
          <t>Студийный свет</t>
        </is>
      </c>
      <c r="C484" s="2" t="inlineStr">
        <is>
          <t>ТВ, Аудио, Видео</t>
        </is>
      </c>
      <c r="D484" s="2" t="inlineStr">
        <is>
          <t>ТВ, Аудио, Видео → Фото- и видеокамеры → Студийный свет → Студийный свет</t>
        </is>
      </c>
      <c r="E484" s="3" t="n">
        <v>41714777</v>
      </c>
      <c r="F484" s="3" t="n">
        <v>1763</v>
      </c>
      <c r="G484" s="3">
        <f>IFERROR(E484/F484,0)</f>
        <v/>
      </c>
      <c r="H484" s="3" t="n">
        <v>249</v>
      </c>
      <c r="I484" s="2" t="n">
        <v>47</v>
      </c>
      <c r="J484" s="3">
        <f>IFERROR(E484/H484,0)</f>
        <v/>
      </c>
      <c r="K484" s="10">
        <f>E484/'По разделам'!$B$21</f>
        <v/>
      </c>
      <c r="L484" s="4">
        <f>L483+K484</f>
        <v/>
      </c>
      <c r="M484" s="2" t="inlineStr">
        <is>
          <t>q869f969d5a13f6f</t>
        </is>
      </c>
      <c r="N484" s="2" t="inlineStr">
        <is>
          <t>https://app.redstat.kz/niche/q869f969d5a13f6f?event_date=2026-08-01</t>
        </is>
      </c>
      <c r="O484" s="2" t="inlineStr"/>
    </row>
    <row r="485">
      <c r="A485" s="2" t="n">
        <v>484</v>
      </c>
      <c r="B485" s="2" t="inlineStr">
        <is>
          <t>Расходные материалы для маникюра и педикюра</t>
        </is>
      </c>
      <c r="C485" s="2" t="inlineStr">
        <is>
          <t>Красота и здоровье</t>
        </is>
      </c>
      <c r="D485" s="2" t="inlineStr">
        <is>
          <t>Красота и здоровье → Для маникюра и педикюра → Расходные материалы для маникюра и педикюра</t>
        </is>
      </c>
      <c r="E485" s="3" t="n">
        <v>41572272</v>
      </c>
      <c r="F485" s="3" t="n">
        <v>16228</v>
      </c>
      <c r="G485" s="3">
        <f>IFERROR(E485/F485,0)</f>
        <v/>
      </c>
      <c r="H485" s="3" t="n">
        <v>598</v>
      </c>
      <c r="I485" s="2" t="n">
        <v>96</v>
      </c>
      <c r="J485" s="3">
        <f>IFERROR(E485/H485,0)</f>
        <v/>
      </c>
      <c r="K485" s="10">
        <f>E485/'По разделам'!$B$21</f>
        <v/>
      </c>
      <c r="L485" s="4">
        <f>L484+K485</f>
        <v/>
      </c>
      <c r="M485" s="2" t="inlineStr">
        <is>
          <t>05263</t>
        </is>
      </c>
      <c r="N485" s="2" t="inlineStr">
        <is>
          <t>https://app.redstat.kz/niche/05263?event_date=2026-08-01</t>
        </is>
      </c>
      <c r="O485" s="2" t="inlineStr">
        <is>
          <t>https://kaspi.kz/shop/c/consumables%20for%20manicure/</t>
        </is>
      </c>
    </row>
    <row r="486">
      <c r="A486" s="2" t="n">
        <v>485</v>
      </c>
      <c r="B486" s="2" t="inlineStr">
        <is>
          <t>Тренировочные снаряды для бокса и единоборств</t>
        </is>
      </c>
      <c r="C486" s="2" t="inlineStr">
        <is>
          <t>Спорт, туризм</t>
        </is>
      </c>
      <c r="D486" s="2" t="inlineStr">
        <is>
          <t>Спорт, туризм → Единоборства → Тренировочные снаряды для бокса и единоборств</t>
        </is>
      </c>
      <c r="E486" s="3" t="n">
        <v>41486049</v>
      </c>
      <c r="F486" s="3" t="n">
        <v>3156</v>
      </c>
      <c r="G486" s="3">
        <f>IFERROR(E486/F486,0)</f>
        <v/>
      </c>
      <c r="H486" s="3" t="n">
        <v>552</v>
      </c>
      <c r="I486" s="2" t="n">
        <v>108</v>
      </c>
      <c r="J486" s="3">
        <f>IFERROR(E486/H486,0)</f>
        <v/>
      </c>
      <c r="K486" s="10">
        <f>E486/'По разделам'!$B$21</f>
        <v/>
      </c>
      <c r="L486" s="4">
        <f>L485+K486</f>
        <v/>
      </c>
      <c r="M486" s="2" t="inlineStr">
        <is>
          <t>01209</t>
        </is>
      </c>
      <c r="N486" s="2" t="inlineStr">
        <is>
          <t>https://app.redstat.kz/niche/01209?event_date=2026-08-01</t>
        </is>
      </c>
      <c r="O486" s="2" t="inlineStr">
        <is>
          <t>https://kaspi.kz/shop/c/training%20punching%20implements/</t>
        </is>
      </c>
    </row>
    <row r="487">
      <c r="A487" s="2" t="n">
        <v>486</v>
      </c>
      <c r="B487" s="2" t="inlineStr">
        <is>
          <t>Очки дополненной реальности</t>
        </is>
      </c>
      <c r="C487" s="2" t="inlineStr">
        <is>
          <t>ТВ, Аудио, Видео</t>
        </is>
      </c>
      <c r="D487" s="2" t="inlineStr">
        <is>
          <t>ТВ, Аудио, Видео → Развлечения → Очки дополненной реальности</t>
        </is>
      </c>
      <c r="E487" s="3" t="n">
        <v>41446033</v>
      </c>
      <c r="F487" s="3" t="n">
        <v>118</v>
      </c>
      <c r="G487" s="3">
        <f>IFERROR(E487/F487,0)</f>
        <v/>
      </c>
      <c r="H487" s="3" t="n">
        <v>12</v>
      </c>
      <c r="I487" s="2" t="n">
        <v>5</v>
      </c>
      <c r="J487" s="3">
        <f>IFERROR(E487/H487,0)</f>
        <v/>
      </c>
      <c r="K487" s="10">
        <f>E487/'По разделам'!$B$21</f>
        <v/>
      </c>
      <c r="L487" s="4">
        <f>L486+K487</f>
        <v/>
      </c>
      <c r="M487" s="2" t="inlineStr">
        <is>
          <t>05059</t>
        </is>
      </c>
      <c r="N487" s="2" t="inlineStr">
        <is>
          <t>https://app.redstat.kz/niche/05059?event_date=2026-08-01</t>
        </is>
      </c>
      <c r="O487" s="2" t="inlineStr">
        <is>
          <t>https://kaspi.kz/shop/c/augmented%20reality%20glasses/</t>
        </is>
      </c>
    </row>
    <row r="488">
      <c r="A488" s="2" t="n">
        <v>487</v>
      </c>
      <c r="B488" s="2" t="inlineStr">
        <is>
          <t>Мужские шлепанцы</t>
        </is>
      </c>
      <c r="C488" s="2" t="inlineStr">
        <is>
          <t>Обувь</t>
        </is>
      </c>
      <c r="D488" s="2" t="inlineStr">
        <is>
          <t>Обувь → Мужская обувь → Мужские шлепанцы</t>
        </is>
      </c>
      <c r="E488" s="3" t="n">
        <v>41388090</v>
      </c>
      <c r="F488" s="3" t="n">
        <v>8007</v>
      </c>
      <c r="G488" s="3">
        <f>IFERROR(E488/F488,0)</f>
        <v/>
      </c>
      <c r="H488" s="3" t="n">
        <v>1598</v>
      </c>
      <c r="I488" s="2" t="n">
        <v>119</v>
      </c>
      <c r="J488" s="3">
        <f>IFERROR(E488/H488,0)</f>
        <v/>
      </c>
      <c r="K488" s="10">
        <f>E488/'По разделам'!$B$21</f>
        <v/>
      </c>
      <c r="L488" s="4">
        <f>L487+K488</f>
        <v/>
      </c>
      <c r="M488" s="2" t="inlineStr">
        <is>
          <t>00806</t>
        </is>
      </c>
      <c r="N488" s="2" t="inlineStr">
        <is>
          <t>https://app.redstat.kz/niche/00806?event_date=2026-08-01</t>
        </is>
      </c>
      <c r="O488" s="2" t="inlineStr">
        <is>
          <t>https://kaspi.kz/shop/c/men%20flip%20flops/</t>
        </is>
      </c>
    </row>
    <row r="489">
      <c r="A489" s="2" t="n">
        <v>488</v>
      </c>
      <c r="B489" s="2" t="inlineStr">
        <is>
          <t>Розетки и выключатели</t>
        </is>
      </c>
      <c r="C489" s="2" t="inlineStr">
        <is>
          <t>Строительство, ремонт</t>
        </is>
      </c>
      <c r="D489" s="2" t="inlineStr">
        <is>
          <t>Строительство, ремонт → Электрика → Розетки и выключатели → Розетки и выключатели</t>
        </is>
      </c>
      <c r="E489" s="3" t="n">
        <v>41116552</v>
      </c>
      <c r="F489" s="3" t="n">
        <v>6677</v>
      </c>
      <c r="G489" s="3">
        <f>IFERROR(E489/F489,0)</f>
        <v/>
      </c>
      <c r="H489" s="3" t="n">
        <v>1199</v>
      </c>
      <c r="I489" s="2" t="n">
        <v>122</v>
      </c>
      <c r="J489" s="3">
        <f>IFERROR(E489/H489,0)</f>
        <v/>
      </c>
      <c r="K489" s="10">
        <f>E489/'По разделам'!$B$21</f>
        <v/>
      </c>
      <c r="L489" s="4">
        <f>L488+K489</f>
        <v/>
      </c>
      <c r="M489" s="2" t="inlineStr">
        <is>
          <t>qa88740834c32cb6</t>
        </is>
      </c>
      <c r="N489" s="2" t="inlineStr">
        <is>
          <t>https://app.redstat.kz/niche/qa88740834c32cb6?event_date=2026-08-01</t>
        </is>
      </c>
      <c r="O489" s="2" t="inlineStr"/>
    </row>
    <row r="490">
      <c r="A490" s="2" t="n">
        <v>489</v>
      </c>
      <c r="B490" s="2" t="inlineStr">
        <is>
          <t>Комплектующие для мебели</t>
        </is>
      </c>
      <c r="C490" s="2" t="inlineStr">
        <is>
          <t>Мебель</t>
        </is>
      </c>
      <c r="D490" s="2" t="inlineStr">
        <is>
          <t>Мебель → Фурнитура и комплектующие для мебели → Комплектующие для мебели → Комплектующие для мебели</t>
        </is>
      </c>
      <c r="E490" s="3" t="n">
        <v>40865598</v>
      </c>
      <c r="F490" s="3" t="n">
        <v>5412</v>
      </c>
      <c r="G490" s="3">
        <f>IFERROR(E490/F490,0)</f>
        <v/>
      </c>
      <c r="H490" s="3" t="n">
        <v>1007</v>
      </c>
      <c r="I490" s="2" t="n">
        <v>139</v>
      </c>
      <c r="J490" s="3">
        <f>IFERROR(E490/H490,0)</f>
        <v/>
      </c>
      <c r="K490" s="10">
        <f>E490/'По разделам'!$B$21</f>
        <v/>
      </c>
      <c r="L490" s="4">
        <f>L489+K490</f>
        <v/>
      </c>
      <c r="M490" s="2" t="inlineStr">
        <is>
          <t>q1af1d0c5615e405</t>
        </is>
      </c>
      <c r="N490" s="2" t="inlineStr">
        <is>
          <t>https://app.redstat.kz/niche/q1af1d0c5615e405?event_date=2026-08-01</t>
        </is>
      </c>
      <c r="O490" s="2" t="inlineStr"/>
    </row>
    <row r="491">
      <c r="A491" s="2" t="n">
        <v>490</v>
      </c>
      <c r="B491" s="2" t="inlineStr">
        <is>
          <t>Хранение инструмента</t>
        </is>
      </c>
      <c r="C491" s="2" t="inlineStr">
        <is>
          <t>Строительство, ремонт</t>
        </is>
      </c>
      <c r="D491" s="2" t="inlineStr">
        <is>
          <t>Строительство, ремонт → Инструменты → Хранение инструмента → Хранение инструмента</t>
        </is>
      </c>
      <c r="E491" s="3" t="n">
        <v>40748075</v>
      </c>
      <c r="F491" s="3" t="n">
        <v>2309</v>
      </c>
      <c r="G491" s="3">
        <f>IFERROR(E491/F491,0)</f>
        <v/>
      </c>
      <c r="H491" s="3" t="n">
        <v>461</v>
      </c>
      <c r="I491" s="2" t="n">
        <v>99</v>
      </c>
      <c r="J491" s="3">
        <f>IFERROR(E491/H491,0)</f>
        <v/>
      </c>
      <c r="K491" s="10">
        <f>E491/'По разделам'!$B$21</f>
        <v/>
      </c>
      <c r="L491" s="4">
        <f>L490+K491</f>
        <v/>
      </c>
      <c r="M491" s="2" t="inlineStr">
        <is>
          <t>q678380c8c299e88</t>
        </is>
      </c>
      <c r="N491" s="2" t="inlineStr">
        <is>
          <t>https://app.redstat.kz/niche/q678380c8c299e88?event_date=2026-08-01</t>
        </is>
      </c>
      <c r="O491" s="2" t="inlineStr"/>
    </row>
    <row r="492">
      <c r="A492" s="2" t="n">
        <v>491</v>
      </c>
      <c r="B492" s="2" t="inlineStr">
        <is>
          <t>Женские сапоги</t>
        </is>
      </c>
      <c r="C492" s="2" t="inlineStr">
        <is>
          <t>Обувь</t>
        </is>
      </c>
      <c r="D492" s="2" t="inlineStr">
        <is>
          <t>Обувь → Женская обувь → Женские сапоги</t>
        </is>
      </c>
      <c r="E492" s="3" t="n">
        <v>40609099</v>
      </c>
      <c r="F492" s="3" t="n">
        <v>1221</v>
      </c>
      <c r="G492" s="3">
        <f>IFERROR(E492/F492,0)</f>
        <v/>
      </c>
      <c r="H492" s="3" t="n">
        <v>949</v>
      </c>
      <c r="I492" s="2" t="n">
        <v>209</v>
      </c>
      <c r="J492" s="3">
        <f>IFERROR(E492/H492,0)</f>
        <v/>
      </c>
      <c r="K492" s="10">
        <f>E492/'По разделам'!$B$21</f>
        <v/>
      </c>
      <c r="L492" s="4">
        <f>L491+K492</f>
        <v/>
      </c>
      <c r="M492" s="2" t="inlineStr">
        <is>
          <t>00817</t>
        </is>
      </c>
      <c r="N492" s="2" t="inlineStr">
        <is>
          <t>https://app.redstat.kz/niche/00817?event_date=2026-08-01</t>
        </is>
      </c>
      <c r="O492" s="2" t="inlineStr">
        <is>
          <t>https://kaspi.kz/shop/c/women%20knee%20boots/</t>
        </is>
      </c>
    </row>
    <row r="493">
      <c r="A493" s="2" t="n">
        <v>492</v>
      </c>
      <c r="B493" s="2" t="inlineStr">
        <is>
          <t>Инверсионные столы</t>
        </is>
      </c>
      <c r="C493" s="2" t="inlineStr">
        <is>
          <t>Спорт, туризм</t>
        </is>
      </c>
      <c r="D493" s="2" t="inlineStr">
        <is>
          <t>Спорт, туризм → Тренажеры → Инверсионные столы</t>
        </is>
      </c>
      <c r="E493" s="3" t="n">
        <v>40608321</v>
      </c>
      <c r="F493" s="3" t="n">
        <v>777</v>
      </c>
      <c r="G493" s="3">
        <f>IFERROR(E493/F493,0)</f>
        <v/>
      </c>
      <c r="H493" s="3" t="n">
        <v>56</v>
      </c>
      <c r="I493" s="2" t="n">
        <v>24</v>
      </c>
      <c r="J493" s="3">
        <f>IFERROR(E493/H493,0)</f>
        <v/>
      </c>
      <c r="K493" s="10">
        <f>E493/'По разделам'!$B$21</f>
        <v/>
      </c>
      <c r="L493" s="4">
        <f>L492+K493</f>
        <v/>
      </c>
      <c r="M493" s="2" t="inlineStr">
        <is>
          <t>01016</t>
        </is>
      </c>
      <c r="N493" s="2" t="inlineStr">
        <is>
          <t>https://app.redstat.kz/niche/01016?event_date=2026-08-01</t>
        </is>
      </c>
      <c r="O493" s="2" t="inlineStr">
        <is>
          <t>https://kaspi.kz/shop/c/inversion%20tables/</t>
        </is>
      </c>
    </row>
    <row r="494">
      <c r="A494" s="2" t="n">
        <v>493</v>
      </c>
      <c r="B494" s="2" t="inlineStr">
        <is>
          <t>Зонты</t>
        </is>
      </c>
      <c r="C494" s="2" t="inlineStr">
        <is>
          <t>Аксессуары</t>
        </is>
      </c>
      <c r="D494" s="2" t="inlineStr">
        <is>
          <t>Аксессуары → Зонты, брелоки и портсигары → Зонты</t>
        </is>
      </c>
      <c r="E494" s="3" t="n">
        <v>40568654</v>
      </c>
      <c r="F494" s="3" t="n">
        <v>11305</v>
      </c>
      <c r="G494" s="3">
        <f>IFERROR(E494/F494,0)</f>
        <v/>
      </c>
      <c r="H494" s="3" t="n">
        <v>500</v>
      </c>
      <c r="I494" s="2" t="n">
        <v>101</v>
      </c>
      <c r="J494" s="3">
        <f>IFERROR(E494/H494,0)</f>
        <v/>
      </c>
      <c r="K494" s="10">
        <f>E494/'По разделам'!$B$21</f>
        <v/>
      </c>
      <c r="L494" s="4">
        <f>L493+K494</f>
        <v/>
      </c>
      <c r="M494" s="2" t="inlineStr">
        <is>
          <t>00997</t>
        </is>
      </c>
      <c r="N494" s="2" t="inlineStr">
        <is>
          <t>https://app.redstat.kz/niche/00997?event_date=2026-08-01</t>
        </is>
      </c>
      <c r="O494" s="2" t="inlineStr">
        <is>
          <t>https://kaspi.kz/shop/c/umbrellas/</t>
        </is>
      </c>
    </row>
    <row r="495">
      <c r="A495" s="2" t="n">
        <v>494</v>
      </c>
      <c r="B495" s="2" t="inlineStr">
        <is>
          <t>Этикетки, ценники, бирки</t>
        </is>
      </c>
      <c r="C495" s="2" t="inlineStr">
        <is>
          <t>Канцелярские товары</t>
        </is>
      </c>
      <c r="D495" s="2" t="inlineStr">
        <is>
          <t>Канцелярские товары → Торговые и рекламные принадлежности → Этикетки, ценники, бирки</t>
        </is>
      </c>
      <c r="E495" s="3" t="n">
        <v>40512749</v>
      </c>
      <c r="F495" s="3" t="n">
        <v>9804</v>
      </c>
      <c r="G495" s="3">
        <f>IFERROR(E495/F495,0)</f>
        <v/>
      </c>
      <c r="H495" s="3" t="n">
        <v>533</v>
      </c>
      <c r="I495" s="2" t="n">
        <v>64</v>
      </c>
      <c r="J495" s="3">
        <f>IFERROR(E495/H495,0)</f>
        <v/>
      </c>
      <c r="K495" s="10">
        <f>E495/'По разделам'!$B$21</f>
        <v/>
      </c>
      <c r="L495" s="4">
        <f>L494+K495</f>
        <v/>
      </c>
      <c r="M495" s="2" t="inlineStr">
        <is>
          <t>04239</t>
        </is>
      </c>
      <c r="N495" s="2" t="inlineStr">
        <is>
          <t>https://app.redstat.kz/niche/04239?event_date=2026-08-01</t>
        </is>
      </c>
      <c r="O495" s="2" t="inlineStr">
        <is>
          <t>https://kaspi.kz/shop/c/adhesive%20labels/</t>
        </is>
      </c>
    </row>
    <row r="496">
      <c r="A496" s="2" t="n">
        <v>495</v>
      </c>
      <c r="B496" s="2" t="inlineStr">
        <is>
          <t>Кровельные материалы</t>
        </is>
      </c>
      <c r="C496" s="2" t="inlineStr">
        <is>
          <t>Строительство, ремонт</t>
        </is>
      </c>
      <c r="D496" s="2" t="inlineStr">
        <is>
          <t>Строительство, ремонт → Кровля, фасад, ворота → Кровельные материалы → Кровельные материалы</t>
        </is>
      </c>
      <c r="E496" s="3" t="n">
        <v>40310878</v>
      </c>
      <c r="F496" s="3" t="n">
        <v>529</v>
      </c>
      <c r="G496" s="3">
        <f>IFERROR(E496/F496,0)</f>
        <v/>
      </c>
      <c r="H496" s="3" t="n">
        <v>201</v>
      </c>
      <c r="I496" s="2" t="n">
        <v>35</v>
      </c>
      <c r="J496" s="3">
        <f>IFERROR(E496/H496,0)</f>
        <v/>
      </c>
      <c r="K496" s="10">
        <f>E496/'По разделам'!$B$21</f>
        <v/>
      </c>
      <c r="L496" s="4">
        <f>L495+K496</f>
        <v/>
      </c>
      <c r="M496" s="2" t="inlineStr">
        <is>
          <t>q459fd9c90b8b792</t>
        </is>
      </c>
      <c r="N496" s="2" t="inlineStr">
        <is>
          <t>https://app.redstat.kz/niche/q459fd9c90b8b792?event_date=2026-08-01</t>
        </is>
      </c>
      <c r="O496" s="2" t="inlineStr"/>
    </row>
    <row r="497">
      <c r="A497" s="2" t="n">
        <v>496</v>
      </c>
      <c r="B497" s="2" t="inlineStr">
        <is>
          <t>Блоки питания</t>
        </is>
      </c>
      <c r="C497" s="2" t="inlineStr">
        <is>
          <t>Компьютеры</t>
        </is>
      </c>
      <c r="D497" s="2" t="inlineStr">
        <is>
          <t>Компьютеры → Комплектующие → Блоки питания</t>
        </is>
      </c>
      <c r="E497" s="3" t="n">
        <v>40206583</v>
      </c>
      <c r="F497" s="3" t="n">
        <v>1022</v>
      </c>
      <c r="G497" s="3">
        <f>IFERROR(E497/F497,0)</f>
        <v/>
      </c>
      <c r="H497" s="3" t="n">
        <v>308</v>
      </c>
      <c r="I497" s="2" t="n">
        <v>44</v>
      </c>
      <c r="J497" s="3">
        <f>IFERROR(E497/H497,0)</f>
        <v/>
      </c>
      <c r="K497" s="10">
        <f>E497/'По разделам'!$B$21</f>
        <v/>
      </c>
      <c r="L497" s="4">
        <f>L496+K497</f>
        <v/>
      </c>
      <c r="M497" s="2" t="inlineStr">
        <is>
          <t>00113</t>
        </is>
      </c>
      <c r="N497" s="2" t="inlineStr">
        <is>
          <t>https://app.redstat.kz/niche/00113?event_date=2026-08-01</t>
        </is>
      </c>
      <c r="O497" s="2" t="inlineStr">
        <is>
          <t>https://kaspi.kz/shop/c/power%20supplies/</t>
        </is>
      </c>
    </row>
    <row r="498">
      <c r="A498" s="2" t="n">
        <v>497</v>
      </c>
      <c r="B498" s="2" t="inlineStr">
        <is>
          <t>Паста для шугаринга</t>
        </is>
      </c>
      <c r="C498" s="2" t="inlineStr">
        <is>
          <t>Красота и здоровье</t>
        </is>
      </c>
      <c r="D498" s="2" t="inlineStr">
        <is>
          <t>Красота и здоровье → Депиляция и эпиляция → Паста для шугаринга</t>
        </is>
      </c>
      <c r="E498" s="3" t="n">
        <v>40151168</v>
      </c>
      <c r="F498" s="3" t="n">
        <v>21541</v>
      </c>
      <c r="G498" s="3">
        <f>IFERROR(E498/F498,0)</f>
        <v/>
      </c>
      <c r="H498" s="3" t="n">
        <v>238</v>
      </c>
      <c r="I498" s="2" t="n">
        <v>32</v>
      </c>
      <c r="J498" s="3">
        <f>IFERROR(E498/H498,0)</f>
        <v/>
      </c>
      <c r="K498" s="10">
        <f>E498/'По разделам'!$B$21</f>
        <v/>
      </c>
      <c r="L498" s="4">
        <f>L497+K498</f>
        <v/>
      </c>
      <c r="M498" s="2" t="inlineStr">
        <is>
          <t>01876</t>
        </is>
      </c>
      <c r="N498" s="2" t="inlineStr">
        <is>
          <t>https://app.redstat.kz/niche/01876?event_date=2026-08-01</t>
        </is>
      </c>
      <c r="O498" s="2" t="inlineStr">
        <is>
          <t>https://kaspi.kz/shop/c/sugaring%20paste/</t>
        </is>
      </c>
    </row>
    <row r="499">
      <c r="A499" s="2" t="n">
        <v>498</v>
      </c>
      <c r="B499" s="2" t="inlineStr">
        <is>
          <t>Фотопленки</t>
        </is>
      </c>
      <c r="C499" s="2" t="inlineStr">
        <is>
          <t>ТВ, Аудио, Видео</t>
        </is>
      </c>
      <c r="D499" s="2" t="inlineStr">
        <is>
          <t>ТВ, Аудио, Видео → Фото- и видеокамеры → Фотопленки</t>
        </is>
      </c>
      <c r="E499" s="3" t="n">
        <v>39847890</v>
      </c>
      <c r="F499" s="3" t="n">
        <v>2612</v>
      </c>
      <c r="G499" s="3">
        <f>IFERROR(E499/F499,0)</f>
        <v/>
      </c>
      <c r="H499" s="3" t="n">
        <v>67</v>
      </c>
      <c r="I499" s="2" t="n">
        <v>11</v>
      </c>
      <c r="J499" s="3">
        <f>IFERROR(E499/H499,0)</f>
        <v/>
      </c>
      <c r="K499" s="10">
        <f>E499/'По разделам'!$B$21</f>
        <v/>
      </c>
      <c r="L499" s="4">
        <f>L498+K499</f>
        <v/>
      </c>
      <c r="M499" s="2" t="inlineStr">
        <is>
          <t>02382</t>
        </is>
      </c>
      <c r="N499" s="2" t="inlineStr">
        <is>
          <t>https://app.redstat.kz/niche/02382?event_date=2026-08-01</t>
        </is>
      </c>
      <c r="O499" s="2" t="inlineStr">
        <is>
          <t>https://kaspi.kz/shop/c/photographic%20films/</t>
        </is>
      </c>
    </row>
    <row r="500">
      <c r="A500" s="2" t="n">
        <v>499</v>
      </c>
      <c r="B500" s="2" t="inlineStr">
        <is>
          <t>Туфли для девочек</t>
        </is>
      </c>
      <c r="C500" s="2" t="inlineStr">
        <is>
          <t>Обувь</t>
        </is>
      </c>
      <c r="D500" s="2" t="inlineStr">
        <is>
          <t>Обувь → Обувь для девочек → Туфли для девочек</t>
        </is>
      </c>
      <c r="E500" s="3" t="n">
        <v>39781072</v>
      </c>
      <c r="F500" s="3" t="n">
        <v>2705</v>
      </c>
      <c r="G500" s="3">
        <f>IFERROR(E500/F500,0)</f>
        <v/>
      </c>
      <c r="H500" s="3" t="n">
        <v>1240</v>
      </c>
      <c r="I500" s="2" t="n">
        <v>82</v>
      </c>
      <c r="J500" s="3">
        <f>IFERROR(E500/H500,0)</f>
        <v/>
      </c>
      <c r="K500" s="10">
        <f>E500/'По разделам'!$B$21</f>
        <v/>
      </c>
      <c r="L500" s="4">
        <f>L499+K500</f>
        <v/>
      </c>
      <c r="M500" s="2" t="inlineStr">
        <is>
          <t>01090</t>
        </is>
      </c>
      <c r="N500" s="2" t="inlineStr">
        <is>
          <t>https://app.redstat.kz/niche/01090?event_date=2026-08-01</t>
        </is>
      </c>
      <c r="O500" s="2" t="inlineStr">
        <is>
          <t>https://kaspi.kz/shop/c/girl%20dress%20shoes/</t>
        </is>
      </c>
    </row>
    <row r="501">
      <c r="A501" s="2" t="n">
        <v>500</v>
      </c>
      <c r="B501" s="2" t="inlineStr">
        <is>
          <t>Ночники и декоративные светильники</t>
        </is>
      </c>
      <c r="C501" s="2" t="inlineStr">
        <is>
          <t>Товары для дома и дачи</t>
        </is>
      </c>
      <c r="D501" s="2" t="inlineStr">
        <is>
          <t>Товары для дома и дачи → Освещение → Ночники и декоративные светильники</t>
        </is>
      </c>
      <c r="E501" s="3" t="n">
        <v>39736880</v>
      </c>
      <c r="F501" s="3" t="n">
        <v>10823</v>
      </c>
      <c r="G501" s="3">
        <f>IFERROR(E501/F501,0)</f>
        <v/>
      </c>
      <c r="H501" s="3" t="n">
        <v>1138</v>
      </c>
      <c r="I501" s="2" t="n">
        <v>212</v>
      </c>
      <c r="J501" s="3">
        <f>IFERROR(E501/H501,0)</f>
        <v/>
      </c>
      <c r="K501" s="10">
        <f>E501/'По разделам'!$B$21</f>
        <v/>
      </c>
      <c r="L501" s="4">
        <f>L500+K501</f>
        <v/>
      </c>
      <c r="M501" s="2" t="inlineStr">
        <is>
          <t>01059</t>
        </is>
      </c>
      <c r="N501" s="2" t="inlineStr">
        <is>
          <t>https://app.redstat.kz/niche/01059?event_date=2026-08-01</t>
        </is>
      </c>
      <c r="O501" s="2" t="inlineStr">
        <is>
          <t>https://kaspi.kz/shop/c/night%20lights%20and%20decorative%20lamps/</t>
        </is>
      </c>
    </row>
    <row r="502">
      <c r="A502" s="2" t="n">
        <v>501</v>
      </c>
      <c r="B502" s="2" t="inlineStr">
        <is>
          <t>Мужские ботинки</t>
        </is>
      </c>
      <c r="C502" s="2" t="inlineStr">
        <is>
          <t>Обувь</t>
        </is>
      </c>
      <c r="D502" s="2" t="inlineStr">
        <is>
          <t>Обувь → Мужская обувь → Мужские ботинки</t>
        </is>
      </c>
      <c r="E502" s="3" t="n">
        <v>39664022</v>
      </c>
      <c r="F502" s="3" t="n">
        <v>1045</v>
      </c>
      <c r="G502" s="3">
        <f>IFERROR(E502/F502,0)</f>
        <v/>
      </c>
      <c r="H502" s="3" t="n">
        <v>818</v>
      </c>
      <c r="I502" s="2" t="n">
        <v>161</v>
      </c>
      <c r="J502" s="3">
        <f>IFERROR(E502/H502,0)</f>
        <v/>
      </c>
      <c r="K502" s="10">
        <f>E502/'По разделам'!$B$21</f>
        <v/>
      </c>
      <c r="L502" s="4">
        <f>L501+K502</f>
        <v/>
      </c>
      <c r="M502" s="2" t="inlineStr">
        <is>
          <t>00804</t>
        </is>
      </c>
      <c r="N502" s="2" t="inlineStr">
        <is>
          <t>https://app.redstat.kz/niche/00804?event_date=2026-08-01</t>
        </is>
      </c>
      <c r="O502" s="2" t="inlineStr">
        <is>
          <t>https://kaspi.kz/shop/c/men%20boots/</t>
        </is>
      </c>
    </row>
    <row r="503">
      <c r="A503" s="2" t="n">
        <v>502</v>
      </c>
      <c r="B503" s="2" t="inlineStr">
        <is>
          <t>Спортивные сумки и чехлы</t>
        </is>
      </c>
      <c r="C503" s="2" t="inlineStr">
        <is>
          <t>Спорт, туризм</t>
        </is>
      </c>
      <c r="D503" s="2" t="inlineStr">
        <is>
          <t>Спорт, туризм → Товары для фитнеса → Спортивные сумки и чехлы</t>
        </is>
      </c>
      <c r="E503" s="3" t="n">
        <v>39660597</v>
      </c>
      <c r="F503" s="3" t="n">
        <v>7952</v>
      </c>
      <c r="G503" s="3">
        <f>IFERROR(E503/F503,0)</f>
        <v/>
      </c>
      <c r="H503" s="3" t="n">
        <v>612</v>
      </c>
      <c r="I503" s="2" t="n">
        <v>108</v>
      </c>
      <c r="J503" s="3">
        <f>IFERROR(E503/H503,0)</f>
        <v/>
      </c>
      <c r="K503" s="10">
        <f>E503/'По разделам'!$B$21</f>
        <v/>
      </c>
      <c r="L503" s="4">
        <f>L502+K503</f>
        <v/>
      </c>
      <c r="M503" s="2" t="inlineStr">
        <is>
          <t>02046</t>
        </is>
      </c>
      <c r="N503" s="2" t="inlineStr">
        <is>
          <t>https://app.redstat.kz/niche/02046?event_date=2026-08-01</t>
        </is>
      </c>
      <c r="O503" s="2" t="inlineStr">
        <is>
          <t>https://kaspi.kz/shop/c/sport%20duffels/</t>
        </is>
      </c>
    </row>
    <row r="504">
      <c r="A504" s="2" t="n">
        <v>503</v>
      </c>
      <c r="B504" s="2" t="inlineStr">
        <is>
          <t>Флипчарты и офисные доски</t>
        </is>
      </c>
      <c r="C504" s="2" t="inlineStr">
        <is>
          <t>Канцелярские товары</t>
        </is>
      </c>
      <c r="D504" s="2" t="inlineStr">
        <is>
          <t>Канцелярские товары → Демонстрационные доски → Флипчарты и офисные доски</t>
        </is>
      </c>
      <c r="E504" s="3" t="n">
        <v>39396689</v>
      </c>
      <c r="F504" s="3" t="n">
        <v>3093</v>
      </c>
      <c r="G504" s="3">
        <f>IFERROR(E504/F504,0)</f>
        <v/>
      </c>
      <c r="H504" s="3" t="n">
        <v>310</v>
      </c>
      <c r="I504" s="2" t="n">
        <v>41</v>
      </c>
      <c r="J504" s="3">
        <f>IFERROR(E504/H504,0)</f>
        <v/>
      </c>
      <c r="K504" s="10">
        <f>E504/'По разделам'!$B$21</f>
        <v/>
      </c>
      <c r="L504" s="4">
        <f>L503+K504</f>
        <v/>
      </c>
      <c r="M504" s="2" t="inlineStr">
        <is>
          <t>04303</t>
        </is>
      </c>
      <c r="N504" s="2" t="inlineStr">
        <is>
          <t>https://app.redstat.kz/niche/04303?event_date=2026-08-01</t>
        </is>
      </c>
      <c r="O504" s="2" t="inlineStr">
        <is>
          <t>https://kaspi.kz/shop/c/flipcharts%20and%20office%20boards/</t>
        </is>
      </c>
    </row>
    <row r="505">
      <c r="A505" s="2" t="n">
        <v>504</v>
      </c>
      <c r="B505" s="2" t="inlineStr">
        <is>
          <t>Коврики для мыши</t>
        </is>
      </c>
      <c r="C505" s="2" t="inlineStr">
        <is>
          <t>Компьютеры</t>
        </is>
      </c>
      <c r="D505" s="2" t="inlineStr">
        <is>
          <t>Компьютеры → Периферия → Коврики для мыши</t>
        </is>
      </c>
      <c r="E505" s="3" t="n">
        <v>39354349</v>
      </c>
      <c r="F505" s="3" t="n">
        <v>11914</v>
      </c>
      <c r="G505" s="3">
        <f>IFERROR(E505/F505,0)</f>
        <v/>
      </c>
      <c r="H505" s="3" t="n">
        <v>1152</v>
      </c>
      <c r="I505" s="2" t="n">
        <v>118</v>
      </c>
      <c r="J505" s="3">
        <f>IFERROR(E505/H505,0)</f>
        <v/>
      </c>
      <c r="K505" s="10">
        <f>E505/'По разделам'!$B$21</f>
        <v/>
      </c>
      <c r="L505" s="4">
        <f>L504+K505</f>
        <v/>
      </c>
      <c r="M505" s="2" t="inlineStr">
        <is>
          <t>00650</t>
        </is>
      </c>
      <c r="N505" s="2" t="inlineStr">
        <is>
          <t>https://app.redstat.kz/niche/00650?event_date=2026-08-01</t>
        </is>
      </c>
      <c r="O505" s="2" t="inlineStr">
        <is>
          <t>https://kaspi.kz/shop/c/mouse%20pads/</t>
        </is>
      </c>
    </row>
    <row r="506">
      <c r="A506" s="2" t="n">
        <v>505</v>
      </c>
      <c r="B506" s="2" t="inlineStr">
        <is>
          <t>Радиоуправляемые игрушки, аксессуары и запчасти</t>
        </is>
      </c>
      <c r="C506" s="2" t="inlineStr">
        <is>
          <t>Детские товары</t>
        </is>
      </c>
      <c r="D506" s="2" t="inlineStr">
        <is>
          <t>Детские товары → Игрушки → Радиоуправляемые игрушки, аксессуары и запчасти</t>
        </is>
      </c>
      <c r="E506" s="3" t="n">
        <v>39168938</v>
      </c>
      <c r="F506" s="3" t="n">
        <v>3963</v>
      </c>
      <c r="G506" s="3">
        <f>IFERROR(E506/F506,0)</f>
        <v/>
      </c>
      <c r="H506" s="3" t="n">
        <v>461</v>
      </c>
      <c r="I506" s="2" t="n">
        <v>131</v>
      </c>
      <c r="J506" s="3">
        <f>IFERROR(E506/H506,0)</f>
        <v/>
      </c>
      <c r="K506" s="10">
        <f>E506/'По разделам'!$B$21</f>
        <v/>
      </c>
      <c r="L506" s="4">
        <f>L505+K506</f>
        <v/>
      </c>
      <c r="M506" s="2" t="inlineStr">
        <is>
          <t>q59e5ab4dab0cb50</t>
        </is>
      </c>
      <c r="N506" s="2" t="inlineStr">
        <is>
          <t>https://app.redstat.kz/niche/q59e5ab4dab0cb50?event_date=2026-08-01</t>
        </is>
      </c>
      <c r="O506" s="2" t="inlineStr"/>
    </row>
    <row r="507">
      <c r="A507" s="2" t="n">
        <v>506</v>
      </c>
      <c r="B507" s="2" t="inlineStr">
        <is>
          <t>Средства защиты от грызунов и вредителей</t>
        </is>
      </c>
      <c r="C507" s="2" t="inlineStr">
        <is>
          <t>Товары для дома и дачи</t>
        </is>
      </c>
      <c r="D507" s="2" t="inlineStr">
        <is>
          <t>Товары для дома и дачи → Дача, сад и огород → Средства защиты от грызунов и вредителей → Средства защиты от грызунов и вредителей</t>
        </is>
      </c>
      <c r="E507" s="3" t="n">
        <v>38988869</v>
      </c>
      <c r="F507" s="3" t="n">
        <v>9412</v>
      </c>
      <c r="G507" s="3">
        <f>IFERROR(E507/F507,0)</f>
        <v/>
      </c>
      <c r="H507" s="3" t="n">
        <v>955</v>
      </c>
      <c r="I507" s="2" t="n">
        <v>186</v>
      </c>
      <c r="J507" s="3">
        <f>IFERROR(E507/H507,0)</f>
        <v/>
      </c>
      <c r="K507" s="10">
        <f>E507/'По разделам'!$B$21</f>
        <v/>
      </c>
      <c r="L507" s="4">
        <f>L506+K507</f>
        <v/>
      </c>
      <c r="M507" s="2" t="inlineStr">
        <is>
          <t>qf14b71ae4610e64</t>
        </is>
      </c>
      <c r="N507" s="2" t="inlineStr">
        <is>
          <t>https://app.redstat.kz/niche/qf14b71ae4610e64?event_date=2026-08-01</t>
        </is>
      </c>
      <c r="O507" s="2" t="inlineStr"/>
    </row>
    <row r="508">
      <c r="A508" s="2" t="n">
        <v>507</v>
      </c>
      <c r="B508" s="2" t="inlineStr">
        <is>
          <t>Одежда и обувь для рыбалки</t>
        </is>
      </c>
      <c r="C508" s="2" t="inlineStr">
        <is>
          <t>Спорт, туризм</t>
        </is>
      </c>
      <c r="D508" s="2" t="inlineStr">
        <is>
          <t>Спорт, туризм → Товары для рыбалки → Одежда и обувь для рыбалки</t>
        </is>
      </c>
      <c r="E508" s="3" t="n">
        <v>38922681</v>
      </c>
      <c r="F508" s="3" t="n">
        <v>6015</v>
      </c>
      <c r="G508" s="3">
        <f>IFERROR(E508/F508,0)</f>
        <v/>
      </c>
      <c r="H508" s="3" t="n">
        <v>977</v>
      </c>
      <c r="I508" s="2" t="n">
        <v>142</v>
      </c>
      <c r="J508" s="3">
        <f>IFERROR(E508/H508,0)</f>
        <v/>
      </c>
      <c r="K508" s="10">
        <f>E508/'По разделам'!$B$21</f>
        <v/>
      </c>
      <c r="L508" s="4">
        <f>L507+K508</f>
        <v/>
      </c>
      <c r="M508" s="2" t="inlineStr">
        <is>
          <t>02322</t>
        </is>
      </c>
      <c r="N508" s="2" t="inlineStr">
        <is>
          <t>https://app.redstat.kz/niche/02322?event_date=2026-08-01</t>
        </is>
      </c>
      <c r="O508" s="2" t="inlineStr">
        <is>
          <t>https://kaspi.kz/shop/c/fishing%20clothing/</t>
        </is>
      </c>
    </row>
    <row r="509">
      <c r="A509" s="2" t="n">
        <v>508</v>
      </c>
      <c r="B509" s="2" t="inlineStr">
        <is>
          <t>Настольные игры</t>
        </is>
      </c>
      <c r="C509" s="2" t="inlineStr">
        <is>
          <t>Досуг, книги</t>
        </is>
      </c>
      <c r="D509" s="2" t="inlineStr">
        <is>
          <t>Досуг, книги → Игры для компаний → Настольные игры</t>
        </is>
      </c>
      <c r="E509" s="3" t="n">
        <v>38776425</v>
      </c>
      <c r="F509" s="3" t="n">
        <v>10438</v>
      </c>
      <c r="G509" s="3">
        <f>IFERROR(E509/F509,0)</f>
        <v/>
      </c>
      <c r="H509" s="3" t="n">
        <v>1572</v>
      </c>
      <c r="I509" s="2" t="n">
        <v>205</v>
      </c>
      <c r="J509" s="3">
        <f>IFERROR(E509/H509,0)</f>
        <v/>
      </c>
      <c r="K509" s="10">
        <f>E509/'По разделам'!$B$21</f>
        <v/>
      </c>
      <c r="L509" s="4">
        <f>L508+K509</f>
        <v/>
      </c>
      <c r="M509" s="2" t="inlineStr">
        <is>
          <t>02130</t>
        </is>
      </c>
      <c r="N509" s="2" t="inlineStr">
        <is>
          <t>https://app.redstat.kz/niche/02130?event_date=2026-08-01</t>
        </is>
      </c>
      <c r="O509" s="2" t="inlineStr">
        <is>
          <t>https://kaspi.kz/shop/c/board%20games/</t>
        </is>
      </c>
    </row>
    <row r="510">
      <c r="A510" s="2" t="n">
        <v>509</v>
      </c>
      <c r="B510" s="2" t="inlineStr">
        <is>
          <t>Воздухоохладители</t>
        </is>
      </c>
      <c r="C510" s="2" t="inlineStr">
        <is>
          <t>Бытовая техника</t>
        </is>
      </c>
      <c r="D510" s="2" t="inlineStr">
        <is>
          <t>Бытовая техника → Климатическая техника → Воздухоохладители</t>
        </is>
      </c>
      <c r="E510" s="3" t="n">
        <v>38771901</v>
      </c>
      <c r="F510" s="3" t="n">
        <v>1136</v>
      </c>
      <c r="G510" s="3">
        <f>IFERROR(E510/F510,0)</f>
        <v/>
      </c>
      <c r="H510" s="3" t="n">
        <v>134</v>
      </c>
      <c r="I510" s="2" t="n">
        <v>42</v>
      </c>
      <c r="J510" s="3">
        <f>IFERROR(E510/H510,0)</f>
        <v/>
      </c>
      <c r="K510" s="10">
        <f>E510/'По разделам'!$B$21</f>
        <v/>
      </c>
      <c r="L510" s="4">
        <f>L509+K510</f>
        <v/>
      </c>
      <c r="M510" s="2" t="inlineStr">
        <is>
          <t>09341</t>
        </is>
      </c>
      <c r="N510" s="2" t="inlineStr">
        <is>
          <t>https://app.redstat.kz/niche/09341?event_date=2026-08-01</t>
        </is>
      </c>
      <c r="O510" s="2" t="inlineStr">
        <is>
          <t>https://kaspi.kz/shop/search/?text=%D0%92%D0%BE%D0%B7%D0%B4%D1%83%D1%85%D0%BE%D0%BE%D1%85%D0%BB%D0%B0%D0%B4%D0%B8%D1%82%D0%B5%D0%BB%D0%B8</t>
        </is>
      </c>
    </row>
    <row r="511">
      <c r="A511" s="2" t="n">
        <v>510</v>
      </c>
      <c r="B511" s="2" t="inlineStr">
        <is>
          <t>Детские шкафы</t>
        </is>
      </c>
      <c r="C511" s="2" t="inlineStr">
        <is>
          <t>Мебель</t>
        </is>
      </c>
      <c r="D511" s="2" t="inlineStr">
        <is>
          <t>Мебель → Детская комната → Детские шкафы</t>
        </is>
      </c>
      <c r="E511" s="3" t="n">
        <v>38761784</v>
      </c>
      <c r="F511" s="3" t="n">
        <v>554</v>
      </c>
      <c r="G511" s="3">
        <f>IFERROR(E511/F511,0)</f>
        <v/>
      </c>
      <c r="H511" s="3" t="n">
        <v>127</v>
      </c>
      <c r="I511" s="2" t="n">
        <v>26</v>
      </c>
      <c r="J511" s="3">
        <f>IFERROR(E511/H511,0)</f>
        <v/>
      </c>
      <c r="K511" s="10">
        <f>E511/'По разделам'!$B$21</f>
        <v/>
      </c>
      <c r="L511" s="4">
        <f>L510+K511</f>
        <v/>
      </c>
      <c r="M511" s="2" t="inlineStr">
        <is>
          <t>09317</t>
        </is>
      </c>
      <c r="N511" s="2" t="inlineStr">
        <is>
          <t>https://app.redstat.kz/niche/09317?event_date=2026-08-01</t>
        </is>
      </c>
      <c r="O511" s="2" t="inlineStr">
        <is>
          <t>https://kaspi.kz/shop/c/childrens%20wardrobe/</t>
        </is>
      </c>
    </row>
    <row r="512">
      <c r="A512" s="2" t="n">
        <v>511</v>
      </c>
      <c r="B512" s="2" t="inlineStr">
        <is>
          <t>Компьютерные кабели и переходники</t>
        </is>
      </c>
      <c r="C512" s="2" t="inlineStr">
        <is>
          <t>Компьютеры</t>
        </is>
      </c>
      <c r="D512" s="2" t="inlineStr">
        <is>
          <t>Компьютеры → Периферия → Компьютерные кабели и переходники</t>
        </is>
      </c>
      <c r="E512" s="3" t="n">
        <v>38626711</v>
      </c>
      <c r="F512" s="3" t="n">
        <v>12611</v>
      </c>
      <c r="G512" s="3">
        <f>IFERROR(E512/F512,0)</f>
        <v/>
      </c>
      <c r="H512" s="3" t="n">
        <v>1363</v>
      </c>
      <c r="I512" s="2" t="n">
        <v>154</v>
      </c>
      <c r="J512" s="3">
        <f>IFERROR(E512/H512,0)</f>
        <v/>
      </c>
      <c r="K512" s="10">
        <f>E512/'По разделам'!$B$21</f>
        <v/>
      </c>
      <c r="L512" s="4">
        <f>L511+K512</f>
        <v/>
      </c>
      <c r="M512" s="2" t="inlineStr">
        <is>
          <t>03729</t>
        </is>
      </c>
      <c r="N512" s="2" t="inlineStr">
        <is>
          <t>https://app.redstat.kz/niche/03729?event_date=2026-08-01</t>
        </is>
      </c>
      <c r="O512" s="2" t="inlineStr">
        <is>
          <t>https://kaspi.kz/shop/c/computer%20cables%20and%20adapters/</t>
        </is>
      </c>
    </row>
    <row r="513">
      <c r="A513" s="2" t="n">
        <v>512</v>
      </c>
      <c r="B513" s="2" t="inlineStr">
        <is>
          <t>Влажные корма для собак</t>
        </is>
      </c>
      <c r="C513" s="2" t="inlineStr">
        <is>
          <t>Товары для животных</t>
        </is>
      </c>
      <c r="D513" s="2" t="inlineStr">
        <is>
          <t>Товары для животных → Для собак → Влажные корма для собак</t>
        </is>
      </c>
      <c r="E513" s="3" t="n">
        <v>38526155</v>
      </c>
      <c r="F513" s="3" t="n">
        <v>7015</v>
      </c>
      <c r="G513" s="3">
        <f>IFERROR(E513/F513,0)</f>
        <v/>
      </c>
      <c r="H513" s="3" t="n">
        <v>674</v>
      </c>
      <c r="I513" s="2" t="n">
        <v>61</v>
      </c>
      <c r="J513" s="3">
        <f>IFERROR(E513/H513,0)</f>
        <v/>
      </c>
      <c r="K513" s="10">
        <f>E513/'По разделам'!$B$21</f>
        <v/>
      </c>
      <c r="L513" s="4">
        <f>L512+K513</f>
        <v/>
      </c>
      <c r="M513" s="2" t="inlineStr">
        <is>
          <t>04222</t>
        </is>
      </c>
      <c r="N513" s="2" t="inlineStr">
        <is>
          <t>https://app.redstat.kz/niche/04222?event_date=2026-08-01</t>
        </is>
      </c>
      <c r="O513" s="2" t="inlineStr">
        <is>
          <t>https://kaspi.kz/shop/c/wet%20dog%20food/</t>
        </is>
      </c>
    </row>
    <row r="514">
      <c r="A514" s="2" t="n">
        <v>513</v>
      </c>
      <c r="B514" s="2" t="inlineStr">
        <is>
          <t>Канцелярские расходные материалы</t>
        </is>
      </c>
      <c r="C514" s="2" t="inlineStr">
        <is>
          <t>Канцелярские товары</t>
        </is>
      </c>
      <c r="D514" s="2" t="inlineStr">
        <is>
          <t>Канцелярские товары → Офисные принадлежности → Канцелярские расходные материалы → Канцелярские расходные материалы</t>
        </is>
      </c>
      <c r="E514" s="3" t="n">
        <v>38476580</v>
      </c>
      <c r="F514" s="3" t="n">
        <v>9146</v>
      </c>
      <c r="G514" s="3">
        <f>IFERROR(E514/F514,0)</f>
        <v/>
      </c>
      <c r="H514" s="3" t="n">
        <v>439</v>
      </c>
      <c r="I514" s="2" t="n">
        <v>62</v>
      </c>
      <c r="J514" s="3">
        <f>IFERROR(E514/H514,0)</f>
        <v/>
      </c>
      <c r="K514" s="10">
        <f>E514/'По разделам'!$B$21</f>
        <v/>
      </c>
      <c r="L514" s="4">
        <f>L513+K514</f>
        <v/>
      </c>
      <c r="M514" s="2" t="inlineStr">
        <is>
          <t>q0ed713ae4c425f1</t>
        </is>
      </c>
      <c r="N514" s="2" t="inlineStr">
        <is>
          <t>https://app.redstat.kz/niche/q0ed713ae4c425f1?event_date=2026-08-01</t>
        </is>
      </c>
      <c r="O514" s="2" t="inlineStr"/>
    </row>
    <row r="515">
      <c r="A515" s="2" t="n">
        <v>514</v>
      </c>
      <c r="B515" s="2" t="inlineStr">
        <is>
          <t>Комплекты для ванной</t>
        </is>
      </c>
      <c r="C515" s="2" t="inlineStr">
        <is>
          <t>Мебель</t>
        </is>
      </c>
      <c r="D515" s="2" t="inlineStr">
        <is>
          <t>Мебель → Ванная комната → Комплекты для ванной</t>
        </is>
      </c>
      <c r="E515" s="3" t="n">
        <v>38202992</v>
      </c>
      <c r="F515" s="3" t="n">
        <v>341</v>
      </c>
      <c r="G515" s="3">
        <f>IFERROR(E515/F515,0)</f>
        <v/>
      </c>
      <c r="H515" s="3" t="n">
        <v>136</v>
      </c>
      <c r="I515" s="2" t="n">
        <v>14</v>
      </c>
      <c r="J515" s="3">
        <f>IFERROR(E515/H515,0)</f>
        <v/>
      </c>
      <c r="K515" s="10">
        <f>E515/'По разделам'!$B$21</f>
        <v/>
      </c>
      <c r="L515" s="4">
        <f>L514+K515</f>
        <v/>
      </c>
      <c r="M515" s="2" t="inlineStr">
        <is>
          <t>01068</t>
        </is>
      </c>
      <c r="N515" s="2" t="inlineStr">
        <is>
          <t>https://app.redstat.kz/niche/01068?event_date=2026-08-01</t>
        </is>
      </c>
      <c r="O515" s="2" t="inlineStr">
        <is>
          <t>https://kaspi.kz/shop/c/bathroom%20furniture%20sets/</t>
        </is>
      </c>
    </row>
    <row r="516">
      <c r="A516" s="2" t="n">
        <v>515</v>
      </c>
      <c r="B516" s="2" t="inlineStr">
        <is>
          <t>Комбикормовое оборудование</t>
        </is>
      </c>
      <c r="C516" s="2" t="inlineStr">
        <is>
          <t>Товары для животных</t>
        </is>
      </c>
      <c r="D516" s="2" t="inlineStr">
        <is>
          <t>Товары для животных → Для сельскохозяйственных животных → Комбикормовое оборудование</t>
        </is>
      </c>
      <c r="E516" s="3" t="n">
        <v>38188120</v>
      </c>
      <c r="F516" s="3" t="n">
        <v>667</v>
      </c>
      <c r="G516" s="3">
        <f>IFERROR(E516/F516,0)</f>
        <v/>
      </c>
      <c r="H516" s="3" t="n">
        <v>114</v>
      </c>
      <c r="I516" s="2" t="n">
        <v>29</v>
      </c>
      <c r="J516" s="3">
        <f>IFERROR(E516/H516,0)</f>
        <v/>
      </c>
      <c r="K516" s="10">
        <f>E516/'По разделам'!$B$21</f>
        <v/>
      </c>
      <c r="L516" s="4">
        <f>L515+K516</f>
        <v/>
      </c>
      <c r="M516" s="2" t="inlineStr">
        <is>
          <t>05140</t>
        </is>
      </c>
      <c r="N516" s="2" t="inlineStr">
        <is>
          <t>https://app.redstat.kz/niche/05140?event_date=2026-08-01</t>
        </is>
      </c>
      <c r="O516" s="2" t="inlineStr">
        <is>
          <t>https://kaspi.kz/shop/c/grain%20crushers/</t>
        </is>
      </c>
    </row>
    <row r="517">
      <c r="A517" s="2" t="n">
        <v>516</v>
      </c>
      <c r="B517" s="2" t="inlineStr">
        <is>
          <t>Рейлинги и поперечины</t>
        </is>
      </c>
      <c r="C517" s="2" t="inlineStr">
        <is>
          <t>Автотовары</t>
        </is>
      </c>
      <c r="D517" s="2" t="inlineStr">
        <is>
          <t>Автотовары → Багажные системы → Рейлинги и поперечины</t>
        </is>
      </c>
      <c r="E517" s="3" t="n">
        <v>38172459</v>
      </c>
      <c r="F517" s="3" t="n">
        <v>1064</v>
      </c>
      <c r="G517" s="3">
        <f>IFERROR(E517/F517,0)</f>
        <v/>
      </c>
      <c r="H517" s="3" t="n">
        <v>445</v>
      </c>
      <c r="I517" s="2" t="n">
        <v>42</v>
      </c>
      <c r="J517" s="3">
        <f>IFERROR(E517/H517,0)</f>
        <v/>
      </c>
      <c r="K517" s="10">
        <f>E517/'По разделам'!$B$21</f>
        <v/>
      </c>
      <c r="L517" s="4">
        <f>L516+K517</f>
        <v/>
      </c>
      <c r="M517" s="2" t="inlineStr">
        <is>
          <t>01030</t>
        </is>
      </c>
      <c r="N517" s="2" t="inlineStr">
        <is>
          <t>https://app.redstat.kz/niche/01030?event_date=2026-08-01</t>
        </is>
      </c>
      <c r="O517" s="2" t="inlineStr">
        <is>
          <t>https://kaspi.kz/shop/c/roof%20rails%20and%20racks/</t>
        </is>
      </c>
    </row>
    <row r="518">
      <c r="A518" s="2" t="n">
        <v>517</v>
      </c>
      <c r="B518" s="2" t="inlineStr">
        <is>
          <t>Биотуалеты и наполнители</t>
        </is>
      </c>
      <c r="C518" s="2" t="inlineStr">
        <is>
          <t>Товары для дома и дачи</t>
        </is>
      </c>
      <c r="D518" s="2" t="inlineStr">
        <is>
          <t>Товары для дома и дачи → Дача, сад и огород → Биотуалеты и наполнители → Биотуалеты и наполнители</t>
        </is>
      </c>
      <c r="E518" s="3" t="n">
        <v>38029957</v>
      </c>
      <c r="F518" s="3" t="n">
        <v>6595</v>
      </c>
      <c r="G518" s="3">
        <f>IFERROR(E518/F518,0)</f>
        <v/>
      </c>
      <c r="H518" s="3" t="n">
        <v>279</v>
      </c>
      <c r="I518" s="2" t="n">
        <v>59</v>
      </c>
      <c r="J518" s="3">
        <f>IFERROR(E518/H518,0)</f>
        <v/>
      </c>
      <c r="K518" s="10">
        <f>E518/'По разделам'!$B$21</f>
        <v/>
      </c>
      <c r="L518" s="4">
        <f>L517+K518</f>
        <v/>
      </c>
      <c r="M518" s="2" t="inlineStr">
        <is>
          <t>qf7a0048bfe029f6</t>
        </is>
      </c>
      <c r="N518" s="2" t="inlineStr">
        <is>
          <t>https://app.redstat.kz/niche/qf7a0048bfe029f6?event_date=2026-08-01</t>
        </is>
      </c>
      <c r="O518" s="2" t="inlineStr"/>
    </row>
    <row r="519">
      <c r="A519" s="2" t="n">
        <v>518</v>
      </c>
      <c r="B519" s="2" t="inlineStr">
        <is>
          <t>Теплый пол и аксессуары</t>
        </is>
      </c>
      <c r="C519" s="2" t="inlineStr">
        <is>
          <t>Строительство, ремонт</t>
        </is>
      </c>
      <c r="D519" s="2" t="inlineStr">
        <is>
          <t>Строительство, ремонт → Системы отопления → Теплый пол и аксессуары → Теплый пол и аксессуары</t>
        </is>
      </c>
      <c r="E519" s="3" t="n">
        <v>37679647</v>
      </c>
      <c r="F519" s="3" t="n">
        <v>1316</v>
      </c>
      <c r="G519" s="3">
        <f>IFERROR(E519/F519,0)</f>
        <v/>
      </c>
      <c r="H519" s="3" t="n">
        <v>327</v>
      </c>
      <c r="I519" s="2" t="n">
        <v>70</v>
      </c>
      <c r="J519" s="3">
        <f>IFERROR(E519/H519,0)</f>
        <v/>
      </c>
      <c r="K519" s="10">
        <f>E519/'По разделам'!$B$21</f>
        <v/>
      </c>
      <c r="L519" s="4">
        <f>L518+K519</f>
        <v/>
      </c>
      <c r="M519" s="2" t="inlineStr">
        <is>
          <t>qed5f415a7a67fc6</t>
        </is>
      </c>
      <c r="N519" s="2" t="inlineStr">
        <is>
          <t>https://app.redstat.kz/niche/qed5f415a7a67fc6?event_date=2026-08-01</t>
        </is>
      </c>
      <c r="O519" s="2" t="inlineStr"/>
    </row>
    <row r="520">
      <c r="A520" s="2" t="n">
        <v>519</v>
      </c>
      <c r="B520" s="2" t="inlineStr">
        <is>
          <t>Маркеры и аксессуары</t>
        </is>
      </c>
      <c r="C520" s="2" t="inlineStr">
        <is>
          <t>Канцелярские товары</t>
        </is>
      </c>
      <c r="D520" s="2" t="inlineStr">
        <is>
          <t>Канцелярские товары → Письменные принадлежности → Маркеры и аксессуары → Маркеры и аксессуары</t>
        </is>
      </c>
      <c r="E520" s="3" t="n">
        <v>37399813</v>
      </c>
      <c r="F520" s="3" t="n">
        <v>30721</v>
      </c>
      <c r="G520" s="3">
        <f>IFERROR(E520/F520,0)</f>
        <v/>
      </c>
      <c r="H520" s="3" t="n">
        <v>911</v>
      </c>
      <c r="I520" s="2" t="n">
        <v>148</v>
      </c>
      <c r="J520" s="3">
        <f>IFERROR(E520/H520,0)</f>
        <v/>
      </c>
      <c r="K520" s="10">
        <f>E520/'По разделам'!$B$21</f>
        <v/>
      </c>
      <c r="L520" s="4">
        <f>L519+K520</f>
        <v/>
      </c>
      <c r="M520" s="2" t="inlineStr">
        <is>
          <t>qc3bbd3de6c615ea</t>
        </is>
      </c>
      <c r="N520" s="2" t="inlineStr">
        <is>
          <t>https://app.redstat.kz/niche/qc3bbd3de6c615ea?event_date=2026-08-01</t>
        </is>
      </c>
      <c r="O520" s="2" t="inlineStr"/>
    </row>
    <row r="521">
      <c r="A521" s="2" t="n">
        <v>520</v>
      </c>
      <c r="B521" s="2" t="inlineStr">
        <is>
          <t>Ремни</t>
        </is>
      </c>
      <c r="C521" s="2" t="inlineStr">
        <is>
          <t>Аксессуары</t>
        </is>
      </c>
      <c r="D521" s="2" t="inlineStr">
        <is>
          <t>Аксессуары → Аксессуары для одежды и обуви → Ремни</t>
        </is>
      </c>
      <c r="E521" s="3" t="n">
        <v>37256730</v>
      </c>
      <c r="F521" s="3" t="n">
        <v>30003</v>
      </c>
      <c r="G521" s="3">
        <f>IFERROR(E521/F521,0)</f>
        <v/>
      </c>
      <c r="H521" s="3" t="n">
        <v>940</v>
      </c>
      <c r="I521" s="2" t="n">
        <v>152</v>
      </c>
      <c r="J521" s="3">
        <f>IFERROR(E521/H521,0)</f>
        <v/>
      </c>
      <c r="K521" s="10">
        <f>E521/'По разделам'!$B$21</f>
        <v/>
      </c>
      <c r="L521" s="4">
        <f>L520+K521</f>
        <v/>
      </c>
      <c r="M521" s="2" t="inlineStr">
        <is>
          <t>00795</t>
        </is>
      </c>
      <c r="N521" s="2" t="inlineStr">
        <is>
          <t>https://app.redstat.kz/niche/00795?event_date=2026-08-01</t>
        </is>
      </c>
      <c r="O521" s="2" t="inlineStr">
        <is>
          <t>https://kaspi.kz/shop/c/belts/</t>
        </is>
      </c>
    </row>
    <row r="522">
      <c r="A522" s="2" t="n">
        <v>521</v>
      </c>
      <c r="B522" s="2" t="inlineStr">
        <is>
          <t>Мотозапчасти</t>
        </is>
      </c>
      <c r="C522" s="2" t="inlineStr">
        <is>
          <t>Автотовары</t>
        </is>
      </c>
      <c r="D522" s="2" t="inlineStr">
        <is>
          <t>Автотовары → Мототехника → Мотозапчасти</t>
        </is>
      </c>
      <c r="E522" s="3" t="n">
        <v>37193590</v>
      </c>
      <c r="F522" s="3" t="n">
        <v>4131</v>
      </c>
      <c r="G522" s="3">
        <f>IFERROR(E522/F522,0)</f>
        <v/>
      </c>
      <c r="H522" s="3" t="n">
        <v>755</v>
      </c>
      <c r="I522" s="2" t="n">
        <v>101</v>
      </c>
      <c r="J522" s="3">
        <f>IFERROR(E522/H522,0)</f>
        <v/>
      </c>
      <c r="K522" s="10">
        <f>E522/'По разделам'!$B$21</f>
        <v/>
      </c>
      <c r="L522" s="4">
        <f>L521+K522</f>
        <v/>
      </c>
      <c r="M522" s="2" t="inlineStr">
        <is>
          <t>06866</t>
        </is>
      </c>
      <c r="N522" s="2" t="inlineStr">
        <is>
          <t>https://app.redstat.kz/niche/06866?event_date=2026-08-01</t>
        </is>
      </c>
      <c r="O522" s="2" t="inlineStr">
        <is>
          <t>https://kaspi.kz/shop/c/motorcycle%20parts/</t>
        </is>
      </c>
    </row>
    <row r="523">
      <c r="A523" s="2" t="n">
        <v>522</v>
      </c>
      <c r="B523" s="2" t="inlineStr">
        <is>
          <t>Наборы для депиляции воском и сахаром</t>
        </is>
      </c>
      <c r="C523" s="2" t="inlineStr">
        <is>
          <t>Красота и здоровье</t>
        </is>
      </c>
      <c r="D523" s="2" t="inlineStr">
        <is>
          <t>Красота и здоровье → Депиляция и эпиляция → Наборы для депиляции воском и сахаром</t>
        </is>
      </c>
      <c r="E523" s="3" t="n">
        <v>36737986</v>
      </c>
      <c r="F523" s="3" t="n">
        <v>11267</v>
      </c>
      <c r="G523" s="3">
        <f>IFERROR(E523/F523,0)</f>
        <v/>
      </c>
      <c r="H523" s="3" t="n">
        <v>238</v>
      </c>
      <c r="I523" s="2" t="n">
        <v>38</v>
      </c>
      <c r="J523" s="3">
        <f>IFERROR(E523/H523,0)</f>
        <v/>
      </c>
      <c r="K523" s="10">
        <f>E523/'По разделам'!$B$21</f>
        <v/>
      </c>
      <c r="L523" s="4">
        <f>L522+K523</f>
        <v/>
      </c>
      <c r="M523" s="2" t="inlineStr">
        <is>
          <t>06420</t>
        </is>
      </c>
      <c r="N523" s="2" t="inlineStr">
        <is>
          <t>https://app.redstat.kz/niche/06420?event_date=2026-08-01</t>
        </is>
      </c>
      <c r="O523" s="2" t="inlineStr">
        <is>
          <t>https://kaspi.kz/shop/c/waxing%20kits/</t>
        </is>
      </c>
    </row>
    <row r="524">
      <c r="A524" s="2" t="n">
        <v>523</v>
      </c>
      <c r="B524" s="2" t="inlineStr">
        <is>
          <t>Игрушечный транспорт</t>
        </is>
      </c>
      <c r="C524" s="2" t="inlineStr">
        <is>
          <t>Детские товары</t>
        </is>
      </c>
      <c r="D524" s="2" t="inlineStr">
        <is>
          <t>Детские товары → Игрушки → Игрушечный транспорт</t>
        </is>
      </c>
      <c r="E524" s="3" t="n">
        <v>36700077</v>
      </c>
      <c r="F524" s="3" t="n">
        <v>8862</v>
      </c>
      <c r="G524" s="3">
        <f>IFERROR(E524/F524,0)</f>
        <v/>
      </c>
      <c r="H524" s="3" t="n">
        <v>1074</v>
      </c>
      <c r="I524" s="2" t="n">
        <v>207</v>
      </c>
      <c r="J524" s="3">
        <f>IFERROR(E524/H524,0)</f>
        <v/>
      </c>
      <c r="K524" s="10">
        <f>E524/'По разделам'!$B$21</f>
        <v/>
      </c>
      <c r="L524" s="4">
        <f>L523+K524</f>
        <v/>
      </c>
      <c r="M524" s="2" t="inlineStr">
        <is>
          <t>02700</t>
        </is>
      </c>
      <c r="N524" s="2" t="inlineStr">
        <is>
          <t>https://app.redstat.kz/niche/02700?event_date=2026-08-01</t>
        </is>
      </c>
      <c r="O524" s="2" t="inlineStr">
        <is>
          <t>https://kaspi.kz/shop/c/play%20vehicles/</t>
        </is>
      </c>
    </row>
    <row r="525">
      <c r="A525" s="2" t="n">
        <v>524</v>
      </c>
      <c r="B525" s="2" t="inlineStr">
        <is>
          <t>Спортивные костюмы для мальчиков</t>
        </is>
      </c>
      <c r="C525" s="2" t="inlineStr">
        <is>
          <t>Одежда</t>
        </is>
      </c>
      <c r="D525" s="2" t="inlineStr">
        <is>
          <t>Одежда → Мальчикам → Спортивные костюмы для мальчиков</t>
        </is>
      </c>
      <c r="E525" s="3" t="n">
        <v>36532186</v>
      </c>
      <c r="F525" s="3" t="n">
        <v>2637</v>
      </c>
      <c r="G525" s="3">
        <f>IFERROR(E525/F525,0)</f>
        <v/>
      </c>
      <c r="H525" s="3" t="n">
        <v>913</v>
      </c>
      <c r="I525" s="2" t="n">
        <v>89</v>
      </c>
      <c r="J525" s="3">
        <f>IFERROR(E525/H525,0)</f>
        <v/>
      </c>
      <c r="K525" s="10">
        <f>E525/'По разделам'!$B$21</f>
        <v/>
      </c>
      <c r="L525" s="4">
        <f>L524+K525</f>
        <v/>
      </c>
      <c r="M525" s="2" t="inlineStr">
        <is>
          <t>01232</t>
        </is>
      </c>
      <c r="N525" s="2" t="inlineStr">
        <is>
          <t>https://app.redstat.kz/niche/01232?event_date=2026-08-01</t>
        </is>
      </c>
      <c r="O525" s="2" t="inlineStr">
        <is>
          <t>https://kaspi.kz/shop/c/boy%20sport%20suits/</t>
        </is>
      </c>
    </row>
    <row r="526">
      <c r="A526" s="2" t="n">
        <v>525</v>
      </c>
      <c r="B526" s="2" t="inlineStr">
        <is>
          <t>Другие комплектующие</t>
        </is>
      </c>
      <c r="C526" s="2" t="inlineStr">
        <is>
          <t>Компьютеры</t>
        </is>
      </c>
      <c r="D526" s="2" t="inlineStr">
        <is>
          <t>Компьютеры → Комплектующие → Другие комплектующие → Другие комплектующие</t>
        </is>
      </c>
      <c r="E526" s="3" t="n">
        <v>36296268</v>
      </c>
      <c r="F526" s="3" t="n">
        <v>4342</v>
      </c>
      <c r="G526" s="3">
        <f>IFERROR(E526/F526,0)</f>
        <v/>
      </c>
      <c r="H526" s="3" t="n">
        <v>436</v>
      </c>
      <c r="I526" s="2" t="n">
        <v>95</v>
      </c>
      <c r="J526" s="3">
        <f>IFERROR(E526/H526,0)</f>
        <v/>
      </c>
      <c r="K526" s="10">
        <f>E526/'По разделам'!$B$21</f>
        <v/>
      </c>
      <c r="L526" s="4">
        <f>L525+K526</f>
        <v/>
      </c>
      <c r="M526" s="2" t="inlineStr">
        <is>
          <t>q71383a2659e08b0</t>
        </is>
      </c>
      <c r="N526" s="2" t="inlineStr">
        <is>
          <t>https://app.redstat.kz/niche/q71383a2659e08b0?event_date=2026-08-01</t>
        </is>
      </c>
      <c r="O526" s="2" t="inlineStr"/>
    </row>
    <row r="527">
      <c r="A527" s="2" t="n">
        <v>526</v>
      </c>
      <c r="B527" s="2" t="inlineStr">
        <is>
          <t>Цепи и бусы бижутерные</t>
        </is>
      </c>
      <c r="C527" s="2" t="inlineStr">
        <is>
          <t>Украшения</t>
        </is>
      </c>
      <c r="D527" s="2" t="inlineStr">
        <is>
          <t>Украшения → Цепи → Цепи и бусы бижутерные</t>
        </is>
      </c>
      <c r="E527" s="3" t="n">
        <v>36144180</v>
      </c>
      <c r="F527" s="3" t="n">
        <v>34304</v>
      </c>
      <c r="G527" s="3">
        <f>IFERROR(E527/F527,0)</f>
        <v/>
      </c>
      <c r="H527" s="3" t="n">
        <v>1691</v>
      </c>
      <c r="I527" s="2" t="n">
        <v>178</v>
      </c>
      <c r="J527" s="3">
        <f>IFERROR(E527/H527,0)</f>
        <v/>
      </c>
      <c r="K527" s="10">
        <f>E527/'По разделам'!$B$21</f>
        <v/>
      </c>
      <c r="L527" s="4">
        <f>L526+K527</f>
        <v/>
      </c>
      <c r="M527" s="2" t="inlineStr">
        <is>
          <t>01754</t>
        </is>
      </c>
      <c r="N527" s="2" t="inlineStr">
        <is>
          <t>https://app.redstat.kz/niche/01754?event_date=2026-08-01</t>
        </is>
      </c>
      <c r="O527" s="2" t="inlineStr">
        <is>
          <t>https://kaspi.kz/shop/c/imitation%20necklaces/</t>
        </is>
      </c>
    </row>
    <row r="528">
      <c r="A528" s="2" t="n">
        <v>527</v>
      </c>
      <c r="B528" s="2" t="inlineStr">
        <is>
          <t>Женские шорты</t>
        </is>
      </c>
      <c r="C528" s="2" t="inlineStr">
        <is>
          <t>Одежда</t>
        </is>
      </c>
      <c r="D528" s="2" t="inlineStr">
        <is>
          <t>Одежда → Женщинам → Женские шорты</t>
        </is>
      </c>
      <c r="E528" s="3" t="n">
        <v>36053842</v>
      </c>
      <c r="F528" s="3" t="n">
        <v>11918</v>
      </c>
      <c r="G528" s="3">
        <f>IFERROR(E528/F528,0)</f>
        <v/>
      </c>
      <c r="H528" s="3" t="n">
        <v>1457</v>
      </c>
      <c r="I528" s="2" t="n">
        <v>159</v>
      </c>
      <c r="J528" s="3">
        <f>IFERROR(E528/H528,0)</f>
        <v/>
      </c>
      <c r="K528" s="10">
        <f>E528/'По разделам'!$B$21</f>
        <v/>
      </c>
      <c r="L528" s="4">
        <f>L527+K528</f>
        <v/>
      </c>
      <c r="M528" s="2" t="inlineStr">
        <is>
          <t>01593</t>
        </is>
      </c>
      <c r="N528" s="2" t="inlineStr">
        <is>
          <t>https://app.redstat.kz/niche/01593?event_date=2026-08-01</t>
        </is>
      </c>
      <c r="O528" s="2" t="inlineStr">
        <is>
          <t>https://kaspi.kz/shop/c/women%20shorts/</t>
        </is>
      </c>
    </row>
    <row r="529">
      <c r="A529" s="2" t="n">
        <v>528</v>
      </c>
      <c r="B529" s="2" t="inlineStr">
        <is>
          <t>Детали салона</t>
        </is>
      </c>
      <c r="C529" s="2" t="inlineStr">
        <is>
          <t>Автотовары</t>
        </is>
      </c>
      <c r="D529" s="2" t="inlineStr">
        <is>
          <t>Автотовары → Автозапчасти → Детали салона → Детали салона</t>
        </is>
      </c>
      <c r="E529" s="3" t="n">
        <v>35863336</v>
      </c>
      <c r="F529" s="3" t="n">
        <v>3229</v>
      </c>
      <c r="G529" s="3">
        <f>IFERROR(E529/F529,0)</f>
        <v/>
      </c>
      <c r="H529" s="3" t="n">
        <v>811</v>
      </c>
      <c r="I529" s="2" t="n">
        <v>194</v>
      </c>
      <c r="J529" s="3">
        <f>IFERROR(E529/H529,0)</f>
        <v/>
      </c>
      <c r="K529" s="10">
        <f>E529/'По разделам'!$B$21</f>
        <v/>
      </c>
      <c r="L529" s="4">
        <f>L528+K529</f>
        <v/>
      </c>
      <c r="M529" s="2" t="inlineStr">
        <is>
          <t>q9dcc3527306546b</t>
        </is>
      </c>
      <c r="N529" s="2" t="inlineStr">
        <is>
          <t>https://app.redstat.kz/niche/q9dcc3527306546b?event_date=2026-08-01</t>
        </is>
      </c>
      <c r="O529" s="2" t="inlineStr"/>
    </row>
    <row r="530">
      <c r="A530" s="2" t="n">
        <v>529</v>
      </c>
      <c r="B530" s="2" t="inlineStr">
        <is>
          <t>Тостеры</t>
        </is>
      </c>
      <c r="C530" s="2" t="inlineStr">
        <is>
          <t>Бытовая техника</t>
        </is>
      </c>
      <c r="D530" s="2" t="inlineStr">
        <is>
          <t>Бытовая техника → Мелкая техника для кухни → Тостеры</t>
        </is>
      </c>
      <c r="E530" s="3" t="n">
        <v>35708421</v>
      </c>
      <c r="F530" s="3" t="n">
        <v>2927</v>
      </c>
      <c r="G530" s="3">
        <f>IFERROR(E530/F530,0)</f>
        <v/>
      </c>
      <c r="H530" s="3" t="n">
        <v>204</v>
      </c>
      <c r="I530" s="2" t="n">
        <v>74</v>
      </c>
      <c r="J530" s="3">
        <f>IFERROR(E530/H530,0)</f>
        <v/>
      </c>
      <c r="K530" s="10">
        <f>E530/'По разделам'!$B$21</f>
        <v/>
      </c>
      <c r="L530" s="4">
        <f>L529+K530</f>
        <v/>
      </c>
      <c r="M530" s="2" t="inlineStr">
        <is>
          <t>05165</t>
        </is>
      </c>
      <c r="N530" s="2" t="inlineStr">
        <is>
          <t>https://app.redstat.kz/niche/05165?event_date=2026-08-01</t>
        </is>
      </c>
      <c r="O530" s="2" t="inlineStr">
        <is>
          <t>https://kaspi.kz/shop/c/toasters/</t>
        </is>
      </c>
    </row>
    <row r="531">
      <c r="A531" s="2" t="n">
        <v>530</v>
      </c>
      <c r="B531" s="2" t="inlineStr">
        <is>
          <t>Верхняя одежда для мальчиков</t>
        </is>
      </c>
      <c r="C531" s="2" t="inlineStr">
        <is>
          <t>Одежда</t>
        </is>
      </c>
      <c r="D531" s="2" t="inlineStr">
        <is>
          <t>Одежда → Мальчикам → Верхняя одежда для мальчиков → Верхняя одежда для мальчиков</t>
        </is>
      </c>
      <c r="E531" s="3" t="n">
        <v>35626893</v>
      </c>
      <c r="F531" s="3" t="n">
        <v>2366</v>
      </c>
      <c r="G531" s="3">
        <f>IFERROR(E531/F531,0)</f>
        <v/>
      </c>
      <c r="H531" s="3" t="n">
        <v>931</v>
      </c>
      <c r="I531" s="2" t="n">
        <v>125</v>
      </c>
      <c r="J531" s="3">
        <f>IFERROR(E531/H531,0)</f>
        <v/>
      </c>
      <c r="K531" s="10">
        <f>E531/'По разделам'!$B$21</f>
        <v/>
      </c>
      <c r="L531" s="4">
        <f>L530+K531</f>
        <v/>
      </c>
      <c r="M531" s="2" t="inlineStr">
        <is>
          <t>q9d51add8d06f654</t>
        </is>
      </c>
      <c r="N531" s="2" t="inlineStr">
        <is>
          <t>https://app.redstat.kz/niche/q9d51add8d06f654?event_date=2026-08-01</t>
        </is>
      </c>
      <c r="O531" s="2" t="inlineStr"/>
    </row>
    <row r="532">
      <c r="A532" s="2" t="n">
        <v>531</v>
      </c>
      <c r="B532" s="2" t="inlineStr">
        <is>
          <t>Мобильные телефоны</t>
        </is>
      </c>
      <c r="C532" s="2" t="inlineStr">
        <is>
          <t>Телефоны и гаджеты</t>
        </is>
      </c>
      <c r="D532" s="2" t="inlineStr">
        <is>
          <t>Телефоны и гаджеты → Мобильные телефоны</t>
        </is>
      </c>
      <c r="E532" s="3" t="n">
        <v>35555193</v>
      </c>
      <c r="F532" s="3" t="n">
        <v>1388</v>
      </c>
      <c r="G532" s="3">
        <f>IFERROR(E532/F532,0)</f>
        <v/>
      </c>
      <c r="H532" s="3" t="n">
        <v>120</v>
      </c>
      <c r="I532" s="2" t="n">
        <v>15</v>
      </c>
      <c r="J532" s="3">
        <f>IFERROR(E532/H532,0)</f>
        <v/>
      </c>
      <c r="K532" s="10">
        <f>E532/'По разделам'!$B$21</f>
        <v/>
      </c>
      <c r="L532" s="4">
        <f>L531+K532</f>
        <v/>
      </c>
      <c r="M532" s="2" t="inlineStr">
        <is>
          <t>00105</t>
        </is>
      </c>
      <c r="N532" s="2" t="inlineStr">
        <is>
          <t>https://app.redstat.kz/niche/00105?event_date=2026-08-01</t>
        </is>
      </c>
      <c r="O532" s="2" t="inlineStr">
        <is>
          <t>https://kaspi.kz/shop/c/mobiles/</t>
        </is>
      </c>
    </row>
    <row r="533">
      <c r="A533" s="2" t="n">
        <v>532</v>
      </c>
      <c r="B533" s="2" t="inlineStr">
        <is>
          <t>Видеокамеры</t>
        </is>
      </c>
      <c r="C533" s="2" t="inlineStr">
        <is>
          <t>ТВ, Аудио, Видео</t>
        </is>
      </c>
      <c r="D533" s="2" t="inlineStr">
        <is>
          <t>ТВ, Аудио, Видео → Фото- и видеокамеры → Видеокамеры</t>
        </is>
      </c>
      <c r="E533" s="3" t="n">
        <v>34788346</v>
      </c>
      <c r="F533" s="3" t="n">
        <v>113</v>
      </c>
      <c r="G533" s="3">
        <f>IFERROR(E533/F533,0)</f>
        <v/>
      </c>
      <c r="H533" s="3" t="n">
        <v>21</v>
      </c>
      <c r="I533" s="2" t="n">
        <v>11</v>
      </c>
      <c r="J533" s="3">
        <f>IFERROR(E533/H533,0)</f>
        <v/>
      </c>
      <c r="K533" s="10">
        <f>E533/'По разделам'!$B$21</f>
        <v/>
      </c>
      <c r="L533" s="4">
        <f>L532+K533</f>
        <v/>
      </c>
      <c r="M533" s="2" t="inlineStr">
        <is>
          <t>00303</t>
        </is>
      </c>
      <c r="N533" s="2" t="inlineStr">
        <is>
          <t>https://app.redstat.kz/niche/00303?event_date=2026-08-01</t>
        </is>
      </c>
      <c r="O533" s="2" t="inlineStr">
        <is>
          <t>https://kaspi.kz/shop/c/video%20cameras/</t>
        </is>
      </c>
    </row>
    <row r="534">
      <c r="A534" s="2" t="n">
        <v>533</v>
      </c>
      <c r="B534" s="2" t="inlineStr">
        <is>
          <t>Кошельки и визитницы</t>
        </is>
      </c>
      <c r="C534" s="2" t="inlineStr">
        <is>
          <t>Аксессуары</t>
        </is>
      </c>
      <c r="D534" s="2" t="inlineStr">
        <is>
          <t>Аксессуары → Сумки, чемоданы, кошельки → Кошельки и визитницы</t>
        </is>
      </c>
      <c r="E534" s="3" t="n">
        <v>34689331</v>
      </c>
      <c r="F534" s="3" t="n">
        <v>10550</v>
      </c>
      <c r="G534" s="3">
        <f>IFERROR(E534/F534,0)</f>
        <v/>
      </c>
      <c r="H534" s="3" t="n">
        <v>1002</v>
      </c>
      <c r="I534" s="2" t="n">
        <v>181</v>
      </c>
      <c r="J534" s="3">
        <f>IFERROR(E534/H534,0)</f>
        <v/>
      </c>
      <c r="K534" s="10">
        <f>E534/'По разделам'!$B$21</f>
        <v/>
      </c>
      <c r="L534" s="4">
        <f>L533+K534</f>
        <v/>
      </c>
      <c r="M534" s="2" t="inlineStr">
        <is>
          <t>00794</t>
        </is>
      </c>
      <c r="N534" s="2" t="inlineStr">
        <is>
          <t>https://app.redstat.kz/niche/00794?event_date=2026-08-01</t>
        </is>
      </c>
      <c r="O534" s="2" t="inlineStr">
        <is>
          <t>https://kaspi.kz/shop/c/wallets/</t>
        </is>
      </c>
    </row>
    <row r="535">
      <c r="A535" s="2" t="n">
        <v>534</v>
      </c>
      <c r="B535" s="2" t="inlineStr">
        <is>
          <t>Дисплеи для смартфонов</t>
        </is>
      </c>
      <c r="C535" s="2" t="inlineStr">
        <is>
          <t>Телефоны и гаджеты</t>
        </is>
      </c>
      <c r="D535" s="2" t="inlineStr">
        <is>
          <t>Телефоны и гаджеты → Аксессуары для телефонов → Дисплеи для смартфонов</t>
        </is>
      </c>
      <c r="E535" s="3" t="n">
        <v>34659492</v>
      </c>
      <c r="F535" s="3" t="n">
        <v>3587</v>
      </c>
      <c r="G535" s="3">
        <f>IFERROR(E535/F535,0)</f>
        <v/>
      </c>
      <c r="H535" s="3" t="n">
        <v>867</v>
      </c>
      <c r="I535" s="2" t="n">
        <v>21</v>
      </c>
      <c r="J535" s="3">
        <f>IFERROR(E535/H535,0)</f>
        <v/>
      </c>
      <c r="K535" s="10">
        <f>E535/'По разделам'!$B$21</f>
        <v/>
      </c>
      <c r="L535" s="4">
        <f>L534+K535</f>
        <v/>
      </c>
      <c r="M535" s="2" t="inlineStr">
        <is>
          <t>06230</t>
        </is>
      </c>
      <c r="N535" s="2" t="inlineStr">
        <is>
          <t>https://app.redstat.kz/niche/06230?event_date=2026-08-01</t>
        </is>
      </c>
      <c r="O535" s="2" t="inlineStr">
        <is>
          <t>https://kaspi.kz/shop/c/smartphone%20displays/</t>
        </is>
      </c>
    </row>
    <row r="536">
      <c r="A536" s="2" t="n">
        <v>535</v>
      </c>
      <c r="B536" s="2" t="inlineStr">
        <is>
          <t>Товары для оснасток</t>
        </is>
      </c>
      <c r="C536" s="2" t="inlineStr">
        <is>
          <t>Спорт, туризм</t>
        </is>
      </c>
      <c r="D536" s="2" t="inlineStr">
        <is>
          <t>Спорт, туризм → Товары для рыбалки → Товары для оснасток → Товары для оснасток</t>
        </is>
      </c>
      <c r="E536" s="3" t="n">
        <v>34426102</v>
      </c>
      <c r="F536" s="3" t="n">
        <v>13804</v>
      </c>
      <c r="G536" s="3">
        <f>IFERROR(E536/F536,0)</f>
        <v/>
      </c>
      <c r="H536" s="3" t="n">
        <v>3201</v>
      </c>
      <c r="I536" s="2" t="n">
        <v>226</v>
      </c>
      <c r="J536" s="3">
        <f>IFERROR(E536/H536,0)</f>
        <v/>
      </c>
      <c r="K536" s="10">
        <f>E536/'По разделам'!$B$21</f>
        <v/>
      </c>
      <c r="L536" s="4">
        <f>L535+K536</f>
        <v/>
      </c>
      <c r="M536" s="2" t="inlineStr">
        <is>
          <t>q8a3122d03a821a1</t>
        </is>
      </c>
      <c r="N536" s="2" t="inlineStr">
        <is>
          <t>https://app.redstat.kz/niche/q8a3122d03a821a1?event_date=2026-08-01</t>
        </is>
      </c>
      <c r="O536" s="2" t="inlineStr"/>
    </row>
    <row r="537">
      <c r="A537" s="2" t="n">
        <v>536</v>
      </c>
      <c r="B537" s="2" t="inlineStr">
        <is>
          <t>Коврики для занятий йогой и фитнесом</t>
        </is>
      </c>
      <c r="C537" s="2" t="inlineStr">
        <is>
          <t>Спорт, туризм</t>
        </is>
      </c>
      <c r="D537" s="2" t="inlineStr">
        <is>
          <t>Спорт, туризм → Товары для фитнеса → Коврики для занятий йогой и фитнесом</t>
        </is>
      </c>
      <c r="E537" s="3" t="n">
        <v>34367494</v>
      </c>
      <c r="F537" s="3" t="n">
        <v>6730</v>
      </c>
      <c r="G537" s="3">
        <f>IFERROR(E537/F537,0)</f>
        <v/>
      </c>
      <c r="H537" s="3" t="n">
        <v>484</v>
      </c>
      <c r="I537" s="2" t="n">
        <v>73</v>
      </c>
      <c r="J537" s="3">
        <f>IFERROR(E537/H537,0)</f>
        <v/>
      </c>
      <c r="K537" s="10">
        <f>E537/'По разделам'!$B$21</f>
        <v/>
      </c>
      <c r="L537" s="4">
        <f>L536+K537</f>
        <v/>
      </c>
      <c r="M537" s="2" t="inlineStr">
        <is>
          <t>05175</t>
        </is>
      </c>
      <c r="N537" s="2" t="inlineStr">
        <is>
          <t>https://app.redstat.kz/niche/05175?event_date=2026-08-01</t>
        </is>
      </c>
      <c r="O537" s="2" t="inlineStr">
        <is>
          <t>https://kaspi.kz/shop/c/exercise%20mats/</t>
        </is>
      </c>
    </row>
    <row r="538">
      <c r="A538" s="2" t="n">
        <v>537</v>
      </c>
      <c r="B538" s="2" t="inlineStr">
        <is>
          <t>Средства для депиляции и эпиляции</t>
        </is>
      </c>
      <c r="C538" s="2" t="inlineStr">
        <is>
          <t>Красота и здоровье</t>
        </is>
      </c>
      <c r="D538" s="2" t="inlineStr">
        <is>
          <t>Красота и здоровье → Депиляция и эпиляция → Средства для депиляции и эпиляции</t>
        </is>
      </c>
      <c r="E538" s="3" t="n">
        <v>34232818</v>
      </c>
      <c r="F538" s="3" t="n">
        <v>15008</v>
      </c>
      <c r="G538" s="3">
        <f>IFERROR(E538/F538,0)</f>
        <v/>
      </c>
      <c r="H538" s="3" t="n">
        <v>336</v>
      </c>
      <c r="I538" s="2" t="n">
        <v>73</v>
      </c>
      <c r="J538" s="3">
        <f>IFERROR(E538/H538,0)</f>
        <v/>
      </c>
      <c r="K538" s="10">
        <f>E538/'По разделам'!$B$21</f>
        <v/>
      </c>
      <c r="L538" s="4">
        <f>L537+K538</f>
        <v/>
      </c>
      <c r="M538" s="2" t="inlineStr">
        <is>
          <t>04225</t>
        </is>
      </c>
      <c r="N538" s="2" t="inlineStr">
        <is>
          <t>https://app.redstat.kz/niche/04225?event_date=2026-08-01</t>
        </is>
      </c>
      <c r="O538" s="2" t="inlineStr">
        <is>
          <t>https://kaspi.kz/shop/c/depilation%20products/</t>
        </is>
      </c>
    </row>
    <row r="539">
      <c r="A539" s="2" t="n">
        <v>538</v>
      </c>
      <c r="B539" s="2" t="inlineStr">
        <is>
          <t>Теплицы и аксессуары</t>
        </is>
      </c>
      <c r="C539" s="2" t="inlineStr">
        <is>
          <t>Товары для дома и дачи</t>
        </is>
      </c>
      <c r="D539" s="2" t="inlineStr">
        <is>
          <t>Товары для дома и дачи → Дача, сад и огород → Теплицы и аксессуары → Теплицы и аксессуары</t>
        </is>
      </c>
      <c r="E539" s="3" t="n">
        <v>34148242</v>
      </c>
      <c r="F539" s="3" t="n">
        <v>252</v>
      </c>
      <c r="G539" s="3">
        <f>IFERROR(E539/F539,0)</f>
        <v/>
      </c>
      <c r="H539" s="3" t="n">
        <v>108</v>
      </c>
      <c r="I539" s="2" t="n">
        <v>21</v>
      </c>
      <c r="J539" s="3">
        <f>IFERROR(E539/H539,0)</f>
        <v/>
      </c>
      <c r="K539" s="10">
        <f>E539/'По разделам'!$B$21</f>
        <v/>
      </c>
      <c r="L539" s="4">
        <f>L538+K539</f>
        <v/>
      </c>
      <c r="M539" s="2" t="inlineStr">
        <is>
          <t>qb12ea9de8a0fc82</t>
        </is>
      </c>
      <c r="N539" s="2" t="inlineStr">
        <is>
          <t>https://app.redstat.kz/niche/qb12ea9de8a0fc82?event_date=2026-08-01</t>
        </is>
      </c>
      <c r="O539" s="2" t="inlineStr"/>
    </row>
    <row r="540">
      <c r="A540" s="2" t="n">
        <v>539</v>
      </c>
      <c r="B540" s="2" t="inlineStr">
        <is>
          <t>Фурнитура для мебели</t>
        </is>
      </c>
      <c r="C540" s="2" t="inlineStr">
        <is>
          <t>Мебель</t>
        </is>
      </c>
      <c r="D540" s="2" t="inlineStr">
        <is>
          <t>Мебель → Фурнитура и комплектующие для мебели → Фурнитура для мебели → Фурнитура для мебели</t>
        </is>
      </c>
      <c r="E540" s="3" t="n">
        <v>33765828</v>
      </c>
      <c r="F540" s="3" t="n">
        <v>10307</v>
      </c>
      <c r="G540" s="3">
        <f>IFERROR(E540/F540,0)</f>
        <v/>
      </c>
      <c r="H540" s="3" t="n">
        <v>2194</v>
      </c>
      <c r="I540" s="2" t="n">
        <v>154</v>
      </c>
      <c r="J540" s="3">
        <f>IFERROR(E540/H540,0)</f>
        <v/>
      </c>
      <c r="K540" s="10">
        <f>E540/'По разделам'!$B$21</f>
        <v/>
      </c>
      <c r="L540" s="4">
        <f>L539+K540</f>
        <v/>
      </c>
      <c r="M540" s="2" t="inlineStr">
        <is>
          <t>q98351d454ec40f6</t>
        </is>
      </c>
      <c r="N540" s="2" t="inlineStr">
        <is>
          <t>https://app.redstat.kz/niche/q98351d454ec40f6?event_date=2026-08-01</t>
        </is>
      </c>
      <c r="O540" s="2" t="inlineStr"/>
    </row>
    <row r="541">
      <c r="A541" s="2" t="n">
        <v>540</v>
      </c>
      <c r="B541" s="2" t="inlineStr">
        <is>
          <t>Автомобильные усилители</t>
        </is>
      </c>
      <c r="C541" s="2" t="inlineStr">
        <is>
          <t>Автотовары</t>
        </is>
      </c>
      <c r="D541" s="2" t="inlineStr">
        <is>
          <t>Автотовары → Автоакустика → Автомобильные усилители</t>
        </is>
      </c>
      <c r="E541" s="3" t="n">
        <v>33497164</v>
      </c>
      <c r="F541" s="3" t="n">
        <v>608</v>
      </c>
      <c r="G541" s="3">
        <f>IFERROR(E541/F541,0)</f>
        <v/>
      </c>
      <c r="H541" s="3" t="n">
        <v>205</v>
      </c>
      <c r="I541" s="2" t="n">
        <v>40</v>
      </c>
      <c r="J541" s="3">
        <f>IFERROR(E541/H541,0)</f>
        <v/>
      </c>
      <c r="K541" s="10">
        <f>E541/'По разделам'!$B$21</f>
        <v/>
      </c>
      <c r="L541" s="4">
        <f>L540+K541</f>
        <v/>
      </c>
      <c r="M541" s="2" t="inlineStr">
        <is>
          <t>00585</t>
        </is>
      </c>
      <c r="N541" s="2" t="inlineStr">
        <is>
          <t>https://app.redstat.kz/niche/00585?event_date=2026-08-01</t>
        </is>
      </c>
      <c r="O541" s="2" t="inlineStr">
        <is>
          <t>https://kaspi.kz/shop/c/car%20amplifiers/</t>
        </is>
      </c>
    </row>
    <row r="542">
      <c r="A542" s="2" t="n">
        <v>541</v>
      </c>
      <c r="B542" s="2" t="inlineStr">
        <is>
          <t>Оверлоки</t>
        </is>
      </c>
      <c r="C542" s="2" t="inlineStr">
        <is>
          <t>Бытовая техника</t>
        </is>
      </c>
      <c r="D542" s="2" t="inlineStr">
        <is>
          <t>Бытовая техника → Малая техника для дома → Оверлоки</t>
        </is>
      </c>
      <c r="E542" s="3" t="n">
        <v>33375109</v>
      </c>
      <c r="F542" s="3" t="n">
        <v>196</v>
      </c>
      <c r="G542" s="3">
        <f>IFERROR(E542/F542,0)</f>
        <v/>
      </c>
      <c r="H542" s="3" t="n">
        <v>60</v>
      </c>
      <c r="I542" s="2" t="n">
        <v>16</v>
      </c>
      <c r="J542" s="3">
        <f>IFERROR(E542/H542,0)</f>
        <v/>
      </c>
      <c r="K542" s="10">
        <f>E542/'По разделам'!$B$21</f>
        <v/>
      </c>
      <c r="L542" s="4">
        <f>L541+K542</f>
        <v/>
      </c>
      <c r="M542" s="2" t="inlineStr">
        <is>
          <t>00108</t>
        </is>
      </c>
      <c r="N542" s="2" t="inlineStr">
        <is>
          <t>https://app.redstat.kz/niche/00108?event_date=2026-08-01</t>
        </is>
      </c>
      <c r="O542" s="2" t="inlineStr">
        <is>
          <t>https://kaspi.kz/shop/c/overlock%20machines/</t>
        </is>
      </c>
    </row>
    <row r="543">
      <c r="A543" s="2" t="n">
        <v>542</v>
      </c>
      <c r="B543" s="2" t="inlineStr">
        <is>
          <t>Настольный теннис</t>
        </is>
      </c>
      <c r="C543" s="2" t="inlineStr">
        <is>
          <t>Спорт, туризм</t>
        </is>
      </c>
      <c r="D543" s="2" t="inlineStr">
        <is>
          <t>Спорт, туризм → Теннис и бадминтон → Настольный теннис → Настольный теннис</t>
        </is>
      </c>
      <c r="E543" s="3" t="n">
        <v>33343909</v>
      </c>
      <c r="F543" s="3" t="n">
        <v>1755</v>
      </c>
      <c r="G543" s="3">
        <f>IFERROR(E543/F543,0)</f>
        <v/>
      </c>
      <c r="H543" s="3" t="n">
        <v>439</v>
      </c>
      <c r="I543" s="2" t="n">
        <v>82</v>
      </c>
      <c r="J543" s="3">
        <f>IFERROR(E543/H543,0)</f>
        <v/>
      </c>
      <c r="K543" s="10">
        <f>E543/'По разделам'!$B$21</f>
        <v/>
      </c>
      <c r="L543" s="4">
        <f>L542+K543</f>
        <v/>
      </c>
      <c r="M543" s="2" t="inlineStr">
        <is>
          <t>q37d148e0eb47926</t>
        </is>
      </c>
      <c r="N543" s="2" t="inlineStr">
        <is>
          <t>https://app.redstat.kz/niche/q37d148e0eb47926?event_date=2026-08-01</t>
        </is>
      </c>
      <c r="O543" s="2" t="inlineStr"/>
    </row>
    <row r="544">
      <c r="A544" s="2" t="n">
        <v>543</v>
      </c>
      <c r="B544" s="2" t="inlineStr">
        <is>
          <t>Игрушки-антистресс</t>
        </is>
      </c>
      <c r="C544" s="2" t="inlineStr">
        <is>
          <t>Детские товары</t>
        </is>
      </c>
      <c r="D544" s="2" t="inlineStr">
        <is>
          <t>Детские товары → Игрушки → Игрушки-антистресс</t>
        </is>
      </c>
      <c r="E544" s="3" t="n">
        <v>33299048</v>
      </c>
      <c r="F544" s="3" t="n">
        <v>31916</v>
      </c>
      <c r="G544" s="3">
        <f>IFERROR(E544/F544,0)</f>
        <v/>
      </c>
      <c r="H544" s="3" t="n">
        <v>1236</v>
      </c>
      <c r="I544" s="2" t="n">
        <v>121</v>
      </c>
      <c r="J544" s="3">
        <f>IFERROR(E544/H544,0)</f>
        <v/>
      </c>
      <c r="K544" s="10">
        <f>E544/'По разделам'!$B$21</f>
        <v/>
      </c>
      <c r="L544" s="4">
        <f>L543+K544</f>
        <v/>
      </c>
      <c r="M544" s="2" t="inlineStr">
        <is>
          <t>02117</t>
        </is>
      </c>
      <c r="N544" s="2" t="inlineStr">
        <is>
          <t>https://app.redstat.kz/niche/02117?event_date=2026-08-01</t>
        </is>
      </c>
      <c r="O544" s="2" t="inlineStr">
        <is>
          <t>https://kaspi.kz/shop/c/stress%20relief%20toys/</t>
        </is>
      </c>
    </row>
    <row r="545">
      <c r="A545" s="2" t="n">
        <v>544</v>
      </c>
      <c r="B545" s="2" t="inlineStr">
        <is>
          <t>Футбол</t>
        </is>
      </c>
      <c r="C545" s="2" t="inlineStr">
        <is>
          <t>Спорт, туризм</t>
        </is>
      </c>
      <c r="D545" s="2" t="inlineStr">
        <is>
          <t>Спорт, туризм → Командные виды спорта → Футбол → Футбол</t>
        </is>
      </c>
      <c r="E545" s="3" t="n">
        <v>33288597</v>
      </c>
      <c r="F545" s="3" t="n">
        <v>5645</v>
      </c>
      <c r="G545" s="3">
        <f>IFERROR(E545/F545,0)</f>
        <v/>
      </c>
      <c r="H545" s="3" t="n">
        <v>1710</v>
      </c>
      <c r="I545" s="2" t="n">
        <v>54</v>
      </c>
      <c r="J545" s="3">
        <f>IFERROR(E545/H545,0)</f>
        <v/>
      </c>
      <c r="K545" s="10">
        <f>E545/'По разделам'!$B$21</f>
        <v/>
      </c>
      <c r="L545" s="4">
        <f>L544+K545</f>
        <v/>
      </c>
      <c r="M545" s="2" t="inlineStr">
        <is>
          <t>q3dbc5b65ff40e2c</t>
        </is>
      </c>
      <c r="N545" s="2" t="inlineStr">
        <is>
          <t>https://app.redstat.kz/niche/q3dbc5b65ff40e2c?event_date=2026-08-01</t>
        </is>
      </c>
      <c r="O545" s="2" t="inlineStr"/>
    </row>
    <row r="546">
      <c r="A546" s="2" t="n">
        <v>545</v>
      </c>
      <c r="B546" s="2" t="inlineStr">
        <is>
          <t>Ремешки для смарт-часов и фитнес-браслетов</t>
        </is>
      </c>
      <c r="C546" s="2" t="inlineStr">
        <is>
          <t>Телефоны и гаджеты</t>
        </is>
      </c>
      <c r="D546" s="2" t="inlineStr">
        <is>
          <t>Телефоны и гаджеты → Аксессуары для смарт-часов и фитнесс браслетов → Ремешки для смарт-часов и фитнес-браслетов</t>
        </is>
      </c>
      <c r="E546" s="3" t="n">
        <v>33248827</v>
      </c>
      <c r="F546" s="3" t="n">
        <v>9240</v>
      </c>
      <c r="G546" s="3">
        <f>IFERROR(E546/F546,0)</f>
        <v/>
      </c>
      <c r="H546" s="3" t="n">
        <v>2153</v>
      </c>
      <c r="I546" s="2" t="n">
        <v>83</v>
      </c>
      <c r="J546" s="3">
        <f>IFERROR(E546/H546,0)</f>
        <v/>
      </c>
      <c r="K546" s="10">
        <f>E546/'По разделам'!$B$21</f>
        <v/>
      </c>
      <c r="L546" s="4">
        <f>L545+K546</f>
        <v/>
      </c>
      <c r="M546" s="2" t="inlineStr">
        <is>
          <t>02043</t>
        </is>
      </c>
      <c r="N546" s="2" t="inlineStr">
        <is>
          <t>https://app.redstat.kz/niche/02043?event_date=2026-08-01</t>
        </is>
      </c>
      <c r="O546" s="2" t="inlineStr">
        <is>
          <t>https://kaspi.kz/shop/c/smart%20watch%20bands/</t>
        </is>
      </c>
    </row>
    <row r="547">
      <c r="A547" s="2" t="n">
        <v>546</v>
      </c>
      <c r="B547" s="2" t="inlineStr">
        <is>
          <t>Торговые весы</t>
        </is>
      </c>
      <c r="C547" s="2" t="inlineStr">
        <is>
          <t>Компьютеры</t>
        </is>
      </c>
      <c r="D547" s="2" t="inlineStr">
        <is>
          <t>Компьютеры → Электронное оборудование для торговли → Торговые весы</t>
        </is>
      </c>
      <c r="E547" s="3" t="n">
        <v>33047577</v>
      </c>
      <c r="F547" s="3" t="n">
        <v>1611</v>
      </c>
      <c r="G547" s="3">
        <f>IFERROR(E547/F547,0)</f>
        <v/>
      </c>
      <c r="H547" s="3" t="n">
        <v>150</v>
      </c>
      <c r="I547" s="2" t="n">
        <v>34</v>
      </c>
      <c r="J547" s="3">
        <f>IFERROR(E547/H547,0)</f>
        <v/>
      </c>
      <c r="K547" s="10">
        <f>E547/'По разделам'!$B$21</f>
        <v/>
      </c>
      <c r="L547" s="4">
        <f>L546+K547</f>
        <v/>
      </c>
      <c r="M547" s="2" t="inlineStr">
        <is>
          <t>04634</t>
        </is>
      </c>
      <c r="N547" s="2" t="inlineStr">
        <is>
          <t>https://app.redstat.kz/niche/04634?event_date=2026-08-01</t>
        </is>
      </c>
      <c r="O547" s="2" t="inlineStr">
        <is>
          <t>https://kaspi.kz/shop/c/trade%20scales/</t>
        </is>
      </c>
    </row>
    <row r="548">
      <c r="A548" s="2" t="n">
        <v>547</v>
      </c>
      <c r="B548" s="2" t="inlineStr">
        <is>
          <t>Эллиптические тренажеры</t>
        </is>
      </c>
      <c r="C548" s="2" t="inlineStr">
        <is>
          <t>Спорт, туризм</t>
        </is>
      </c>
      <c r="D548" s="2" t="inlineStr">
        <is>
          <t>Спорт, туризм → Тренажеры → Эллиптические тренажеры</t>
        </is>
      </c>
      <c r="E548" s="3" t="n">
        <v>33040365</v>
      </c>
      <c r="F548" s="3" t="n">
        <v>209</v>
      </c>
      <c r="G548" s="3">
        <f>IFERROR(E548/F548,0)</f>
        <v/>
      </c>
      <c r="H548" s="3" t="n">
        <v>39</v>
      </c>
      <c r="I548" s="2" t="n">
        <v>16</v>
      </c>
      <c r="J548" s="3">
        <f>IFERROR(E548/H548,0)</f>
        <v/>
      </c>
      <c r="K548" s="10">
        <f>E548/'По разделам'!$B$21</f>
        <v/>
      </c>
      <c r="L548" s="4">
        <f>L547+K548</f>
        <v/>
      </c>
      <c r="M548" s="2" t="inlineStr">
        <is>
          <t>00769</t>
        </is>
      </c>
      <c r="N548" s="2" t="inlineStr">
        <is>
          <t>https://app.redstat.kz/niche/00769?event_date=2026-08-01</t>
        </is>
      </c>
      <c r="O548" s="2" t="inlineStr">
        <is>
          <t>https://kaspi.kz/shop/c/elliptical%20trainers/</t>
        </is>
      </c>
    </row>
    <row r="549">
      <c r="A549" s="2" t="n">
        <v>548</v>
      </c>
      <c r="B549" s="2" t="inlineStr">
        <is>
          <t>Трансмиссионные масла</t>
        </is>
      </c>
      <c r="C549" s="2" t="inlineStr">
        <is>
          <t>Автотовары</t>
        </is>
      </c>
      <c r="D549" s="2" t="inlineStr">
        <is>
          <t>Автотовары → Масла и технические жидкости → Трансмиссионные масла</t>
        </is>
      </c>
      <c r="E549" s="3" t="n">
        <v>32926855</v>
      </c>
      <c r="F549" s="3" t="n">
        <v>1205</v>
      </c>
      <c r="G549" s="3">
        <f>IFERROR(E549/F549,0)</f>
        <v/>
      </c>
      <c r="H549" s="3" t="n">
        <v>397</v>
      </c>
      <c r="I549" s="2" t="n">
        <v>86</v>
      </c>
      <c r="J549" s="3">
        <f>IFERROR(E549/H549,0)</f>
        <v/>
      </c>
      <c r="K549" s="10">
        <f>E549/'По разделам'!$B$21</f>
        <v/>
      </c>
      <c r="L549" s="4">
        <f>L548+K549</f>
        <v/>
      </c>
      <c r="M549" s="2" t="inlineStr">
        <is>
          <t>01523</t>
        </is>
      </c>
      <c r="N549" s="2" t="inlineStr">
        <is>
          <t>https://app.redstat.kz/niche/01523?event_date=2026-08-01</t>
        </is>
      </c>
      <c r="O549" s="2" t="inlineStr">
        <is>
          <t>https://kaspi.kz/shop/c/gear%20oils/</t>
        </is>
      </c>
    </row>
    <row r="550">
      <c r="A550" s="2" t="n">
        <v>549</v>
      </c>
      <c r="B550" s="2" t="inlineStr">
        <is>
          <t>Ленты и сетки строительные</t>
        </is>
      </c>
      <c r="C550" s="2" t="inlineStr">
        <is>
          <t>Строительство, ремонт</t>
        </is>
      </c>
      <c r="D550" s="2" t="inlineStr">
        <is>
          <t>Строительство, ремонт → Строительные материалы → Ленты и сетки строительные → Ленты и сетки строительные</t>
        </is>
      </c>
      <c r="E550" s="3" t="n">
        <v>32717373</v>
      </c>
      <c r="F550" s="3" t="n">
        <v>14647</v>
      </c>
      <c r="G550" s="3">
        <f>IFERROR(E550/F550,0)</f>
        <v/>
      </c>
      <c r="H550" s="3" t="n">
        <v>690</v>
      </c>
      <c r="I550" s="2" t="n">
        <v>119</v>
      </c>
      <c r="J550" s="3">
        <f>IFERROR(E550/H550,0)</f>
        <v/>
      </c>
      <c r="K550" s="10">
        <f>E550/'По разделам'!$B$21</f>
        <v/>
      </c>
      <c r="L550" s="4">
        <f>L549+K550</f>
        <v/>
      </c>
      <c r="M550" s="2" t="inlineStr">
        <is>
          <t>q9adb813f06c9f6e</t>
        </is>
      </c>
      <c r="N550" s="2" t="inlineStr">
        <is>
          <t>https://app.redstat.kz/niche/q9adb813f06c9f6e?event_date=2026-08-01</t>
        </is>
      </c>
      <c r="O550" s="2" t="inlineStr"/>
    </row>
    <row r="551">
      <c r="A551" s="2" t="n">
        <v>550</v>
      </c>
      <c r="B551" s="2" t="inlineStr">
        <is>
          <t>Шарфы и платки</t>
        </is>
      </c>
      <c r="C551" s="2" t="inlineStr">
        <is>
          <t>Аксессуары</t>
        </is>
      </c>
      <c r="D551" s="2" t="inlineStr">
        <is>
          <t>Аксессуары → Шапки, шарфы, перчатки → Шарфы и платки</t>
        </is>
      </c>
      <c r="E551" s="3" t="n">
        <v>32675029</v>
      </c>
      <c r="F551" s="3" t="n">
        <v>13699</v>
      </c>
      <c r="G551" s="3">
        <f>IFERROR(E551/F551,0)</f>
        <v/>
      </c>
      <c r="H551" s="3" t="n">
        <v>1287</v>
      </c>
      <c r="I551" s="2" t="n">
        <v>168</v>
      </c>
      <c r="J551" s="3">
        <f>IFERROR(E551/H551,0)</f>
        <v/>
      </c>
      <c r="K551" s="10">
        <f>E551/'По разделам'!$B$21</f>
        <v/>
      </c>
      <c r="L551" s="4">
        <f>L550+K551</f>
        <v/>
      </c>
      <c r="M551" s="2" t="inlineStr">
        <is>
          <t>02002</t>
        </is>
      </c>
      <c r="N551" s="2" t="inlineStr">
        <is>
          <t>https://app.redstat.kz/niche/02002?event_date=2026-08-01</t>
        </is>
      </c>
      <c r="O551" s="2" t="inlineStr">
        <is>
          <t>https://kaspi.kz/shop/c/fashion%20scarves/</t>
        </is>
      </c>
    </row>
    <row r="552">
      <c r="A552" s="2" t="n">
        <v>551</v>
      </c>
      <c r="B552" s="2" t="inlineStr">
        <is>
          <t>Слесарно-монтажный инструмент</t>
        </is>
      </c>
      <c r="C552" s="2" t="inlineStr">
        <is>
          <t>Строительство, ремонт</t>
        </is>
      </c>
      <c r="D552" s="2" t="inlineStr">
        <is>
          <t>Строительство, ремонт → Ручные инструменты → Слесарно-монтажный инструмент → Слесарно-монтажный инструмент</t>
        </is>
      </c>
      <c r="E552" s="3" t="n">
        <v>32658990</v>
      </c>
      <c r="F552" s="3" t="n">
        <v>3540</v>
      </c>
      <c r="G552" s="3">
        <f>IFERROR(E552/F552,0)</f>
        <v/>
      </c>
      <c r="H552" s="3" t="n">
        <v>638</v>
      </c>
      <c r="I552" s="2" t="n">
        <v>182</v>
      </c>
      <c r="J552" s="3">
        <f>IFERROR(E552/H552,0)</f>
        <v/>
      </c>
      <c r="K552" s="10">
        <f>E552/'По разделам'!$B$21</f>
        <v/>
      </c>
      <c r="L552" s="4">
        <f>L551+K552</f>
        <v/>
      </c>
      <c r="M552" s="2" t="inlineStr">
        <is>
          <t>q290b0502471e873</t>
        </is>
      </c>
      <c r="N552" s="2" t="inlineStr">
        <is>
          <t>https://app.redstat.kz/niche/q290b0502471e873?event_date=2026-08-01</t>
        </is>
      </c>
      <c r="O552" s="2" t="inlineStr"/>
    </row>
    <row r="553">
      <c r="A553" s="2" t="n">
        <v>552</v>
      </c>
      <c r="B553" s="2" t="inlineStr">
        <is>
          <t>Мужские рубашки</t>
        </is>
      </c>
      <c r="C553" s="2" t="inlineStr">
        <is>
          <t>Одежда</t>
        </is>
      </c>
      <c r="D553" s="2" t="inlineStr">
        <is>
          <t>Одежда → Мужчинам → Мужские рубашки</t>
        </is>
      </c>
      <c r="E553" s="3" t="n">
        <v>32586164</v>
      </c>
      <c r="F553" s="3" t="n">
        <v>3725</v>
      </c>
      <c r="G553" s="3">
        <f>IFERROR(E553/F553,0)</f>
        <v/>
      </c>
      <c r="H553" s="3" t="n">
        <v>1093</v>
      </c>
      <c r="I553" s="2" t="n">
        <v>136</v>
      </c>
      <c r="J553" s="3">
        <f>IFERROR(E553/H553,0)</f>
        <v/>
      </c>
      <c r="K553" s="10">
        <f>E553/'По разделам'!$B$21</f>
        <v/>
      </c>
      <c r="L553" s="4">
        <f>L552+K553</f>
        <v/>
      </c>
      <c r="M553" s="2" t="inlineStr">
        <is>
          <t>00976</t>
        </is>
      </c>
      <c r="N553" s="2" t="inlineStr">
        <is>
          <t>https://app.redstat.kz/niche/00976?event_date=2026-08-01</t>
        </is>
      </c>
      <c r="O553" s="2" t="inlineStr">
        <is>
          <t>https://kaspi.kz/shop/c/men%20shirts/</t>
        </is>
      </c>
    </row>
    <row r="554">
      <c r="A554" s="2" t="n">
        <v>553</v>
      </c>
      <c r="B554" s="2" t="inlineStr">
        <is>
          <t>Столярные изделия</t>
        </is>
      </c>
      <c r="C554" s="2" t="inlineStr">
        <is>
          <t>Строительство, ремонт</t>
        </is>
      </c>
      <c r="D554" s="2" t="inlineStr">
        <is>
          <t>Строительство, ремонт → Строительные материалы → Столярные изделия → Столярные изделия</t>
        </is>
      </c>
      <c r="E554" s="3" t="n">
        <v>32261184</v>
      </c>
      <c r="F554" s="3" t="n">
        <v>883</v>
      </c>
      <c r="G554" s="3">
        <f>IFERROR(E554/F554,0)</f>
        <v/>
      </c>
      <c r="H554" s="3" t="n">
        <v>191</v>
      </c>
      <c r="I554" s="2" t="n">
        <v>41</v>
      </c>
      <c r="J554" s="3">
        <f>IFERROR(E554/H554,0)</f>
        <v/>
      </c>
      <c r="K554" s="10">
        <f>E554/'По разделам'!$B$21</f>
        <v/>
      </c>
      <c r="L554" s="4">
        <f>L553+K554</f>
        <v/>
      </c>
      <c r="M554" s="2" t="inlineStr">
        <is>
          <t>qb310ed9a3c4b14b</t>
        </is>
      </c>
      <c r="N554" s="2" t="inlineStr">
        <is>
          <t>https://app.redstat.kz/niche/qb310ed9a3c4b14b?event_date=2026-08-01</t>
        </is>
      </c>
      <c r="O554" s="2" t="inlineStr"/>
    </row>
    <row r="555">
      <c r="A555" s="2" t="n">
        <v>554</v>
      </c>
      <c r="B555" s="2" t="inlineStr">
        <is>
          <t>Мужские джинсы</t>
        </is>
      </c>
      <c r="C555" s="2" t="inlineStr">
        <is>
          <t>Одежда</t>
        </is>
      </c>
      <c r="D555" s="2" t="inlineStr">
        <is>
          <t>Одежда → Мужчинам → Мужские джинсы</t>
        </is>
      </c>
      <c r="E555" s="3" t="n">
        <v>32245512</v>
      </c>
      <c r="F555" s="3" t="n">
        <v>1785</v>
      </c>
      <c r="G555" s="3">
        <f>IFERROR(E555/F555,0)</f>
        <v/>
      </c>
      <c r="H555" s="3" t="n">
        <v>826</v>
      </c>
      <c r="I555" s="2" t="n">
        <v>105</v>
      </c>
      <c r="J555" s="3">
        <f>IFERROR(E555/H555,0)</f>
        <v/>
      </c>
      <c r="K555" s="10">
        <f>E555/'По разделам'!$B$21</f>
        <v/>
      </c>
      <c r="L555" s="4">
        <f>L554+K555</f>
        <v/>
      </c>
      <c r="M555" s="2" t="inlineStr">
        <is>
          <t>01022</t>
        </is>
      </c>
      <c r="N555" s="2" t="inlineStr">
        <is>
          <t>https://app.redstat.kz/niche/01022?event_date=2026-08-01</t>
        </is>
      </c>
      <c r="O555" s="2" t="inlineStr">
        <is>
          <t>https://kaspi.kz/shop/c/men%20jeans/</t>
        </is>
      </c>
    </row>
    <row r="556">
      <c r="A556" s="2" t="n">
        <v>555</v>
      </c>
      <c r="B556" s="2" t="inlineStr">
        <is>
          <t>Уход за кузовом автомобиля</t>
        </is>
      </c>
      <c r="C556" s="2" t="inlineStr">
        <is>
          <t>Автотовары</t>
        </is>
      </c>
      <c r="D556" s="2" t="inlineStr">
        <is>
          <t>Автотовары → Автохимия и автокосметика → Уход за кузовом автомобиля → Уход за кузовом автомобиля</t>
        </is>
      </c>
      <c r="E556" s="3" t="n">
        <v>32178680</v>
      </c>
      <c r="F556" s="3" t="n">
        <v>5284</v>
      </c>
      <c r="G556" s="3">
        <f>IFERROR(E556/F556,0)</f>
        <v/>
      </c>
      <c r="H556" s="3" t="n">
        <v>596</v>
      </c>
      <c r="I556" s="2" t="n">
        <v>142</v>
      </c>
      <c r="J556" s="3">
        <f>IFERROR(E556/H556,0)</f>
        <v/>
      </c>
      <c r="K556" s="10">
        <f>E556/'По разделам'!$B$21</f>
        <v/>
      </c>
      <c r="L556" s="4">
        <f>L555+K556</f>
        <v/>
      </c>
      <c r="M556" s="2" t="inlineStr">
        <is>
          <t>qdab7caed979a919</t>
        </is>
      </c>
      <c r="N556" s="2" t="inlineStr">
        <is>
          <t>https://app.redstat.kz/niche/qdab7caed979a919?event_date=2026-08-01</t>
        </is>
      </c>
      <c r="O556" s="2" t="inlineStr"/>
    </row>
    <row r="557">
      <c r="A557" s="2" t="n">
        <v>556</v>
      </c>
      <c r="B557" s="2" t="inlineStr">
        <is>
          <t>Автоматические выключатели и дифференциальные автоматы</t>
        </is>
      </c>
      <c r="C557" s="2" t="inlineStr">
        <is>
          <t>Строительство, ремонт</t>
        </is>
      </c>
      <c r="D557" s="2" t="inlineStr">
        <is>
          <t>Строительство, ремонт → Электрика → Автоматические выключатели и дифференциальные автоматы → Автоматические выключатели и дифференциальные автоматы</t>
        </is>
      </c>
      <c r="E557" s="3" t="n">
        <v>32142167</v>
      </c>
      <c r="F557" s="3" t="n">
        <v>2300</v>
      </c>
      <c r="G557" s="3">
        <f>IFERROR(E557/F557,0)</f>
        <v/>
      </c>
      <c r="H557" s="3" t="n">
        <v>532</v>
      </c>
      <c r="I557" s="2" t="n">
        <v>54</v>
      </c>
      <c r="J557" s="3">
        <f>IFERROR(E557/H557,0)</f>
        <v/>
      </c>
      <c r="K557" s="10">
        <f>E557/'По разделам'!$B$21</f>
        <v/>
      </c>
      <c r="L557" s="4">
        <f>L556+K557</f>
        <v/>
      </c>
      <c r="M557" s="2" t="inlineStr">
        <is>
          <t>q439bd065ca13b57</t>
        </is>
      </c>
      <c r="N557" s="2" t="inlineStr">
        <is>
          <t>https://app.redstat.kz/niche/q439bd065ca13b57?event_date=2026-08-01</t>
        </is>
      </c>
      <c r="O557" s="2" t="inlineStr"/>
    </row>
    <row r="558">
      <c r="A558" s="2" t="n">
        <v>557</v>
      </c>
      <c r="B558" s="2" t="inlineStr">
        <is>
          <t>Туфли для мальчиков</t>
        </is>
      </c>
      <c r="C558" s="2" t="inlineStr">
        <is>
          <t>Обувь</t>
        </is>
      </c>
      <c r="D558" s="2" t="inlineStr">
        <is>
          <t>Обувь → Обувь для мальчиков → Туфли для мальчиков</t>
        </is>
      </c>
      <c r="E558" s="3" t="n">
        <v>31750754</v>
      </c>
      <c r="F558" s="3" t="n">
        <v>1937</v>
      </c>
      <c r="G558" s="3">
        <f>IFERROR(E558/F558,0)</f>
        <v/>
      </c>
      <c r="H558" s="3" t="n">
        <v>869</v>
      </c>
      <c r="I558" s="2" t="n">
        <v>74</v>
      </c>
      <c r="J558" s="3">
        <f>IFERROR(E558/H558,0)</f>
        <v/>
      </c>
      <c r="K558" s="10">
        <f>E558/'По разделам'!$B$21</f>
        <v/>
      </c>
      <c r="L558" s="4">
        <f>L557+K558</f>
        <v/>
      </c>
      <c r="M558" s="2" t="inlineStr">
        <is>
          <t>01082</t>
        </is>
      </c>
      <c r="N558" s="2" t="inlineStr">
        <is>
          <t>https://app.redstat.kz/niche/01082?event_date=2026-08-01</t>
        </is>
      </c>
      <c r="O558" s="2" t="inlineStr">
        <is>
          <t>https://kaspi.kz/shop/c/boy%20dress%20shoes/</t>
        </is>
      </c>
    </row>
    <row r="559">
      <c r="A559" s="2" t="n">
        <v>558</v>
      </c>
      <c r="B559" s="2" t="inlineStr">
        <is>
          <t>Видеокабели и переходники</t>
        </is>
      </c>
      <c r="C559" s="2" t="inlineStr">
        <is>
          <t>ТВ, Аудио, Видео</t>
        </is>
      </c>
      <c r="D559" s="2" t="inlineStr">
        <is>
          <t>ТВ, Аудио, Видео → Видеотехника → Видеокабели и переходники</t>
        </is>
      </c>
      <c r="E559" s="3" t="n">
        <v>31677633</v>
      </c>
      <c r="F559" s="3" t="n">
        <v>7801</v>
      </c>
      <c r="G559" s="3">
        <f>IFERROR(E559/F559,0)</f>
        <v/>
      </c>
      <c r="H559" s="3" t="n">
        <v>1031</v>
      </c>
      <c r="I559" s="2" t="n">
        <v>136</v>
      </c>
      <c r="J559" s="3">
        <f>IFERROR(E559/H559,0)</f>
        <v/>
      </c>
      <c r="K559" s="10">
        <f>E559/'По разделам'!$B$21</f>
        <v/>
      </c>
      <c r="L559" s="4">
        <f>L558+K559</f>
        <v/>
      </c>
      <c r="M559" s="2" t="inlineStr">
        <is>
          <t>03184</t>
        </is>
      </c>
      <c r="N559" s="2" t="inlineStr">
        <is>
          <t>https://app.redstat.kz/niche/03184?event_date=2026-08-01</t>
        </is>
      </c>
      <c r="O559" s="2" t="inlineStr">
        <is>
          <t>https://kaspi.kz/shop/c/video%20cables%20and%20adapters/</t>
        </is>
      </c>
    </row>
    <row r="560">
      <c r="A560" s="2" t="n">
        <v>559</v>
      </c>
      <c r="B560" s="2" t="inlineStr">
        <is>
          <t>Эргорюкзаки и кенгуру для малышей</t>
        </is>
      </c>
      <c r="C560" s="2" t="inlineStr">
        <is>
          <t>Детские товары</t>
        </is>
      </c>
      <c r="D560" s="2" t="inlineStr">
        <is>
          <t>Детские товары → Прогулки и поездки → Эргорюкзаки и кенгуру для малышей</t>
        </is>
      </c>
      <c r="E560" s="3" t="n">
        <v>31667456</v>
      </c>
      <c r="F560" s="3" t="n">
        <v>3236</v>
      </c>
      <c r="G560" s="3">
        <f>IFERROR(E560/F560,0)</f>
        <v/>
      </c>
      <c r="H560" s="3" t="n">
        <v>170</v>
      </c>
      <c r="I560" s="2" t="n">
        <v>33</v>
      </c>
      <c r="J560" s="3">
        <f>IFERROR(E560/H560,0)</f>
        <v/>
      </c>
      <c r="K560" s="10">
        <f>E560/'По разделам'!$B$21</f>
        <v/>
      </c>
      <c r="L560" s="4">
        <f>L559+K560</f>
        <v/>
      </c>
      <c r="M560" s="2" t="inlineStr">
        <is>
          <t>01118</t>
        </is>
      </c>
      <c r="N560" s="2" t="inlineStr">
        <is>
          <t>https://app.redstat.kz/niche/01118?event_date=2026-08-01</t>
        </is>
      </c>
      <c r="O560" s="2" t="inlineStr">
        <is>
          <t>https://kaspi.kz/shop/c/ergobaby%20carriers%20and%20soft%20carriers/</t>
        </is>
      </c>
    </row>
    <row r="561">
      <c r="A561" s="2" t="n">
        <v>560</v>
      </c>
      <c r="B561" s="2" t="inlineStr">
        <is>
          <t>Семена, саженцы, рассада</t>
        </is>
      </c>
      <c r="C561" s="2" t="inlineStr">
        <is>
          <t>Товары для дома и дачи</t>
        </is>
      </c>
      <c r="D561" s="2" t="inlineStr">
        <is>
          <t>Товары для дома и дачи → Дача, сад и огород → Семена, саженцы, рассада → Семена, саженцы, рассада</t>
        </is>
      </c>
      <c r="E561" s="3" t="n">
        <v>31633370</v>
      </c>
      <c r="F561" s="3" t="n">
        <v>6460</v>
      </c>
      <c r="G561" s="3">
        <f>IFERROR(E561/F561,0)</f>
        <v/>
      </c>
      <c r="H561" s="3" t="n">
        <v>1390</v>
      </c>
      <c r="I561" s="2" t="n">
        <v>125</v>
      </c>
      <c r="J561" s="3">
        <f>IFERROR(E561/H561,0)</f>
        <v/>
      </c>
      <c r="K561" s="10">
        <f>E561/'По разделам'!$B$21</f>
        <v/>
      </c>
      <c r="L561" s="4">
        <f>L560+K561</f>
        <v/>
      </c>
      <c r="M561" s="2" t="inlineStr">
        <is>
          <t>q4a017ec230bca23</t>
        </is>
      </c>
      <c r="N561" s="2" t="inlineStr">
        <is>
          <t>https://app.redstat.kz/niche/q4a017ec230bca23?event_date=2026-08-01</t>
        </is>
      </c>
      <c r="O561" s="2" t="inlineStr"/>
    </row>
    <row r="562">
      <c r="A562" s="2" t="n">
        <v>561</v>
      </c>
      <c r="B562" s="2" t="inlineStr">
        <is>
          <t>Шведские стенки</t>
        </is>
      </c>
      <c r="C562" s="2" t="inlineStr">
        <is>
          <t>Спорт, туризм</t>
        </is>
      </c>
      <c r="D562" s="2" t="inlineStr">
        <is>
          <t>Спорт, туризм → Товары для фитнеса → Шведские стенки</t>
        </is>
      </c>
      <c r="E562" s="3" t="n">
        <v>31618913</v>
      </c>
      <c r="F562" s="3" t="n">
        <v>355</v>
      </c>
      <c r="G562" s="3">
        <f>IFERROR(E562/F562,0)</f>
        <v/>
      </c>
      <c r="H562" s="3" t="n">
        <v>85</v>
      </c>
      <c r="I562" s="2" t="n">
        <v>14</v>
      </c>
      <c r="J562" s="3">
        <f>IFERROR(E562/H562,0)</f>
        <v/>
      </c>
      <c r="K562" s="10">
        <f>E562/'По разделам'!$B$21</f>
        <v/>
      </c>
      <c r="L562" s="4">
        <f>L561+K562</f>
        <v/>
      </c>
      <c r="M562" s="2" t="inlineStr">
        <is>
          <t>00958</t>
        </is>
      </c>
      <c r="N562" s="2" t="inlineStr">
        <is>
          <t>https://app.redstat.kz/niche/00958?event_date=2026-08-01</t>
        </is>
      </c>
      <c r="O562" s="2" t="inlineStr">
        <is>
          <t>https://kaspi.kz/shop/c/swedish%20walls/</t>
        </is>
      </c>
    </row>
    <row r="563">
      <c r="A563" s="2" t="n">
        <v>562</v>
      </c>
      <c r="B563" s="2" t="inlineStr">
        <is>
          <t>Грузоподъемное оборудование</t>
        </is>
      </c>
      <c r="C563" s="2" t="inlineStr">
        <is>
          <t>Строительство, ремонт</t>
        </is>
      </c>
      <c r="D563" s="2" t="inlineStr">
        <is>
          <t>Строительство, ремонт → Строительное оборудование → Грузоподъемное оборудование</t>
        </is>
      </c>
      <c r="E563" s="3" t="n">
        <v>31468493</v>
      </c>
      <c r="F563" s="3" t="n">
        <v>446</v>
      </c>
      <c r="G563" s="3">
        <f>IFERROR(E563/F563,0)</f>
        <v/>
      </c>
      <c r="H563" s="3" t="n">
        <v>186</v>
      </c>
      <c r="I563" s="2" t="n">
        <v>40</v>
      </c>
      <c r="J563" s="3">
        <f>IFERROR(E563/H563,0)</f>
        <v/>
      </c>
      <c r="K563" s="10">
        <f>E563/'По разделам'!$B$21</f>
        <v/>
      </c>
      <c r="L563" s="4">
        <f>L562+K563</f>
        <v/>
      </c>
      <c r="M563" s="2" t="inlineStr">
        <is>
          <t>02541</t>
        </is>
      </c>
      <c r="N563" s="2" t="inlineStr">
        <is>
          <t>https://app.redstat.kz/niche/02541?event_date=2026-08-01</t>
        </is>
      </c>
      <c r="O563" s="2" t="inlineStr">
        <is>
          <t>https://kaspi.kz/shop/c/lifting%20equipment/</t>
        </is>
      </c>
    </row>
    <row r="564">
      <c r="A564" s="2" t="n">
        <v>563</v>
      </c>
      <c r="B564" s="2" t="inlineStr">
        <is>
          <t>Зеркала косметические</t>
        </is>
      </c>
      <c r="C564" s="2" t="inlineStr">
        <is>
          <t>Красота и здоровье</t>
        </is>
      </c>
      <c r="D564" s="2" t="inlineStr">
        <is>
          <t>Красота и здоровье → Аксессуары для красоты → Зеркала косметические</t>
        </is>
      </c>
      <c r="E564" s="3" t="n">
        <v>31268636</v>
      </c>
      <c r="F564" s="3" t="n">
        <v>18272</v>
      </c>
      <c r="G564" s="3">
        <f>IFERROR(E564/F564,0)</f>
        <v/>
      </c>
      <c r="H564" s="3" t="n">
        <v>441</v>
      </c>
      <c r="I564" s="2" t="n">
        <v>95</v>
      </c>
      <c r="J564" s="3">
        <f>IFERROR(E564/H564,0)</f>
        <v/>
      </c>
      <c r="K564" s="10">
        <f>E564/'По разделам'!$B$21</f>
        <v/>
      </c>
      <c r="L564" s="4">
        <f>L563+K564</f>
        <v/>
      </c>
      <c r="M564" s="2" t="inlineStr">
        <is>
          <t>05897</t>
        </is>
      </c>
      <c r="N564" s="2" t="inlineStr">
        <is>
          <t>https://app.redstat.kz/niche/05897?event_date=2026-08-01</t>
        </is>
      </c>
      <c r="O564" s="2" t="inlineStr">
        <is>
          <t>https://kaspi.kz/shop/c/makeup%20and%20skin%20care%20tools/</t>
        </is>
      </c>
    </row>
    <row r="565">
      <c r="A565" s="2" t="n">
        <v>564</v>
      </c>
      <c r="B565" s="2" t="inlineStr">
        <is>
          <t>Скрабы и пилинги для тела</t>
        </is>
      </c>
      <c r="C565" s="2" t="inlineStr">
        <is>
          <t>Красота и здоровье</t>
        </is>
      </c>
      <c r="D565" s="2" t="inlineStr">
        <is>
          <t>Красота и здоровье → Уход за телом → Скрабы и пилинги для тела</t>
        </is>
      </c>
      <c r="E565" s="3" t="n">
        <v>31209106</v>
      </c>
      <c r="F565" s="3" t="n">
        <v>12448</v>
      </c>
      <c r="G565" s="3">
        <f>IFERROR(E565/F565,0)</f>
        <v/>
      </c>
      <c r="H565" s="3" t="n">
        <v>417</v>
      </c>
      <c r="I565" s="2" t="n">
        <v>141</v>
      </c>
      <c r="J565" s="3">
        <f>IFERROR(E565/H565,0)</f>
        <v/>
      </c>
      <c r="K565" s="10">
        <f>E565/'По разделам'!$B$21</f>
        <v/>
      </c>
      <c r="L565" s="4">
        <f>L564+K565</f>
        <v/>
      </c>
      <c r="M565" s="2" t="inlineStr">
        <is>
          <t>05015</t>
        </is>
      </c>
      <c r="N565" s="2" t="inlineStr">
        <is>
          <t>https://app.redstat.kz/niche/05015?event_date=2026-08-01</t>
        </is>
      </c>
      <c r="O565" s="2" t="inlineStr">
        <is>
          <t>https://kaspi.kz/shop/c/body%20scrubs/</t>
        </is>
      </c>
    </row>
    <row r="566">
      <c r="A566" s="2" t="n">
        <v>565</v>
      </c>
      <c r="B566" s="2" t="inlineStr">
        <is>
          <t>Каталки, качалки, прыгуны</t>
        </is>
      </c>
      <c r="C566" s="2" t="inlineStr">
        <is>
          <t>Детские товары</t>
        </is>
      </c>
      <c r="D566" s="2" t="inlineStr">
        <is>
          <t>Детские товары → Детский транспорт → Каталки, качалки, прыгуны</t>
        </is>
      </c>
      <c r="E566" s="3" t="n">
        <v>31193851</v>
      </c>
      <c r="F566" s="3" t="n">
        <v>2585</v>
      </c>
      <c r="G566" s="3">
        <f>IFERROR(E566/F566,0)</f>
        <v/>
      </c>
      <c r="H566" s="3" t="n">
        <v>337</v>
      </c>
      <c r="I566" s="2" t="n">
        <v>79</v>
      </c>
      <c r="J566" s="3">
        <f>IFERROR(E566/H566,0)</f>
        <v/>
      </c>
      <c r="K566" s="10">
        <f>E566/'По разделам'!$B$21</f>
        <v/>
      </c>
      <c r="L566" s="4">
        <f>L565+K566</f>
        <v/>
      </c>
      <c r="M566" s="2" t="inlineStr">
        <is>
          <t>04483</t>
        </is>
      </c>
      <c r="N566" s="2" t="inlineStr">
        <is>
          <t>https://app.redstat.kz/niche/04483?event_date=2026-08-01</t>
        </is>
      </c>
      <c r="O566" s="2" t="inlineStr">
        <is>
          <t>https://kaspi.kz/shop/c/ride-on%20toys/</t>
        </is>
      </c>
    </row>
    <row r="567">
      <c r="A567" s="2" t="n">
        <v>566</v>
      </c>
      <c r="B567" s="2" t="inlineStr">
        <is>
          <t>Одежда и обувь для охоты</t>
        </is>
      </c>
      <c r="C567" s="2" t="inlineStr">
        <is>
          <t>Спорт, туризм</t>
        </is>
      </c>
      <c r="D567" s="2" t="inlineStr">
        <is>
          <t>Спорт, туризм → Товары для охоты и стрельбы → Одежда и обувь для охоты</t>
        </is>
      </c>
      <c r="E567" s="3" t="n">
        <v>31144276</v>
      </c>
      <c r="F567" s="3" t="n">
        <v>1137</v>
      </c>
      <c r="G567" s="3">
        <f>IFERROR(E567/F567,0)</f>
        <v/>
      </c>
      <c r="H567" s="3" t="n">
        <v>654</v>
      </c>
      <c r="I567" s="2" t="n">
        <v>82</v>
      </c>
      <c r="J567" s="3">
        <f>IFERROR(E567/H567,0)</f>
        <v/>
      </c>
      <c r="K567" s="10">
        <f>E567/'По разделам'!$B$21</f>
        <v/>
      </c>
      <c r="L567" s="4">
        <f>L566+K567</f>
        <v/>
      </c>
      <c r="M567" s="2" t="inlineStr">
        <is>
          <t>01446</t>
        </is>
      </c>
      <c r="N567" s="2" t="inlineStr">
        <is>
          <t>https://app.redstat.kz/niche/01446?event_date=2026-08-01</t>
        </is>
      </c>
      <c r="O567" s="2" t="inlineStr">
        <is>
          <t>https://kaspi.kz/shop/c/hunting%20clothing/</t>
        </is>
      </c>
    </row>
    <row r="568">
      <c r="A568" s="2" t="n">
        <v>567</v>
      </c>
      <c r="B568" s="2" t="inlineStr">
        <is>
          <t>Туристические горелки, обогреватели и аксессуары</t>
        </is>
      </c>
      <c r="C568" s="2" t="inlineStr">
        <is>
          <t>Спорт, туризм</t>
        </is>
      </c>
      <c r="D568" s="2" t="inlineStr">
        <is>
          <t>Спорт, туризм → Туризм и отдых на природе → Туристические горелки, обогреватели и аксессуары → Туристические горелки, обогреватели и аксессуары</t>
        </is>
      </c>
      <c r="E568" s="3" t="n">
        <v>31125946</v>
      </c>
      <c r="F568" s="3" t="n">
        <v>4690</v>
      </c>
      <c r="G568" s="3">
        <f>IFERROR(E568/F568,0)</f>
        <v/>
      </c>
      <c r="H568" s="3" t="n">
        <v>440</v>
      </c>
      <c r="I568" s="2" t="n">
        <v>111</v>
      </c>
      <c r="J568" s="3">
        <f>IFERROR(E568/H568,0)</f>
        <v/>
      </c>
      <c r="K568" s="10">
        <f>E568/'По разделам'!$B$21</f>
        <v/>
      </c>
      <c r="L568" s="4">
        <f>L567+K568</f>
        <v/>
      </c>
      <c r="M568" s="2" t="inlineStr">
        <is>
          <t>q117a886f3199bc3</t>
        </is>
      </c>
      <c r="N568" s="2" t="inlineStr">
        <is>
          <t>https://app.redstat.kz/niche/q117a886f3199bc3?event_date=2026-08-01</t>
        </is>
      </c>
      <c r="O568" s="2" t="inlineStr"/>
    </row>
    <row r="569">
      <c r="A569" s="2" t="n">
        <v>568</v>
      </c>
      <c r="B569" s="2" t="inlineStr">
        <is>
          <t>Консольные столы</t>
        </is>
      </c>
      <c r="C569" s="2" t="inlineStr">
        <is>
          <t>Мебель</t>
        </is>
      </c>
      <c r="D569" s="2" t="inlineStr">
        <is>
          <t>Мебель → Гостиная → Консольные столы</t>
        </is>
      </c>
      <c r="E569" s="3" t="n">
        <v>31053392</v>
      </c>
      <c r="F569" s="3" t="n">
        <v>586</v>
      </c>
      <c r="G569" s="3">
        <f>IFERROR(E569/F569,0)</f>
        <v/>
      </c>
      <c r="H569" s="3" t="n">
        <v>137</v>
      </c>
      <c r="I569" s="2" t="n">
        <v>23</v>
      </c>
      <c r="J569" s="3">
        <f>IFERROR(E569/H569,0)</f>
        <v/>
      </c>
      <c r="K569" s="10">
        <f>E569/'По разделам'!$B$21</f>
        <v/>
      </c>
      <c r="L569" s="4">
        <f>L568+K569</f>
        <v/>
      </c>
      <c r="M569" s="2" t="inlineStr">
        <is>
          <t>05347</t>
        </is>
      </c>
      <c r="N569" s="2" t="inlineStr">
        <is>
          <t>https://app.redstat.kz/niche/05347?event_date=2026-08-01</t>
        </is>
      </c>
      <c r="O569" s="2" t="inlineStr">
        <is>
          <t>https://kaspi.kz/shop/c/console%20table/</t>
        </is>
      </c>
    </row>
    <row r="570">
      <c r="A570" s="2" t="n">
        <v>569</v>
      </c>
      <c r="B570" s="2" t="inlineStr">
        <is>
          <t>Кроссовки и кеды для девочек</t>
        </is>
      </c>
      <c r="C570" s="2" t="inlineStr">
        <is>
          <t>Обувь</t>
        </is>
      </c>
      <c r="D570" s="2" t="inlineStr">
        <is>
          <t>Обувь → Обувь для девочек → Кроссовки и кеды для девочек</t>
        </is>
      </c>
      <c r="E570" s="3" t="n">
        <v>31025988</v>
      </c>
      <c r="F570" s="3" t="n">
        <v>2685</v>
      </c>
      <c r="G570" s="3">
        <f>IFERROR(E570/F570,0)</f>
        <v/>
      </c>
      <c r="H570" s="3" t="n">
        <v>1204</v>
      </c>
      <c r="I570" s="2" t="n">
        <v>115</v>
      </c>
      <c r="J570" s="3">
        <f>IFERROR(E570/H570,0)</f>
        <v/>
      </c>
      <c r="K570" s="10">
        <f>E570/'По разделам'!$B$21</f>
        <v/>
      </c>
      <c r="L570" s="4">
        <f>L569+K570</f>
        <v/>
      </c>
      <c r="M570" s="2" t="inlineStr">
        <is>
          <t>02408</t>
        </is>
      </c>
      <c r="N570" s="2" t="inlineStr">
        <is>
          <t>https://app.redstat.kz/niche/02408?event_date=2026-08-01</t>
        </is>
      </c>
      <c r="O570" s="2" t="inlineStr">
        <is>
          <t>https://kaspi.kz/shop/c/girl%20trainers/</t>
        </is>
      </c>
    </row>
    <row r="571">
      <c r="A571" s="2" t="n">
        <v>570</v>
      </c>
      <c r="B571" s="2" t="inlineStr">
        <is>
          <t>Миски и поилки для животных</t>
        </is>
      </c>
      <c r="C571" s="2" t="inlineStr">
        <is>
          <t>Товары для животных</t>
        </is>
      </c>
      <c r="D571" s="2" t="inlineStr">
        <is>
          <t>Товары для животных → Аксессуары для животных → Миски и поилки для животных</t>
        </is>
      </c>
      <c r="E571" s="3" t="n">
        <v>31015165</v>
      </c>
      <c r="F571" s="3" t="n">
        <v>6110</v>
      </c>
      <c r="G571" s="3">
        <f>IFERROR(E571/F571,0)</f>
        <v/>
      </c>
      <c r="H571" s="3" t="n">
        <v>740</v>
      </c>
      <c r="I571" s="2" t="n">
        <v>118</v>
      </c>
      <c r="J571" s="3">
        <f>IFERROR(E571/H571,0)</f>
        <v/>
      </c>
      <c r="K571" s="10">
        <f>E571/'По разделам'!$B$21</f>
        <v/>
      </c>
      <c r="L571" s="4">
        <f>L570+K571</f>
        <v/>
      </c>
      <c r="M571" s="2" t="inlineStr">
        <is>
          <t>04806</t>
        </is>
      </c>
      <c r="N571" s="2" t="inlineStr">
        <is>
          <t>https://app.redstat.kz/niche/04806?event_date=2026-08-01</t>
        </is>
      </c>
      <c r="O571" s="2" t="inlineStr">
        <is>
          <t>https://kaspi.kz/shop/c/cat%20bowls/</t>
        </is>
      </c>
    </row>
    <row r="572">
      <c r="A572" s="2" t="n">
        <v>571</v>
      </c>
      <c r="B572" s="2" t="inlineStr">
        <is>
          <t>Гладильные системы</t>
        </is>
      </c>
      <c r="C572" s="2" t="inlineStr">
        <is>
          <t>Бытовая техника</t>
        </is>
      </c>
      <c r="D572" s="2" t="inlineStr">
        <is>
          <t>Бытовая техника → Малая техника для дома → Гладильные системы</t>
        </is>
      </c>
      <c r="E572" s="3" t="n">
        <v>30767130</v>
      </c>
      <c r="F572" s="3" t="n">
        <v>105</v>
      </c>
      <c r="G572" s="3">
        <f>IFERROR(E572/F572,0)</f>
        <v/>
      </c>
      <c r="H572" s="3" t="n">
        <v>19</v>
      </c>
      <c r="I572" s="2" t="n">
        <v>13</v>
      </c>
      <c r="J572" s="3">
        <f>IFERROR(E572/H572,0)</f>
        <v/>
      </c>
      <c r="K572" s="10">
        <f>E572/'По разделам'!$B$21</f>
        <v/>
      </c>
      <c r="L572" s="4">
        <f>L571+K572</f>
        <v/>
      </c>
      <c r="M572" s="2" t="inlineStr">
        <is>
          <t>03281</t>
        </is>
      </c>
      <c r="N572" s="2" t="inlineStr">
        <is>
          <t>https://app.redstat.kz/niche/03281?event_date=2026-08-01</t>
        </is>
      </c>
      <c r="O572" s="2" t="inlineStr">
        <is>
          <t>https://kaspi.kz/shop/c/ironing%20systems/</t>
        </is>
      </c>
    </row>
    <row r="573">
      <c r="A573" s="2" t="n">
        <v>572</v>
      </c>
      <c r="B573" s="2" t="inlineStr">
        <is>
          <t>Кулеры и системы охлаждения</t>
        </is>
      </c>
      <c r="C573" s="2" t="inlineStr">
        <is>
          <t>Компьютеры</t>
        </is>
      </c>
      <c r="D573" s="2" t="inlineStr">
        <is>
          <t>Компьютеры → Комплектующие → Кулеры и системы охлаждения → Кулеры и системы охлаждения</t>
        </is>
      </c>
      <c r="E573" s="3" t="n">
        <v>30763805</v>
      </c>
      <c r="F573" s="3" t="n">
        <v>2080</v>
      </c>
      <c r="G573" s="3">
        <f>IFERROR(E573/F573,0)</f>
        <v/>
      </c>
      <c r="H573" s="3" t="n">
        <v>582</v>
      </c>
      <c r="I573" s="2" t="n">
        <v>67</v>
      </c>
      <c r="J573" s="3">
        <f>IFERROR(E573/H573,0)</f>
        <v/>
      </c>
      <c r="K573" s="10">
        <f>E573/'По разделам'!$B$21</f>
        <v/>
      </c>
      <c r="L573" s="4">
        <f>L572+K573</f>
        <v/>
      </c>
      <c r="M573" s="2" t="inlineStr">
        <is>
          <t>q9abf8ea14fce4a3</t>
        </is>
      </c>
      <c r="N573" s="2" t="inlineStr">
        <is>
          <t>https://app.redstat.kz/niche/q9abf8ea14fce4a3?event_date=2026-08-01</t>
        </is>
      </c>
      <c r="O573" s="2" t="inlineStr"/>
    </row>
    <row r="574">
      <c r="A574" s="2" t="n">
        <v>573</v>
      </c>
      <c r="B574" s="2" t="inlineStr">
        <is>
          <t>Комоды пластиковые</t>
        </is>
      </c>
      <c r="C574" s="2" t="inlineStr">
        <is>
          <t>Мебель</t>
        </is>
      </c>
      <c r="D574" s="2" t="inlineStr">
        <is>
          <t>Мебель → Системы хранения, полки, этажерки → Комоды пластиковые</t>
        </is>
      </c>
      <c r="E574" s="3" t="n">
        <v>30666914</v>
      </c>
      <c r="F574" s="3" t="n">
        <v>2309</v>
      </c>
      <c r="G574" s="3">
        <f>IFERROR(E574/F574,0)</f>
        <v/>
      </c>
      <c r="H574" s="3" t="n">
        <v>230</v>
      </c>
      <c r="I574" s="2" t="n">
        <v>27</v>
      </c>
      <c r="J574" s="3">
        <f>IFERROR(E574/H574,0)</f>
        <v/>
      </c>
      <c r="K574" s="10">
        <f>E574/'По разделам'!$B$21</f>
        <v/>
      </c>
      <c r="L574" s="4">
        <f>L573+K574</f>
        <v/>
      </c>
      <c r="M574" s="2" t="inlineStr">
        <is>
          <t>07244</t>
        </is>
      </c>
      <c r="N574" s="2" t="inlineStr">
        <is>
          <t>https://app.redstat.kz/niche/07244?event_date=2026-08-01</t>
        </is>
      </c>
      <c r="O574" s="2" t="inlineStr">
        <is>
          <t>https://kaspi.kz/shop/c/plastic%20chests%20of%20drawers/</t>
        </is>
      </c>
    </row>
    <row r="575">
      <c r="A575" s="2" t="n">
        <v>574</v>
      </c>
      <c r="B575" s="2" t="inlineStr">
        <is>
          <t>Одежда для похудения</t>
        </is>
      </c>
      <c r="C575" s="2" t="inlineStr">
        <is>
          <t>Спорт, туризм</t>
        </is>
      </c>
      <c r="D575" s="2" t="inlineStr">
        <is>
          <t>Спорт, туризм → Товары для фитнеса → Одежда для похудения</t>
        </is>
      </c>
      <c r="E575" s="3" t="n">
        <v>30556614</v>
      </c>
      <c r="F575" s="3" t="n">
        <v>5019</v>
      </c>
      <c r="G575" s="3">
        <f>IFERROR(E575/F575,0)</f>
        <v/>
      </c>
      <c r="H575" s="3" t="n">
        <v>492</v>
      </c>
      <c r="I575" s="2" t="n">
        <v>82</v>
      </c>
      <c r="J575" s="3">
        <f>IFERROR(E575/H575,0)</f>
        <v/>
      </c>
      <c r="K575" s="10">
        <f>E575/'По разделам'!$B$21</f>
        <v/>
      </c>
      <c r="L575" s="4">
        <f>L574+K575</f>
        <v/>
      </c>
      <c r="M575" s="2" t="inlineStr">
        <is>
          <t>05830</t>
        </is>
      </c>
      <c r="N575" s="2" t="inlineStr">
        <is>
          <t>https://app.redstat.kz/niche/05830?event_date=2026-08-01</t>
        </is>
      </c>
      <c r="O575" s="2" t="inlineStr">
        <is>
          <t>https://kaspi.kz/shop/c/clothes%20for%20slimming/</t>
        </is>
      </c>
    </row>
    <row r="576">
      <c r="A576" s="2" t="n">
        <v>575</v>
      </c>
      <c r="B576" s="2" t="inlineStr">
        <is>
          <t>Женские мюли и сабо</t>
        </is>
      </c>
      <c r="C576" s="2" t="inlineStr">
        <is>
          <t>Обувь</t>
        </is>
      </c>
      <c r="D576" s="2" t="inlineStr">
        <is>
          <t>Обувь → Женская обувь → Женские мюли и сабо</t>
        </is>
      </c>
      <c r="E576" s="3" t="n">
        <v>30528330</v>
      </c>
      <c r="F576" s="3" t="n">
        <v>2926</v>
      </c>
      <c r="G576" s="3">
        <f>IFERROR(E576/F576,0)</f>
        <v/>
      </c>
      <c r="H576" s="3" t="n">
        <v>1043</v>
      </c>
      <c r="I576" s="2" t="n">
        <v>158</v>
      </c>
      <c r="J576" s="3">
        <f>IFERROR(E576/H576,0)</f>
        <v/>
      </c>
      <c r="K576" s="10">
        <f>E576/'По разделам'!$B$21</f>
        <v/>
      </c>
      <c r="L576" s="4">
        <f>L575+K576</f>
        <v/>
      </c>
      <c r="M576" s="2" t="inlineStr">
        <is>
          <t>03734</t>
        </is>
      </c>
      <c r="N576" s="2" t="inlineStr">
        <is>
          <t>https://app.redstat.kz/niche/03734?event_date=2026-08-01</t>
        </is>
      </c>
      <c r="O576" s="2" t="inlineStr">
        <is>
          <t>https://kaspi.kz/shop/c/women%20mules/</t>
        </is>
      </c>
    </row>
    <row r="577">
      <c r="A577" s="2" t="n">
        <v>576</v>
      </c>
      <c r="B577" s="2" t="inlineStr">
        <is>
          <t>Препараты для укрепления связок и суставов</t>
        </is>
      </c>
      <c r="C577" s="2" t="inlineStr">
        <is>
          <t>Спорт, туризм</t>
        </is>
      </c>
      <c r="D577" s="2" t="inlineStr">
        <is>
          <t>Спорт, туризм → Спортивное питание → Препараты для укрепления связок и суставов</t>
        </is>
      </c>
      <c r="E577" s="3" t="n">
        <v>30506366</v>
      </c>
      <c r="F577" s="3" t="n">
        <v>2594</v>
      </c>
      <c r="G577" s="3">
        <f>IFERROR(E577/F577,0)</f>
        <v/>
      </c>
      <c r="H577" s="3" t="n">
        <v>143</v>
      </c>
      <c r="I577" s="2" t="n">
        <v>50</v>
      </c>
      <c r="J577" s="3">
        <f>IFERROR(E577/H577,0)</f>
        <v/>
      </c>
      <c r="K577" s="10">
        <f>E577/'По разделам'!$B$21</f>
        <v/>
      </c>
      <c r="L577" s="4">
        <f>L576+K577</f>
        <v/>
      </c>
      <c r="M577" s="2" t="inlineStr">
        <is>
          <t>01199</t>
        </is>
      </c>
      <c r="N577" s="2" t="inlineStr">
        <is>
          <t>https://app.redstat.kz/niche/01199?event_date=2026-08-01</t>
        </is>
      </c>
      <c r="O577" s="2" t="inlineStr">
        <is>
          <t>https://kaspi.kz/shop/c/joints%20supplements/</t>
        </is>
      </c>
    </row>
    <row r="578">
      <c r="A578" s="2" t="n">
        <v>577</v>
      </c>
      <c r="B578" s="2" t="inlineStr">
        <is>
          <t>Игрушечные роботы и трансформеры</t>
        </is>
      </c>
      <c r="C578" s="2" t="inlineStr">
        <is>
          <t>Детские товары</t>
        </is>
      </c>
      <c r="D578" s="2" t="inlineStr">
        <is>
          <t>Детские товары → Игрушки → Игрушечные роботы и трансформеры</t>
        </is>
      </c>
      <c r="E578" s="3" t="n">
        <v>30452361</v>
      </c>
      <c r="F578" s="3" t="n">
        <v>1665</v>
      </c>
      <c r="G578" s="3">
        <f>IFERROR(E578/F578,0)</f>
        <v/>
      </c>
      <c r="H578" s="3" t="n">
        <v>306</v>
      </c>
      <c r="I578" s="2" t="n">
        <v>56</v>
      </c>
      <c r="J578" s="3">
        <f>IFERROR(E578/H578,0)</f>
        <v/>
      </c>
      <c r="K578" s="10">
        <f>E578/'По разделам'!$B$21</f>
        <v/>
      </c>
      <c r="L578" s="4">
        <f>L577+K578</f>
        <v/>
      </c>
      <c r="M578" s="2" t="inlineStr">
        <is>
          <t>01083</t>
        </is>
      </c>
      <c r="N578" s="2" t="inlineStr">
        <is>
          <t>https://app.redstat.kz/niche/01083?event_date=2026-08-01</t>
        </is>
      </c>
      <c r="O578" s="2" t="inlineStr">
        <is>
          <t>https://kaspi.kz/shop/c/toy%20robots%20and%20transformers/</t>
        </is>
      </c>
    </row>
    <row r="579">
      <c r="A579" s="2" t="n">
        <v>578</v>
      </c>
      <c r="B579" s="2" t="inlineStr">
        <is>
          <t>Фаркопы</t>
        </is>
      </c>
      <c r="C579" s="2" t="inlineStr">
        <is>
          <t>Автотовары</t>
        </is>
      </c>
      <c r="D579" s="2" t="inlineStr">
        <is>
          <t>Автотовары → Автомобильное оборудование → Фаркопы</t>
        </is>
      </c>
      <c r="E579" s="3" t="n">
        <v>30272520</v>
      </c>
      <c r="F579" s="3" t="n">
        <v>557</v>
      </c>
      <c r="G579" s="3">
        <f>IFERROR(E579/F579,0)</f>
        <v/>
      </c>
      <c r="H579" s="3" t="n">
        <v>256</v>
      </c>
      <c r="I579" s="2" t="n">
        <v>22</v>
      </c>
      <c r="J579" s="3">
        <f>IFERROR(E579/H579,0)</f>
        <v/>
      </c>
      <c r="K579" s="10">
        <f>E579/'По разделам'!$B$21</f>
        <v/>
      </c>
      <c r="L579" s="4">
        <f>L578+K579</f>
        <v/>
      </c>
      <c r="M579" s="2" t="inlineStr">
        <is>
          <t>01238</t>
        </is>
      </c>
      <c r="N579" s="2" t="inlineStr">
        <is>
          <t>https://app.redstat.kz/niche/01238?event_date=2026-08-01</t>
        </is>
      </c>
      <c r="O579" s="2" t="inlineStr">
        <is>
          <t>https://kaspi.kz/shop/c/hitch%20mounts/</t>
        </is>
      </c>
    </row>
    <row r="580">
      <c r="A580" s="2" t="n">
        <v>579</v>
      </c>
      <c r="B580" s="2" t="inlineStr">
        <is>
          <t>Принадлежности для мойки автомобилей</t>
        </is>
      </c>
      <c r="C580" s="2" t="inlineStr">
        <is>
          <t>Автотовары</t>
        </is>
      </c>
      <c r="D580" s="2" t="inlineStr">
        <is>
          <t>Автотовары → Автохимия и автокосметика → Принадлежности для мойки автомобилей</t>
        </is>
      </c>
      <c r="E580" s="3" t="n">
        <v>30200375</v>
      </c>
      <c r="F580" s="3" t="n">
        <v>11955</v>
      </c>
      <c r="G580" s="3">
        <f>IFERROR(E580/F580,0)</f>
        <v/>
      </c>
      <c r="H580" s="3" t="n">
        <v>485</v>
      </c>
      <c r="I580" s="2" t="n">
        <v>119</v>
      </c>
      <c r="J580" s="3">
        <f>IFERROR(E580/H580,0)</f>
        <v/>
      </c>
      <c r="K580" s="10">
        <f>E580/'По разделам'!$B$21</f>
        <v/>
      </c>
      <c r="L580" s="4">
        <f>L579+K580</f>
        <v/>
      </c>
      <c r="M580" s="2" t="inlineStr">
        <is>
          <t>03673</t>
        </is>
      </c>
      <c r="N580" s="2" t="inlineStr">
        <is>
          <t>https://app.redstat.kz/niche/03673?event_date=2026-08-01</t>
        </is>
      </c>
      <c r="O580" s="2" t="inlineStr">
        <is>
          <t>https://kaspi.kz/shop/c/car%20wash%20accessories/</t>
        </is>
      </c>
    </row>
    <row r="581">
      <c r="A581" s="2" t="n">
        <v>580</v>
      </c>
      <c r="B581" s="2" t="inlineStr">
        <is>
          <t>Очки для плавания</t>
        </is>
      </c>
      <c r="C581" s="2" t="inlineStr">
        <is>
          <t>Спорт, туризм</t>
        </is>
      </c>
      <c r="D581" s="2" t="inlineStr">
        <is>
          <t>Спорт, туризм → Водный спорт → Очки для плавания</t>
        </is>
      </c>
      <c r="E581" s="3" t="n">
        <v>30152944</v>
      </c>
      <c r="F581" s="3" t="n">
        <v>6002</v>
      </c>
      <c r="G581" s="3">
        <f>IFERROR(E581/F581,0)</f>
        <v/>
      </c>
      <c r="H581" s="3" t="n">
        <v>847</v>
      </c>
      <c r="I581" s="2" t="n">
        <v>73</v>
      </c>
      <c r="J581" s="3">
        <f>IFERROR(E581/H581,0)</f>
        <v/>
      </c>
      <c r="K581" s="10">
        <f>E581/'По разделам'!$B$21</f>
        <v/>
      </c>
      <c r="L581" s="4">
        <f>L580+K581</f>
        <v/>
      </c>
      <c r="M581" s="2" t="inlineStr">
        <is>
          <t>01273</t>
        </is>
      </c>
      <c r="N581" s="2" t="inlineStr">
        <is>
          <t>https://app.redstat.kz/niche/01273?event_date=2026-08-01</t>
        </is>
      </c>
      <c r="O581" s="2" t="inlineStr">
        <is>
          <t>https://kaspi.kz/shop/c/watersport%20goggles/</t>
        </is>
      </c>
    </row>
    <row r="582">
      <c r="A582" s="2" t="n">
        <v>581</v>
      </c>
      <c r="B582" s="2" t="inlineStr">
        <is>
          <t>Гидрообувь</t>
        </is>
      </c>
      <c r="C582" s="2" t="inlineStr">
        <is>
          <t>Спорт, туризм</t>
        </is>
      </c>
      <c r="D582" s="2" t="inlineStr">
        <is>
          <t>Спорт, туризм → Водный спорт → Гидрообувь</t>
        </is>
      </c>
      <c r="E582" s="3" t="n">
        <v>29328072</v>
      </c>
      <c r="F582" s="3" t="n">
        <v>8029</v>
      </c>
      <c r="G582" s="3">
        <f>IFERROR(E582/F582,0)</f>
        <v/>
      </c>
      <c r="H582" s="3" t="n">
        <v>1722</v>
      </c>
      <c r="I582" s="2" t="n">
        <v>73</v>
      </c>
      <c r="J582" s="3">
        <f>IFERROR(E582/H582,0)</f>
        <v/>
      </c>
      <c r="K582" s="10">
        <f>E582/'По разделам'!$B$21</f>
        <v/>
      </c>
      <c r="L582" s="4">
        <f>L581+K582</f>
        <v/>
      </c>
      <c r="M582" s="2" t="inlineStr">
        <is>
          <t>01318</t>
        </is>
      </c>
      <c r="N582" s="2" t="inlineStr">
        <is>
          <t>https://app.redstat.kz/niche/01318?event_date=2026-08-01</t>
        </is>
      </c>
      <c r="O582" s="2" t="inlineStr">
        <is>
          <t>https://kaspi.kz/shop/c/water%20shoes/</t>
        </is>
      </c>
    </row>
    <row r="583">
      <c r="A583" s="2" t="n">
        <v>582</v>
      </c>
      <c r="B583" s="2" t="inlineStr">
        <is>
          <t>Коммутаторы и маршрутизаторы</t>
        </is>
      </c>
      <c r="C583" s="2" t="inlineStr">
        <is>
          <t>Компьютеры</t>
        </is>
      </c>
      <c r="D583" s="2" t="inlineStr">
        <is>
          <t>Компьютеры → Сетевое оборудование → Коммутаторы и маршрутизаторы</t>
        </is>
      </c>
      <c r="E583" s="3" t="n">
        <v>29130878</v>
      </c>
      <c r="F583" s="3" t="n">
        <v>1282</v>
      </c>
      <c r="G583" s="3">
        <f>IFERROR(E583/F583,0)</f>
        <v/>
      </c>
      <c r="H583" s="3" t="n">
        <v>278</v>
      </c>
      <c r="I583" s="2" t="n">
        <v>50</v>
      </c>
      <c r="J583" s="3">
        <f>IFERROR(E583/H583,0)</f>
        <v/>
      </c>
      <c r="K583" s="10">
        <f>E583/'По разделам'!$B$21</f>
        <v/>
      </c>
      <c r="L583" s="4">
        <f>L582+K583</f>
        <v/>
      </c>
      <c r="M583" s="2" t="inlineStr">
        <is>
          <t>03041</t>
        </is>
      </c>
      <c r="N583" s="2" t="inlineStr">
        <is>
          <t>https://app.redstat.kz/niche/03041?event_date=2026-08-01</t>
        </is>
      </c>
      <c r="O583" s="2" t="inlineStr">
        <is>
          <t>https://kaspi.kz/shop/c/routers%20and%20switches/</t>
        </is>
      </c>
    </row>
    <row r="584">
      <c r="A584" s="2" t="n">
        <v>583</v>
      </c>
      <c r="B584" s="2" t="inlineStr">
        <is>
          <t>Ватные палочки и диски</t>
        </is>
      </c>
      <c r="C584" s="2" t="inlineStr">
        <is>
          <t>Красота и здоровье</t>
        </is>
      </c>
      <c r="D584" s="2" t="inlineStr">
        <is>
          <t>Красота и здоровье → Уход за лицом → Ватные палочки и диски</t>
        </is>
      </c>
      <c r="E584" s="3" t="n">
        <v>28868107</v>
      </c>
      <c r="F584" s="3" t="n">
        <v>42795</v>
      </c>
      <c r="G584" s="3">
        <f>IFERROR(E584/F584,0)</f>
        <v/>
      </c>
      <c r="H584" s="3" t="n">
        <v>485</v>
      </c>
      <c r="I584" s="2" t="n">
        <v>111</v>
      </c>
      <c r="J584" s="3">
        <f>IFERROR(E584/H584,0)</f>
        <v/>
      </c>
      <c r="K584" s="10">
        <f>E584/'По разделам'!$B$21</f>
        <v/>
      </c>
      <c r="L584" s="4">
        <f>L583+K584</f>
        <v/>
      </c>
      <c r="M584" s="2" t="inlineStr">
        <is>
          <t>03156</t>
        </is>
      </c>
      <c r="N584" s="2" t="inlineStr">
        <is>
          <t>https://app.redstat.kz/niche/03156?event_date=2026-08-01</t>
        </is>
      </c>
      <c r="O584" s="2" t="inlineStr">
        <is>
          <t>https://kaspi.kz/shop/c/cotton%20pads%20and%20stems/</t>
        </is>
      </c>
    </row>
    <row r="585">
      <c r="A585" s="2" t="n">
        <v>584</v>
      </c>
      <c r="B585" s="2" t="inlineStr">
        <is>
          <t>Карандаши</t>
        </is>
      </c>
      <c r="C585" s="2" t="inlineStr">
        <is>
          <t>Канцелярские товары</t>
        </is>
      </c>
      <c r="D585" s="2" t="inlineStr">
        <is>
          <t>Канцелярские товары → Письменные принадлежности → Карандаши</t>
        </is>
      </c>
      <c r="E585" s="3" t="n">
        <v>28659698</v>
      </c>
      <c r="F585" s="3" t="n">
        <v>63694</v>
      </c>
      <c r="G585" s="3">
        <f>IFERROR(E585/F585,0)</f>
        <v/>
      </c>
      <c r="H585" s="3" t="n">
        <v>797</v>
      </c>
      <c r="I585" s="2" t="n">
        <v>98</v>
      </c>
      <c r="J585" s="3">
        <f>IFERROR(E585/H585,0)</f>
        <v/>
      </c>
      <c r="K585" s="10">
        <f>E585/'По разделам'!$B$21</f>
        <v/>
      </c>
      <c r="L585" s="4">
        <f>L584+K585</f>
        <v/>
      </c>
      <c r="M585" s="2" t="inlineStr">
        <is>
          <t>07323</t>
        </is>
      </c>
      <c r="N585" s="2" t="inlineStr">
        <is>
          <t>https://app.redstat.kz/niche/07323?event_date=2026-08-01</t>
        </is>
      </c>
      <c r="O585" s="2" t="inlineStr">
        <is>
          <t>https://kaspi.kz/shop/c/pencils/</t>
        </is>
      </c>
    </row>
    <row r="586">
      <c r="A586" s="2" t="n">
        <v>585</v>
      </c>
      <c r="B586" s="2" t="inlineStr">
        <is>
          <t>Счетчики банкнот</t>
        </is>
      </c>
      <c r="C586" s="2" t="inlineStr">
        <is>
          <t>Компьютеры</t>
        </is>
      </c>
      <c r="D586" s="2" t="inlineStr">
        <is>
          <t>Компьютеры → Электронное оборудование для торговли → Счетчики банкнот</t>
        </is>
      </c>
      <c r="E586" s="3" t="n">
        <v>28590106</v>
      </c>
      <c r="F586" s="3" t="n">
        <v>2238</v>
      </c>
      <c r="G586" s="3">
        <f>IFERROR(E586/F586,0)</f>
        <v/>
      </c>
      <c r="H586" s="3" t="n">
        <v>53</v>
      </c>
      <c r="I586" s="2" t="n">
        <v>16</v>
      </c>
      <c r="J586" s="3">
        <f>IFERROR(E586/H586,0)</f>
        <v/>
      </c>
      <c r="K586" s="10">
        <f>E586/'По разделам'!$B$21</f>
        <v/>
      </c>
      <c r="L586" s="4">
        <f>L585+K586</f>
        <v/>
      </c>
      <c r="M586" s="2" t="inlineStr">
        <is>
          <t>04632</t>
        </is>
      </c>
      <c r="N586" s="2" t="inlineStr">
        <is>
          <t>https://app.redstat.kz/niche/04632?event_date=2026-08-01</t>
        </is>
      </c>
      <c r="O586" s="2" t="inlineStr">
        <is>
          <t>https://kaspi.kz/shop/c/banknote%20counters/</t>
        </is>
      </c>
    </row>
    <row r="587">
      <c r="A587" s="2" t="n">
        <v>586</v>
      </c>
      <c r="B587" s="2" t="inlineStr">
        <is>
          <t>Товары для вязания</t>
        </is>
      </c>
      <c r="C587" s="2" t="inlineStr">
        <is>
          <t>Досуг, книги</t>
        </is>
      </c>
      <c r="D587" s="2" t="inlineStr">
        <is>
          <t>Досуг, книги → Хобби и творчество → Товары для вязания → Товары для вязания</t>
        </is>
      </c>
      <c r="E587" s="3" t="n">
        <v>28524357</v>
      </c>
      <c r="F587" s="3" t="n">
        <v>8133</v>
      </c>
      <c r="G587" s="3">
        <f>IFERROR(E587/F587,0)</f>
        <v/>
      </c>
      <c r="H587" s="3" t="n">
        <v>2913</v>
      </c>
      <c r="I587" s="2" t="n">
        <v>150</v>
      </c>
      <c r="J587" s="3">
        <f>IFERROR(E587/H587,0)</f>
        <v/>
      </c>
      <c r="K587" s="10">
        <f>E587/'По разделам'!$B$21</f>
        <v/>
      </c>
      <c r="L587" s="4">
        <f>L586+K587</f>
        <v/>
      </c>
      <c r="M587" s="2" t="inlineStr">
        <is>
          <t>q5a6b337decf2a65</t>
        </is>
      </c>
      <c r="N587" s="2" t="inlineStr">
        <is>
          <t>https://app.redstat.kz/niche/q5a6b337decf2a65?event_date=2026-08-01</t>
        </is>
      </c>
      <c r="O587" s="2" t="inlineStr"/>
    </row>
    <row r="588">
      <c r="A588" s="2" t="n">
        <v>587</v>
      </c>
      <c r="B588" s="2" t="inlineStr">
        <is>
          <t>Парики, шиньоны, канекалон</t>
        </is>
      </c>
      <c r="C588" s="2" t="inlineStr">
        <is>
          <t>Красота и здоровье</t>
        </is>
      </c>
      <c r="D588" s="2" t="inlineStr">
        <is>
          <t>Красота и здоровье → Инструменты для укладки, ухода и наращивания волос → Парики, шиньоны, канекалон</t>
        </is>
      </c>
      <c r="E588" s="3" t="n">
        <v>28477179</v>
      </c>
      <c r="F588" s="3" t="n">
        <v>4329</v>
      </c>
      <c r="G588" s="3">
        <f>IFERROR(E588/F588,0)</f>
        <v/>
      </c>
      <c r="H588" s="3" t="n">
        <v>995</v>
      </c>
      <c r="I588" s="2" t="n">
        <v>61</v>
      </c>
      <c r="J588" s="3">
        <f>IFERROR(E588/H588,0)</f>
        <v/>
      </c>
      <c r="K588" s="10">
        <f>E588/'По разделам'!$B$21</f>
        <v/>
      </c>
      <c r="L588" s="4">
        <f>L587+K588</f>
        <v/>
      </c>
      <c r="M588" s="2" t="inlineStr">
        <is>
          <t>05949</t>
        </is>
      </c>
      <c r="N588" s="2" t="inlineStr">
        <is>
          <t>https://app.redstat.kz/niche/05949?event_date=2026-08-01</t>
        </is>
      </c>
      <c r="O588" s="2" t="inlineStr">
        <is>
          <t>https://kaspi.kz/shop/c/wigs%20and%20hairpieces/</t>
        </is>
      </c>
    </row>
    <row r="589">
      <c r="A589" s="2" t="n">
        <v>588</v>
      </c>
      <c r="B589" s="2" t="inlineStr">
        <is>
          <t>Хозяйственные сумки</t>
        </is>
      </c>
      <c r="C589" s="2" t="inlineStr">
        <is>
          <t>Товары для дома и дачи</t>
        </is>
      </c>
      <c r="D589" s="2" t="inlineStr">
        <is>
          <t>Товары для дома и дачи → Хозяйственные товары → Хозяйственные сумки</t>
        </is>
      </c>
      <c r="E589" s="3" t="n">
        <v>28455976</v>
      </c>
      <c r="F589" s="3" t="n">
        <v>7453</v>
      </c>
      <c r="G589" s="3">
        <f>IFERROR(E589/F589,0)</f>
        <v/>
      </c>
      <c r="H589" s="3" t="n">
        <v>238</v>
      </c>
      <c r="I589" s="2" t="n">
        <v>45</v>
      </c>
      <c r="J589" s="3">
        <f>IFERROR(E589/H589,0)</f>
        <v/>
      </c>
      <c r="K589" s="10">
        <f>E589/'По разделам'!$B$21</f>
        <v/>
      </c>
      <c r="L589" s="4">
        <f>L588+K589</f>
        <v/>
      </c>
      <c r="M589" s="2" t="inlineStr">
        <is>
          <t>04836</t>
        </is>
      </c>
      <c r="N589" s="2" t="inlineStr">
        <is>
          <t>https://app.redstat.kz/niche/04836?event_date=2026-08-01</t>
        </is>
      </c>
      <c r="O589" s="2" t="inlineStr">
        <is>
          <t>https://kaspi.kz/shop/c/household%20bags/</t>
        </is>
      </c>
    </row>
    <row r="590">
      <c r="A590" s="2" t="n">
        <v>589</v>
      </c>
      <c r="B590" s="2" t="inlineStr">
        <is>
          <t>Инвентарь для активного отдыха</t>
        </is>
      </c>
      <c r="C590" s="2" t="inlineStr">
        <is>
          <t>Спорт, туризм</t>
        </is>
      </c>
      <c r="D590" s="2" t="inlineStr">
        <is>
          <t>Спорт, туризм → Активный вид отдыха → Инвентарь для активного отдыха → Инвентарь для активного отдыха</t>
        </is>
      </c>
      <c r="E590" s="3" t="n">
        <v>28404523</v>
      </c>
      <c r="F590" s="3" t="n">
        <v>925</v>
      </c>
      <c r="G590" s="3">
        <f>IFERROR(E590/F590,0)</f>
        <v/>
      </c>
      <c r="H590" s="3" t="n">
        <v>131</v>
      </c>
      <c r="I590" s="2" t="n">
        <v>39</v>
      </c>
      <c r="J590" s="3">
        <f>IFERROR(E590/H590,0)</f>
        <v/>
      </c>
      <c r="K590" s="10">
        <f>E590/'По разделам'!$B$21</f>
        <v/>
      </c>
      <c r="L590" s="4">
        <f>L589+K590</f>
        <v/>
      </c>
      <c r="M590" s="2" t="inlineStr">
        <is>
          <t>qa591cc49e8abe21</t>
        </is>
      </c>
      <c r="N590" s="2" t="inlineStr">
        <is>
          <t>https://app.redstat.kz/niche/qa591cc49e8abe21?event_date=2026-08-01</t>
        </is>
      </c>
      <c r="O590" s="2" t="inlineStr"/>
    </row>
    <row r="591">
      <c r="A591" s="2" t="n">
        <v>590</v>
      </c>
      <c r="B591" s="2" t="inlineStr">
        <is>
          <t>Барные принадлежности</t>
        </is>
      </c>
      <c r="C591" s="2" t="inlineStr">
        <is>
          <t>Товары для дома и дачи</t>
        </is>
      </c>
      <c r="D591" s="2" t="inlineStr">
        <is>
          <t>Товары для дома и дачи → Посуда и принадлежности → Барные принадлежности → Барные принадлежности</t>
        </is>
      </c>
      <c r="E591" s="3" t="n">
        <v>28281766</v>
      </c>
      <c r="F591" s="3" t="n">
        <v>5888</v>
      </c>
      <c r="G591" s="3">
        <f>IFERROR(E591/F591,0)</f>
        <v/>
      </c>
      <c r="H591" s="3" t="n">
        <v>791</v>
      </c>
      <c r="I591" s="2" t="n">
        <v>181</v>
      </c>
      <c r="J591" s="3">
        <f>IFERROR(E591/H591,0)</f>
        <v/>
      </c>
      <c r="K591" s="10">
        <f>E591/'По разделам'!$B$21</f>
        <v/>
      </c>
      <c r="L591" s="4">
        <f>L590+K591</f>
        <v/>
      </c>
      <c r="M591" s="2" t="inlineStr">
        <is>
          <t>q60fdb2ceaa56a01</t>
        </is>
      </c>
      <c r="N591" s="2" t="inlineStr">
        <is>
          <t>https://app.redstat.kz/niche/q60fdb2ceaa56a01?event_date=2026-08-01</t>
        </is>
      </c>
      <c r="O591" s="2" t="inlineStr"/>
    </row>
    <row r="592">
      <c r="A592" s="2" t="n">
        <v>591</v>
      </c>
      <c r="B592" s="2" t="inlineStr">
        <is>
          <t>Баки для водоснабжения</t>
        </is>
      </c>
      <c r="C592" s="2" t="inlineStr">
        <is>
          <t>Строительство, ремонт</t>
        </is>
      </c>
      <c r="D592" s="2" t="inlineStr">
        <is>
          <t>Строительство, ремонт → Водоснабжение → Баки для водоснабжения</t>
        </is>
      </c>
      <c r="E592" s="3" t="n">
        <v>28176841</v>
      </c>
      <c r="F592" s="3" t="n">
        <v>365</v>
      </c>
      <c r="G592" s="3">
        <f>IFERROR(E592/F592,0)</f>
        <v/>
      </c>
      <c r="H592" s="3" t="n">
        <v>86</v>
      </c>
      <c r="I592" s="2" t="n">
        <v>10</v>
      </c>
      <c r="J592" s="3">
        <f>IFERROR(E592/H592,0)</f>
        <v/>
      </c>
      <c r="K592" s="10">
        <f>E592/'По разделам'!$B$21</f>
        <v/>
      </c>
      <c r="L592" s="4">
        <f>L591+K592</f>
        <v/>
      </c>
      <c r="M592" s="2" t="inlineStr">
        <is>
          <t>04112</t>
        </is>
      </c>
      <c r="N592" s="2" t="inlineStr">
        <is>
          <t>https://app.redstat.kz/niche/04112?event_date=2026-08-01</t>
        </is>
      </c>
      <c r="O592" s="2" t="inlineStr">
        <is>
          <t>https://kaspi.kz/shop/c/tanks%20for%20water%20supply/</t>
        </is>
      </c>
    </row>
    <row r="593">
      <c r="A593" s="2" t="n">
        <v>592</v>
      </c>
      <c r="B593" s="2" t="inlineStr">
        <is>
          <t>Укрывной материал для огорода</t>
        </is>
      </c>
      <c r="C593" s="2" t="inlineStr">
        <is>
          <t>Товары для дома и дачи</t>
        </is>
      </c>
      <c r="D593" s="2" t="inlineStr">
        <is>
          <t>Товары для дома и дачи → Дача, сад и огород → Укрывной материал для огорода</t>
        </is>
      </c>
      <c r="E593" s="3" t="n">
        <v>28045837</v>
      </c>
      <c r="F593" s="3" t="n">
        <v>3856</v>
      </c>
      <c r="G593" s="3">
        <f>IFERROR(E593/F593,0)</f>
        <v/>
      </c>
      <c r="H593" s="3" t="n">
        <v>384</v>
      </c>
      <c r="I593" s="2" t="n">
        <v>51</v>
      </c>
      <c r="J593" s="3">
        <f>IFERROR(E593/H593,0)</f>
        <v/>
      </c>
      <c r="K593" s="10">
        <f>E593/'По разделам'!$B$21</f>
        <v/>
      </c>
      <c r="L593" s="4">
        <f>L592+K593</f>
        <v/>
      </c>
      <c r="M593" s="2" t="inlineStr">
        <is>
          <t>04034</t>
        </is>
      </c>
      <c r="N593" s="2" t="inlineStr">
        <is>
          <t>https://app.redstat.kz/niche/04034?event_date=2026-08-01</t>
        </is>
      </c>
      <c r="O593" s="2" t="inlineStr">
        <is>
          <t>https://kaspi.kz/shop/c/covering%20material%20for%20garden/</t>
        </is>
      </c>
    </row>
    <row r="594">
      <c r="A594" s="2" t="n">
        <v>593</v>
      </c>
      <c r="B594" s="2" t="inlineStr">
        <is>
          <t>Выхлопная система</t>
        </is>
      </c>
      <c r="C594" s="2" t="inlineStr">
        <is>
          <t>Автотовары</t>
        </is>
      </c>
      <c r="D594" s="2" t="inlineStr">
        <is>
          <t>Автотовары → Автозапчасти → Выхлопная система</t>
        </is>
      </c>
      <c r="E594" s="3" t="n">
        <v>27824423</v>
      </c>
      <c r="F594" s="3" t="n">
        <v>934</v>
      </c>
      <c r="G594" s="3">
        <f>IFERROR(E594/F594,0)</f>
        <v/>
      </c>
      <c r="H594" s="3" t="n">
        <v>431</v>
      </c>
      <c r="I594" s="2" t="n">
        <v>65</v>
      </c>
      <c r="J594" s="3">
        <f>IFERROR(E594/H594,0)</f>
        <v/>
      </c>
      <c r="K594" s="10">
        <f>E594/'По разделам'!$B$21</f>
        <v/>
      </c>
      <c r="L594" s="4">
        <f>L593+K594</f>
        <v/>
      </c>
      <c r="M594" s="2" t="inlineStr">
        <is>
          <t>03293</t>
        </is>
      </c>
      <c r="N594" s="2" t="inlineStr">
        <is>
          <t>https://app.redstat.kz/niche/03293?event_date=2026-08-01</t>
        </is>
      </c>
      <c r="O594" s="2" t="inlineStr">
        <is>
          <t>https://kaspi.kz/shop/c/car%20exhaust%20system/</t>
        </is>
      </c>
    </row>
    <row r="595">
      <c r="A595" s="2" t="n">
        <v>594</v>
      </c>
      <c r="B595" s="2" t="inlineStr">
        <is>
          <t>Приборы для диагностики авто</t>
        </is>
      </c>
      <c r="C595" s="2" t="inlineStr">
        <is>
          <t>Автотовары</t>
        </is>
      </c>
      <c r="D595" s="2" t="inlineStr">
        <is>
          <t>Автотовары → Автосервисное оборудование → Приборы для диагностики авто</t>
        </is>
      </c>
      <c r="E595" s="3" t="n">
        <v>27590488</v>
      </c>
      <c r="F595" s="3" t="n">
        <v>1064</v>
      </c>
      <c r="G595" s="3">
        <f>IFERROR(E595/F595,0)</f>
        <v/>
      </c>
      <c r="H595" s="3" t="n">
        <v>192</v>
      </c>
      <c r="I595" s="2" t="n">
        <v>79</v>
      </c>
      <c r="J595" s="3">
        <f>IFERROR(E595/H595,0)</f>
        <v/>
      </c>
      <c r="K595" s="10">
        <f>E595/'По разделам'!$B$21</f>
        <v/>
      </c>
      <c r="L595" s="4">
        <f>L594+K595</f>
        <v/>
      </c>
      <c r="M595" s="2" t="inlineStr">
        <is>
          <t>05575</t>
        </is>
      </c>
      <c r="N595" s="2" t="inlineStr">
        <is>
          <t>https://app.redstat.kz/niche/05575?event_date=2026-08-01</t>
        </is>
      </c>
      <c r="O595" s="2" t="inlineStr">
        <is>
          <t>https://kaspi.kz/shop/c/car%20diagnostic%20equipment/</t>
        </is>
      </c>
    </row>
    <row r="596">
      <c r="A596" s="2" t="n">
        <v>595</v>
      </c>
      <c r="B596" s="2" t="inlineStr">
        <is>
          <t>Детские кресла и диваны</t>
        </is>
      </c>
      <c r="C596" s="2" t="inlineStr">
        <is>
          <t>Мебель</t>
        </is>
      </c>
      <c r="D596" s="2" t="inlineStr">
        <is>
          <t>Мебель → Детская комната → Детские кресла и диваны</t>
        </is>
      </c>
      <c r="E596" s="3" t="n">
        <v>27515337</v>
      </c>
      <c r="F596" s="3" t="n">
        <v>1908</v>
      </c>
      <c r="G596" s="3">
        <f>IFERROR(E596/F596,0)</f>
        <v/>
      </c>
      <c r="H596" s="3" t="n">
        <v>231</v>
      </c>
      <c r="I596" s="2" t="n">
        <v>27</v>
      </c>
      <c r="J596" s="3">
        <f>IFERROR(E596/H596,0)</f>
        <v/>
      </c>
      <c r="K596" s="10">
        <f>E596/'По разделам'!$B$21</f>
        <v/>
      </c>
      <c r="L596" s="4">
        <f>L595+K596</f>
        <v/>
      </c>
      <c r="M596" s="2" t="inlineStr">
        <is>
          <t>03630</t>
        </is>
      </c>
      <c r="N596" s="2" t="inlineStr">
        <is>
          <t>https://app.redstat.kz/niche/03630?event_date=2026-08-01</t>
        </is>
      </c>
      <c r="O596" s="2" t="inlineStr">
        <is>
          <t>https://kaspi.kz/shop/c/kids%20chairs%20and%20sofas/</t>
        </is>
      </c>
    </row>
    <row r="597">
      <c r="A597" s="2" t="n">
        <v>596</v>
      </c>
      <c r="B597" s="2" t="inlineStr">
        <is>
          <t>Охота</t>
        </is>
      </c>
      <c r="C597" s="2" t="inlineStr">
        <is>
          <t>Спорт, туризм</t>
        </is>
      </c>
      <c r="D597" s="2" t="inlineStr">
        <is>
          <t>Спорт, туризм → Товары для охоты и стрельбы → Охота → Охота</t>
        </is>
      </c>
      <c r="E597" s="3" t="n">
        <v>27503723</v>
      </c>
      <c r="F597" s="3" t="n">
        <v>872</v>
      </c>
      <c r="G597" s="3">
        <f>IFERROR(E597/F597,0)</f>
        <v/>
      </c>
      <c r="H597" s="3" t="n">
        <v>235</v>
      </c>
      <c r="I597" s="2" t="n">
        <v>50</v>
      </c>
      <c r="J597" s="3">
        <f>IFERROR(E597/H597,0)</f>
        <v/>
      </c>
      <c r="K597" s="10">
        <f>E597/'По разделам'!$B$21</f>
        <v/>
      </c>
      <c r="L597" s="4">
        <f>L596+K597</f>
        <v/>
      </c>
      <c r="M597" s="2" t="inlineStr">
        <is>
          <t>q68a54fa193037cd</t>
        </is>
      </c>
      <c r="N597" s="2" t="inlineStr">
        <is>
          <t>https://app.redstat.kz/niche/q68a54fa193037cd?event_date=2026-08-01</t>
        </is>
      </c>
      <c r="O597" s="2" t="inlineStr"/>
    </row>
    <row r="598">
      <c r="A598" s="2" t="n">
        <v>597</v>
      </c>
      <c r="B598" s="2" t="inlineStr">
        <is>
          <t>Солнечные панели и комплектующие</t>
        </is>
      </c>
      <c r="C598" s="2" t="inlineStr">
        <is>
          <t>Строительство, ремонт</t>
        </is>
      </c>
      <c r="D598" s="2" t="inlineStr">
        <is>
          <t>Строительство, ремонт → Электрика → Солнечные панели и комплектующие → Солнечные панели и комплектующие</t>
        </is>
      </c>
      <c r="E598" s="3" t="n">
        <v>27470449</v>
      </c>
      <c r="F598" s="3" t="n">
        <v>225</v>
      </c>
      <c r="G598" s="3">
        <f>IFERROR(E598/F598,0)</f>
        <v/>
      </c>
      <c r="H598" s="3" t="n">
        <v>90</v>
      </c>
      <c r="I598" s="2" t="n">
        <v>33</v>
      </c>
      <c r="J598" s="3">
        <f>IFERROR(E598/H598,0)</f>
        <v/>
      </c>
      <c r="K598" s="10">
        <f>E598/'По разделам'!$B$21</f>
        <v/>
      </c>
      <c r="L598" s="4">
        <f>L597+K598</f>
        <v/>
      </c>
      <c r="M598" s="2" t="inlineStr">
        <is>
          <t>q9a2eea015a3d0d3</t>
        </is>
      </c>
      <c r="N598" s="2" t="inlineStr">
        <is>
          <t>https://app.redstat.kz/niche/q9a2eea015a3d0d3?event_date=2026-08-01</t>
        </is>
      </c>
      <c r="O598" s="2" t="inlineStr"/>
    </row>
    <row r="599">
      <c r="A599" s="2" t="n">
        <v>598</v>
      </c>
      <c r="B599" s="2" t="inlineStr">
        <is>
          <t>Дополнительный автосвет</t>
        </is>
      </c>
      <c r="C599" s="2" t="inlineStr">
        <is>
          <t>Автотовары</t>
        </is>
      </c>
      <c r="D599" s="2" t="inlineStr">
        <is>
          <t>Автотовары → Автомобильное освещение → Дополнительный автосвет</t>
        </is>
      </c>
      <c r="E599" s="3" t="n">
        <v>27365345</v>
      </c>
      <c r="F599" s="3" t="n">
        <v>1859</v>
      </c>
      <c r="G599" s="3">
        <f>IFERROR(E599/F599,0)</f>
        <v/>
      </c>
      <c r="H599" s="3" t="n">
        <v>300</v>
      </c>
      <c r="I599" s="2" t="n">
        <v>64</v>
      </c>
      <c r="J599" s="3">
        <f>IFERROR(E599/H599,0)</f>
        <v/>
      </c>
      <c r="K599" s="10">
        <f>E599/'По разделам'!$B$21</f>
        <v/>
      </c>
      <c r="L599" s="4">
        <f>L598+K599</f>
        <v/>
      </c>
      <c r="M599" s="2" t="inlineStr">
        <is>
          <t>01562</t>
        </is>
      </c>
      <c r="N599" s="2" t="inlineStr">
        <is>
          <t>https://app.redstat.kz/niche/01562?event_date=2026-08-01</t>
        </is>
      </c>
      <c r="O599" s="2" t="inlineStr">
        <is>
          <t>https://kaspi.kz/shop/c/additional%20car%20lighting/</t>
        </is>
      </c>
    </row>
    <row r="600">
      <c r="A600" s="2" t="n">
        <v>599</v>
      </c>
      <c r="B600" s="2" t="inlineStr">
        <is>
          <t>Корпуса</t>
        </is>
      </c>
      <c r="C600" s="2" t="inlineStr">
        <is>
          <t>Компьютеры</t>
        </is>
      </c>
      <c r="D600" s="2" t="inlineStr">
        <is>
          <t>Компьютеры → Комплектующие → Корпуса</t>
        </is>
      </c>
      <c r="E600" s="3" t="n">
        <v>27280162</v>
      </c>
      <c r="F600" s="3" t="n">
        <v>1072</v>
      </c>
      <c r="G600" s="3">
        <f>IFERROR(E600/F600,0)</f>
        <v/>
      </c>
      <c r="H600" s="3" t="n">
        <v>283</v>
      </c>
      <c r="I600" s="2" t="n">
        <v>46</v>
      </c>
      <c r="J600" s="3">
        <f>IFERROR(E600/H600,0)</f>
        <v/>
      </c>
      <c r="K600" s="10">
        <f>E600/'По разделам'!$B$21</f>
        <v/>
      </c>
      <c r="L600" s="4">
        <f>L599+K600</f>
        <v/>
      </c>
      <c r="M600" s="2" t="inlineStr">
        <is>
          <t>00112</t>
        </is>
      </c>
      <c r="N600" s="2" t="inlineStr">
        <is>
          <t>https://app.redstat.kz/niche/00112?event_date=2026-08-01</t>
        </is>
      </c>
      <c r="O600" s="2" t="inlineStr">
        <is>
          <t>https://kaspi.kz/shop/c/computer%20cases/</t>
        </is>
      </c>
    </row>
    <row r="601">
      <c r="A601" s="2" t="n">
        <v>600</v>
      </c>
      <c r="B601" s="2" t="inlineStr">
        <is>
          <t>Патчи</t>
        </is>
      </c>
      <c r="C601" s="2" t="inlineStr">
        <is>
          <t>Красота и здоровье</t>
        </is>
      </c>
      <c r="D601" s="2" t="inlineStr">
        <is>
          <t>Красота и здоровье → Уход за лицом → Патчи</t>
        </is>
      </c>
      <c r="E601" s="3" t="n">
        <v>27245953</v>
      </c>
      <c r="F601" s="3" t="n">
        <v>13418</v>
      </c>
      <c r="G601" s="3">
        <f>IFERROR(E601/F601,0)</f>
        <v/>
      </c>
      <c r="H601" s="3" t="n">
        <v>445</v>
      </c>
      <c r="I601" s="2" t="n">
        <v>154</v>
      </c>
      <c r="J601" s="3">
        <f>IFERROR(E601/H601,0)</f>
        <v/>
      </c>
      <c r="K601" s="10">
        <f>E601/'По разделам'!$B$21</f>
        <v/>
      </c>
      <c r="L601" s="4">
        <f>L600+K601</f>
        <v/>
      </c>
      <c r="M601" s="2" t="inlineStr">
        <is>
          <t>05236</t>
        </is>
      </c>
      <c r="N601" s="2" t="inlineStr">
        <is>
          <t>https://app.redstat.kz/niche/05236?event_date=2026-08-01</t>
        </is>
      </c>
      <c r="O601" s="2" t="inlineStr">
        <is>
          <t>https://kaspi.kz/shop/c/patches/</t>
        </is>
      </c>
    </row>
    <row r="602">
      <c r="A602" s="2" t="n">
        <v>601</v>
      </c>
      <c r="B602" s="2" t="inlineStr">
        <is>
          <t>Строительная вибротехника</t>
        </is>
      </c>
      <c r="C602" s="2" t="inlineStr">
        <is>
          <t>Строительство, ремонт</t>
        </is>
      </c>
      <c r="D602" s="2" t="inlineStr">
        <is>
          <t>Строительство, ремонт → Строительное оборудование → Строительная вибротехника → Строительная вибротехника</t>
        </is>
      </c>
      <c r="E602" s="3" t="n">
        <v>27154229</v>
      </c>
      <c r="F602" s="3" t="n">
        <v>306</v>
      </c>
      <c r="G602" s="3">
        <f>IFERROR(E602/F602,0)</f>
        <v/>
      </c>
      <c r="H602" s="3" t="n">
        <v>70</v>
      </c>
      <c r="I602" s="2" t="n">
        <v>26</v>
      </c>
      <c r="J602" s="3">
        <f>IFERROR(E602/H602,0)</f>
        <v/>
      </c>
      <c r="K602" s="10">
        <f>E602/'По разделам'!$B$21</f>
        <v/>
      </c>
      <c r="L602" s="4">
        <f>L601+K602</f>
        <v/>
      </c>
      <c r="M602" s="2" t="inlineStr">
        <is>
          <t>qba0a93be87feea6</t>
        </is>
      </c>
      <c r="N602" s="2" t="inlineStr">
        <is>
          <t>https://app.redstat.kz/niche/qba0a93be87feea6?event_date=2026-08-01</t>
        </is>
      </c>
      <c r="O602" s="2" t="inlineStr"/>
    </row>
    <row r="603">
      <c r="A603" s="2" t="n">
        <v>602</v>
      </c>
      <c r="B603" s="2" t="inlineStr">
        <is>
          <t>GPS-трекеры и видеоняни для животных</t>
        </is>
      </c>
      <c r="C603" s="2" t="inlineStr">
        <is>
          <t>Товары для животных</t>
        </is>
      </c>
      <c r="D603" s="2" t="inlineStr">
        <is>
          <t>Товары для животных → Аксессуары для животных → GPS-трекеры и видеоняни для животных</t>
        </is>
      </c>
      <c r="E603" s="3" t="n">
        <v>26985599</v>
      </c>
      <c r="F603" s="3" t="n">
        <v>875</v>
      </c>
      <c r="G603" s="3">
        <f>IFERROR(E603/F603,0)</f>
        <v/>
      </c>
      <c r="H603" s="3" t="n">
        <v>100</v>
      </c>
      <c r="I603" s="2" t="n">
        <v>31</v>
      </c>
      <c r="J603" s="3">
        <f>IFERROR(E603/H603,0)</f>
        <v/>
      </c>
      <c r="K603" s="10">
        <f>E603/'По разделам'!$B$21</f>
        <v/>
      </c>
      <c r="L603" s="4">
        <f>L602+K603</f>
        <v/>
      </c>
      <c r="M603" s="2" t="inlineStr">
        <is>
          <t>04983</t>
        </is>
      </c>
      <c r="N603" s="2" t="inlineStr">
        <is>
          <t>https://app.redstat.kz/niche/04983?event_date=2026-08-01</t>
        </is>
      </c>
      <c r="O603" s="2" t="inlineStr">
        <is>
          <t>https://kaspi.kz/shop/c/livestock%20gps%20trackers/</t>
        </is>
      </c>
    </row>
    <row r="604">
      <c r="A604" s="2" t="n">
        <v>603</v>
      </c>
      <c r="B604" s="2" t="inlineStr">
        <is>
          <t>Женская домашняя обувь</t>
        </is>
      </c>
      <c r="C604" s="2" t="inlineStr">
        <is>
          <t>Обувь</t>
        </is>
      </c>
      <c r="D604" s="2" t="inlineStr">
        <is>
          <t>Обувь → Женская обувь → Женская домашняя обувь</t>
        </is>
      </c>
      <c r="E604" s="3" t="n">
        <v>26973645</v>
      </c>
      <c r="F604" s="3" t="n">
        <v>11543</v>
      </c>
      <c r="G604" s="3">
        <f>IFERROR(E604/F604,0)</f>
        <v/>
      </c>
      <c r="H604" s="3" t="n">
        <v>1303</v>
      </c>
      <c r="I604" s="2" t="n">
        <v>94</v>
      </c>
      <c r="J604" s="3">
        <f>IFERROR(E604/H604,0)</f>
        <v/>
      </c>
      <c r="K604" s="10">
        <f>E604/'По разделам'!$B$21</f>
        <v/>
      </c>
      <c r="L604" s="4">
        <f>L603+K604</f>
        <v/>
      </c>
      <c r="M604" s="2" t="inlineStr">
        <is>
          <t>01285</t>
        </is>
      </c>
      <c r="N604" s="2" t="inlineStr">
        <is>
          <t>https://app.redstat.kz/niche/01285?event_date=2026-08-01</t>
        </is>
      </c>
      <c r="O604" s="2" t="inlineStr">
        <is>
          <t>https://kaspi.kz/shop/c/women%20fashion%20slippers/</t>
        </is>
      </c>
    </row>
    <row r="605">
      <c r="A605" s="2" t="n">
        <v>604</v>
      </c>
      <c r="B605" s="2" t="inlineStr">
        <is>
          <t>Промышленное оборудование</t>
        </is>
      </c>
      <c r="C605" s="2" t="inlineStr">
        <is>
          <t>Строительство, ремонт</t>
        </is>
      </c>
      <c r="D605" s="2" t="inlineStr">
        <is>
          <t>Строительство, ремонт → Строительное оборудование → Промышленное оборудование → Промышленное оборудование</t>
        </is>
      </c>
      <c r="E605" s="3" t="n">
        <v>26790200</v>
      </c>
      <c r="F605" s="3" t="n">
        <v>337</v>
      </c>
      <c r="G605" s="3">
        <f>IFERROR(E605/F605,0)</f>
        <v/>
      </c>
      <c r="H605" s="3" t="n">
        <v>135</v>
      </c>
      <c r="I605" s="2" t="n">
        <v>45</v>
      </c>
      <c r="J605" s="3">
        <f>IFERROR(E605/H605,0)</f>
        <v/>
      </c>
      <c r="K605" s="10">
        <f>E605/'По разделам'!$B$21</f>
        <v/>
      </c>
      <c r="L605" s="4">
        <f>L604+K605</f>
        <v/>
      </c>
      <c r="M605" s="2" t="inlineStr">
        <is>
          <t>qb1ce979002ba0ac</t>
        </is>
      </c>
      <c r="N605" s="2" t="inlineStr">
        <is>
          <t>https://app.redstat.kz/niche/qb1ce979002ba0ac?event_date=2026-08-01</t>
        </is>
      </c>
      <c r="O605" s="2" t="inlineStr"/>
    </row>
    <row r="606">
      <c r="A606" s="2" t="n">
        <v>605</v>
      </c>
      <c r="B606" s="2" t="inlineStr">
        <is>
          <t>Изотоники и энергетические гели</t>
        </is>
      </c>
      <c r="C606" s="2" t="inlineStr">
        <is>
          <t>Спорт, туризм</t>
        </is>
      </c>
      <c r="D606" s="2" t="inlineStr">
        <is>
          <t>Спорт, туризм → Спортивное питание → Изотоники и энергетические гели</t>
        </is>
      </c>
      <c r="E606" s="3" t="n">
        <v>26768312</v>
      </c>
      <c r="F606" s="3" t="n">
        <v>3978</v>
      </c>
      <c r="G606" s="3">
        <f>IFERROR(E606/F606,0)</f>
        <v/>
      </c>
      <c r="H606" s="3" t="n">
        <v>369</v>
      </c>
      <c r="I606" s="2" t="n">
        <v>33</v>
      </c>
      <c r="J606" s="3">
        <f>IFERROR(E606/H606,0)</f>
        <v/>
      </c>
      <c r="K606" s="10">
        <f>E606/'По разделам'!$B$21</f>
        <v/>
      </c>
      <c r="L606" s="4">
        <f>L605+K606</f>
        <v/>
      </c>
      <c r="M606" s="2" t="inlineStr">
        <is>
          <t>06730</t>
        </is>
      </c>
      <c r="N606" s="2" t="inlineStr">
        <is>
          <t>https://app.redstat.kz/niche/06730?event_date=2026-08-01</t>
        </is>
      </c>
      <c r="O606" s="2" t="inlineStr">
        <is>
          <t>https://kaspi.kz/shop/c/isotonics%20and%20energy%20gels/</t>
        </is>
      </c>
    </row>
    <row r="607">
      <c r="A607" s="2" t="n">
        <v>606</v>
      </c>
      <c r="B607" s="2" t="inlineStr">
        <is>
          <t>Цветной и белый картон, бумага</t>
        </is>
      </c>
      <c r="C607" s="2" t="inlineStr">
        <is>
          <t>Канцелярские товары</t>
        </is>
      </c>
      <c r="D607" s="2" t="inlineStr">
        <is>
          <t>Канцелярские товары → Школьные принадлежности → Цветной и белый картон, бумага</t>
        </is>
      </c>
      <c r="E607" s="3" t="n">
        <v>26644920</v>
      </c>
      <c r="F607" s="3" t="n">
        <v>41685</v>
      </c>
      <c r="G607" s="3">
        <f>IFERROR(E607/F607,0)</f>
        <v/>
      </c>
      <c r="H607" s="3" t="n">
        <v>731</v>
      </c>
      <c r="I607" s="2" t="n">
        <v>58</v>
      </c>
      <c r="J607" s="3">
        <f>IFERROR(E607/H607,0)</f>
        <v/>
      </c>
      <c r="K607" s="10">
        <f>E607/'По разделам'!$B$21</f>
        <v/>
      </c>
      <c r="L607" s="4">
        <f>L606+K607</f>
        <v/>
      </c>
      <c r="M607" s="2" t="inlineStr">
        <is>
          <t>04238</t>
        </is>
      </c>
      <c r="N607" s="2" t="inlineStr">
        <is>
          <t>https://app.redstat.kz/niche/04238?event_date=2026-08-01</t>
        </is>
      </c>
      <c r="O607" s="2" t="inlineStr">
        <is>
          <t>https://kaspi.kz/shop/c/cardstock%20paper/</t>
        </is>
      </c>
    </row>
    <row r="608">
      <c r="A608" s="2" t="n">
        <v>607</v>
      </c>
      <c r="B608" s="2" t="inlineStr">
        <is>
          <t>Сепараторы и маслобойки</t>
        </is>
      </c>
      <c r="C608" s="2" t="inlineStr">
        <is>
          <t>Товары для животных</t>
        </is>
      </c>
      <c r="D608" s="2" t="inlineStr">
        <is>
          <t>Товары для животных → Для сельскохозяйственных животных → Сепараторы и маслобойки</t>
        </is>
      </c>
      <c r="E608" s="3" t="n">
        <v>26640607</v>
      </c>
      <c r="F608" s="3" t="n">
        <v>607</v>
      </c>
      <c r="G608" s="3">
        <f>IFERROR(E608/F608,0)</f>
        <v/>
      </c>
      <c r="H608" s="3" t="n">
        <v>102</v>
      </c>
      <c r="I608" s="2" t="n">
        <v>23</v>
      </c>
      <c r="J608" s="3">
        <f>IFERROR(E608/H608,0)</f>
        <v/>
      </c>
      <c r="K608" s="10">
        <f>E608/'По разделам'!$B$21</f>
        <v/>
      </c>
      <c r="L608" s="4">
        <f>L607+K608</f>
        <v/>
      </c>
      <c r="M608" s="2" t="inlineStr">
        <is>
          <t>05285</t>
        </is>
      </c>
      <c r="N608" s="2" t="inlineStr">
        <is>
          <t>https://app.redstat.kz/niche/05285?event_date=2026-08-01</t>
        </is>
      </c>
      <c r="O608" s="2" t="inlineStr">
        <is>
          <t>https://kaspi.kz/shop/c/milk%20separators/</t>
        </is>
      </c>
    </row>
    <row r="609">
      <c r="A609" s="2" t="n">
        <v>608</v>
      </c>
      <c r="B609" s="2" t="inlineStr">
        <is>
          <t>Топливная система</t>
        </is>
      </c>
      <c r="C609" s="2" t="inlineStr">
        <is>
          <t>Автотовары</t>
        </is>
      </c>
      <c r="D609" s="2" t="inlineStr">
        <is>
          <t>Автотовары → Автозапчасти → Топливная система → Топливная система</t>
        </is>
      </c>
      <c r="E609" s="3" t="n">
        <v>26547624</v>
      </c>
      <c r="F609" s="3" t="n">
        <v>909</v>
      </c>
      <c r="G609" s="3">
        <f>IFERROR(E609/F609,0)</f>
        <v/>
      </c>
      <c r="H609" s="3" t="n">
        <v>497</v>
      </c>
      <c r="I609" s="2" t="n">
        <v>136</v>
      </c>
      <c r="J609" s="3">
        <f>IFERROR(E609/H609,0)</f>
        <v/>
      </c>
      <c r="K609" s="10">
        <f>E609/'По разделам'!$B$21</f>
        <v/>
      </c>
      <c r="L609" s="4">
        <f>L608+K609</f>
        <v/>
      </c>
      <c r="M609" s="2" t="inlineStr">
        <is>
          <t>qd8b4f6aacd9a11f</t>
        </is>
      </c>
      <c r="N609" s="2" t="inlineStr">
        <is>
          <t>https://app.redstat.kz/niche/qd8b4f6aacd9a11f?event_date=2026-08-01</t>
        </is>
      </c>
      <c r="O609" s="2" t="inlineStr"/>
    </row>
    <row r="610">
      <c r="A610" s="2" t="n">
        <v>609</v>
      </c>
      <c r="B610" s="2" t="inlineStr">
        <is>
          <t>Мебель для торгового зала</t>
        </is>
      </c>
      <c r="C610" s="2" t="inlineStr">
        <is>
          <t>Мебель</t>
        </is>
      </c>
      <c r="D610" s="2" t="inlineStr">
        <is>
          <t>Мебель → Торговое оборудование → Мебель для торгового зала → Мебель для торгового зала</t>
        </is>
      </c>
      <c r="E610" s="3" t="n">
        <v>26444094</v>
      </c>
      <c r="F610" s="3" t="n">
        <v>1287</v>
      </c>
      <c r="G610" s="3">
        <f>IFERROR(E610/F610,0)</f>
        <v/>
      </c>
      <c r="H610" s="3" t="n">
        <v>275</v>
      </c>
      <c r="I610" s="2" t="n">
        <v>27</v>
      </c>
      <c r="J610" s="3">
        <f>IFERROR(E610/H610,0)</f>
        <v/>
      </c>
      <c r="K610" s="10">
        <f>E610/'По разделам'!$B$21</f>
        <v/>
      </c>
      <c r="L610" s="4">
        <f>L609+K610</f>
        <v/>
      </c>
      <c r="M610" s="2" t="inlineStr">
        <is>
          <t>q1bc267f7708830d</t>
        </is>
      </c>
      <c r="N610" s="2" t="inlineStr">
        <is>
          <t>https://app.redstat.kz/niche/q1bc267f7708830d?event_date=2026-08-01</t>
        </is>
      </c>
      <c r="O610" s="2" t="inlineStr"/>
    </row>
    <row r="611">
      <c r="A611" s="2" t="n">
        <v>610</v>
      </c>
      <c r="B611" s="2" t="inlineStr">
        <is>
          <t>Скамьи и стойки</t>
        </is>
      </c>
      <c r="C611" s="2" t="inlineStr">
        <is>
          <t>Спорт, туризм</t>
        </is>
      </c>
      <c r="D611" s="2" t="inlineStr">
        <is>
          <t>Спорт, туризм → Тренажеры → Скамьи и стойки</t>
        </is>
      </c>
      <c r="E611" s="3" t="n">
        <v>26300832</v>
      </c>
      <c r="F611" s="3" t="n">
        <v>605</v>
      </c>
      <c r="G611" s="3">
        <f>IFERROR(E611/F611,0)</f>
        <v/>
      </c>
      <c r="H611" s="3" t="n">
        <v>100</v>
      </c>
      <c r="I611" s="2" t="n">
        <v>31</v>
      </c>
      <c r="J611" s="3">
        <f>IFERROR(E611/H611,0)</f>
        <v/>
      </c>
      <c r="K611" s="10">
        <f>E611/'По разделам'!$B$21</f>
        <v/>
      </c>
      <c r="L611" s="4">
        <f>L610+K611</f>
        <v/>
      </c>
      <c r="M611" s="2" t="inlineStr">
        <is>
          <t>00863</t>
        </is>
      </c>
      <c r="N611" s="2" t="inlineStr">
        <is>
          <t>https://app.redstat.kz/niche/00863?event_date=2026-08-01</t>
        </is>
      </c>
      <c r="O611" s="2" t="inlineStr">
        <is>
          <t>https://kaspi.kz/shop/c/bench%20and%20racks/</t>
        </is>
      </c>
    </row>
    <row r="612">
      <c r="A612" s="2" t="n">
        <v>611</v>
      </c>
      <c r="B612" s="2" t="inlineStr">
        <is>
          <t>Тестостероновые бустеры</t>
        </is>
      </c>
      <c r="C612" s="2" t="inlineStr">
        <is>
          <t>Спорт, туризм</t>
        </is>
      </c>
      <c r="D612" s="2" t="inlineStr">
        <is>
          <t>Спорт, туризм → Спортивное питание → Тестостероновые бустеры</t>
        </is>
      </c>
      <c r="E612" s="3" t="n">
        <v>26229026</v>
      </c>
      <c r="F612" s="3" t="n">
        <v>2741</v>
      </c>
      <c r="G612" s="3">
        <f>IFERROR(E612/F612,0)</f>
        <v/>
      </c>
      <c r="H612" s="3" t="n">
        <v>131</v>
      </c>
      <c r="I612" s="2" t="n">
        <v>66</v>
      </c>
      <c r="J612" s="3">
        <f>IFERROR(E612/H612,0)</f>
        <v/>
      </c>
      <c r="K612" s="10">
        <f>E612/'По разделам'!$B$21</f>
        <v/>
      </c>
      <c r="L612" s="4">
        <f>L611+K612</f>
        <v/>
      </c>
      <c r="M612" s="2" t="inlineStr">
        <is>
          <t>00946</t>
        </is>
      </c>
      <c r="N612" s="2" t="inlineStr">
        <is>
          <t>https://app.redstat.kz/niche/00946?event_date=2026-08-01</t>
        </is>
      </c>
      <c r="O612" s="2" t="inlineStr">
        <is>
          <t>https://kaspi.kz/shop/c/testosterone%20boosters/</t>
        </is>
      </c>
    </row>
    <row r="613">
      <c r="A613" s="2" t="n">
        <v>612</v>
      </c>
      <c r="B613" s="2" t="inlineStr">
        <is>
          <t>Женские мокасины и топсайдеры</t>
        </is>
      </c>
      <c r="C613" s="2" t="inlineStr">
        <is>
          <t>Обувь</t>
        </is>
      </c>
      <c r="D613" s="2" t="inlineStr">
        <is>
          <t>Обувь → Женская обувь → Женские мокасины и топсайдеры</t>
        </is>
      </c>
      <c r="E613" s="3" t="n">
        <v>26078027</v>
      </c>
      <c r="F613" s="3" t="n">
        <v>2463</v>
      </c>
      <c r="G613" s="3">
        <f>IFERROR(E613/F613,0)</f>
        <v/>
      </c>
      <c r="H613" s="3" t="n">
        <v>853</v>
      </c>
      <c r="I613" s="2" t="n">
        <v>139</v>
      </c>
      <c r="J613" s="3">
        <f>IFERROR(E613/H613,0)</f>
        <v/>
      </c>
      <c r="K613" s="10">
        <f>E613/'По разделам'!$B$21</f>
        <v/>
      </c>
      <c r="L613" s="4">
        <f>L612+K613</f>
        <v/>
      </c>
      <c r="M613" s="2" t="inlineStr">
        <is>
          <t>03960</t>
        </is>
      </c>
      <c r="N613" s="2" t="inlineStr">
        <is>
          <t>https://app.redstat.kz/niche/03960?event_date=2026-08-01</t>
        </is>
      </c>
      <c r="O613" s="2" t="inlineStr">
        <is>
          <t>https://kaspi.kz/shop/c/women%20moccasins/</t>
        </is>
      </c>
    </row>
    <row r="614">
      <c r="A614" s="2" t="n">
        <v>613</v>
      </c>
      <c r="B614" s="2" t="inlineStr">
        <is>
          <t>Предтренировочные комплексы для спортсменов</t>
        </is>
      </c>
      <c r="C614" s="2" t="inlineStr">
        <is>
          <t>Спорт, туризм</t>
        </is>
      </c>
      <c r="D614" s="2" t="inlineStr">
        <is>
          <t>Спорт, туризм → Спортивное питание → Предтренировочные комплексы для спортсменов</t>
        </is>
      </c>
      <c r="E614" s="3" t="n">
        <v>26047688</v>
      </c>
      <c r="F614" s="3" t="n">
        <v>2422</v>
      </c>
      <c r="G614" s="3">
        <f>IFERROR(E614/F614,0)</f>
        <v/>
      </c>
      <c r="H614" s="3" t="n">
        <v>385</v>
      </c>
      <c r="I614" s="2" t="n">
        <v>85</v>
      </c>
      <c r="J614" s="3">
        <f>IFERROR(E614/H614,0)</f>
        <v/>
      </c>
      <c r="K614" s="10">
        <f>E614/'По разделам'!$B$21</f>
        <v/>
      </c>
      <c r="L614" s="4">
        <f>L613+K614</f>
        <v/>
      </c>
      <c r="M614" s="2" t="inlineStr">
        <is>
          <t>01197</t>
        </is>
      </c>
      <c r="N614" s="2" t="inlineStr">
        <is>
          <t>https://app.redstat.kz/niche/01197?event_date=2026-08-01</t>
        </is>
      </c>
      <c r="O614" s="2" t="inlineStr">
        <is>
          <t>https://kaspi.kz/shop/c/preworkout%20sports%20nutrition/</t>
        </is>
      </c>
    </row>
    <row r="615">
      <c r="A615" s="2" t="n">
        <v>614</v>
      </c>
      <c r="B615" s="2" t="inlineStr">
        <is>
          <t>Настольные наборы</t>
        </is>
      </c>
      <c r="C615" s="2" t="inlineStr">
        <is>
          <t>Канцелярские товары</t>
        </is>
      </c>
      <c r="D615" s="2" t="inlineStr">
        <is>
          <t>Канцелярские товары → Офисные принадлежности → Настольные наборы</t>
        </is>
      </c>
      <c r="E615" s="3" t="n">
        <v>25881834</v>
      </c>
      <c r="F615" s="3" t="n">
        <v>8511</v>
      </c>
      <c r="G615" s="3">
        <f>IFERROR(E615/F615,0)</f>
        <v/>
      </c>
      <c r="H615" s="3" t="n">
        <v>530</v>
      </c>
      <c r="I615" s="2" t="n">
        <v>71</v>
      </c>
      <c r="J615" s="3">
        <f>IFERROR(E615/H615,0)</f>
        <v/>
      </c>
      <c r="K615" s="10">
        <f>E615/'По разделам'!$B$21</f>
        <v/>
      </c>
      <c r="L615" s="4">
        <f>L614+K615</f>
        <v/>
      </c>
      <c r="M615" s="2" t="inlineStr">
        <is>
          <t>04272</t>
        </is>
      </c>
      <c r="N615" s="2" t="inlineStr">
        <is>
          <t>https://app.redstat.kz/niche/04272?event_date=2026-08-01</t>
        </is>
      </c>
      <c r="O615" s="2" t="inlineStr">
        <is>
          <t>https://kaspi.kz/shop/c/desk%20organizer%20sets/</t>
        </is>
      </c>
    </row>
    <row r="616">
      <c r="A616" s="2" t="n">
        <v>615</v>
      </c>
      <c r="B616" s="2" t="inlineStr">
        <is>
          <t>Спортивные перчатки и варежки</t>
        </is>
      </c>
      <c r="C616" s="2" t="inlineStr">
        <is>
          <t>Спорт, туризм</t>
        </is>
      </c>
      <c r="D616" s="2" t="inlineStr">
        <is>
          <t>Спорт, туризм → Спортивная защита и экипировка → Спортивные перчатки и варежки</t>
        </is>
      </c>
      <c r="E616" s="3" t="n">
        <v>25878876</v>
      </c>
      <c r="F616" s="3" t="n">
        <v>5052</v>
      </c>
      <c r="G616" s="3">
        <f>IFERROR(E616/F616,0)</f>
        <v/>
      </c>
      <c r="H616" s="3" t="n">
        <v>805</v>
      </c>
      <c r="I616" s="2" t="n">
        <v>125</v>
      </c>
      <c r="J616" s="3">
        <f>IFERROR(E616/H616,0)</f>
        <v/>
      </c>
      <c r="K616" s="10">
        <f>E616/'По разделам'!$B$21</f>
        <v/>
      </c>
      <c r="L616" s="4">
        <f>L615+K616</f>
        <v/>
      </c>
      <c r="M616" s="2" t="inlineStr">
        <is>
          <t>02847</t>
        </is>
      </c>
      <c r="N616" s="2" t="inlineStr">
        <is>
          <t>https://app.redstat.kz/niche/02847?event_date=2026-08-01</t>
        </is>
      </c>
      <c r="O616" s="2" t="inlineStr">
        <is>
          <t>https://kaspi.kz/shop/c/sports%20gloves/</t>
        </is>
      </c>
    </row>
    <row r="617">
      <c r="A617" s="2" t="n">
        <v>616</v>
      </c>
      <c r="B617" s="2" t="inlineStr">
        <is>
          <t>Бильярд</t>
        </is>
      </c>
      <c r="C617" s="2" t="inlineStr">
        <is>
          <t>Спорт, туризм</t>
        </is>
      </c>
      <c r="D617" s="2" t="inlineStr">
        <is>
          <t>Спорт, туризм → Активный вид отдыха → Бильярд → Бильярд</t>
        </is>
      </c>
      <c r="E617" s="3" t="n">
        <v>25646703</v>
      </c>
      <c r="F617" s="3" t="n">
        <v>947</v>
      </c>
      <c r="G617" s="3">
        <f>IFERROR(E617/F617,0)</f>
        <v/>
      </c>
      <c r="H617" s="3" t="n">
        <v>266</v>
      </c>
      <c r="I617" s="2" t="n">
        <v>46</v>
      </c>
      <c r="J617" s="3">
        <f>IFERROR(E617/H617,0)</f>
        <v/>
      </c>
      <c r="K617" s="10">
        <f>E617/'По разделам'!$B$21</f>
        <v/>
      </c>
      <c r="L617" s="4">
        <f>L616+K617</f>
        <v/>
      </c>
      <c r="M617" s="2" t="inlineStr">
        <is>
          <t>q66025c0e8a39aff</t>
        </is>
      </c>
      <c r="N617" s="2" t="inlineStr">
        <is>
          <t>https://app.redstat.kz/niche/q66025c0e8a39aff?event_date=2026-08-01</t>
        </is>
      </c>
      <c r="O617" s="2" t="inlineStr"/>
    </row>
    <row r="618">
      <c r="A618" s="2" t="n">
        <v>617</v>
      </c>
      <c r="B618" s="2" t="inlineStr">
        <is>
          <t>POS-системы</t>
        </is>
      </c>
      <c r="C618" s="2" t="inlineStr">
        <is>
          <t>Компьютеры</t>
        </is>
      </c>
      <c r="D618" s="2" t="inlineStr">
        <is>
          <t>Компьютеры → Электронное оборудование для торговли → POS-системы</t>
        </is>
      </c>
      <c r="E618" s="3" t="n">
        <v>25513070</v>
      </c>
      <c r="F618" s="3" t="n">
        <v>151</v>
      </c>
      <c r="G618" s="3">
        <f>IFERROR(E618/F618,0)</f>
        <v/>
      </c>
      <c r="H618" s="3" t="n">
        <v>47</v>
      </c>
      <c r="I618" s="2" t="n">
        <v>14</v>
      </c>
      <c r="J618" s="3">
        <f>IFERROR(E618/H618,0)</f>
        <v/>
      </c>
      <c r="K618" s="10">
        <f>E618/'По разделам'!$B$21</f>
        <v/>
      </c>
      <c r="L618" s="4">
        <f>L617+K618</f>
        <v/>
      </c>
      <c r="M618" s="2" t="inlineStr">
        <is>
          <t>04627</t>
        </is>
      </c>
      <c r="N618" s="2" t="inlineStr">
        <is>
          <t>https://app.redstat.kz/niche/04627?event_date=2026-08-01</t>
        </is>
      </c>
      <c r="O618" s="2" t="inlineStr">
        <is>
          <t>https://kaspi.kz/shop/c/pos%20systems/</t>
        </is>
      </c>
    </row>
    <row r="619">
      <c r="A619" s="2" t="n">
        <v>618</v>
      </c>
      <c r="B619" s="2" t="inlineStr">
        <is>
          <t>Вытяжки, пылесосы</t>
        </is>
      </c>
      <c r="C619" s="2" t="inlineStr">
        <is>
          <t>Красота и здоровье</t>
        </is>
      </c>
      <c r="D619" s="2" t="inlineStr">
        <is>
          <t>Красота и здоровье → Для маникюра и педикюра → Вытяжки, пылесосы</t>
        </is>
      </c>
      <c r="E619" s="3" t="n">
        <v>25336730</v>
      </c>
      <c r="F619" s="3" t="n">
        <v>907</v>
      </c>
      <c r="G619" s="3">
        <f>IFERROR(E619/F619,0)</f>
        <v/>
      </c>
      <c r="H619" s="3" t="n">
        <v>105</v>
      </c>
      <c r="I619" s="2" t="n">
        <v>38</v>
      </c>
      <c r="J619" s="3">
        <f>IFERROR(E619/H619,0)</f>
        <v/>
      </c>
      <c r="K619" s="10">
        <f>E619/'По разделам'!$B$21</f>
        <v/>
      </c>
      <c r="L619" s="4">
        <f>L618+K619</f>
        <v/>
      </c>
      <c r="M619" s="2" t="inlineStr">
        <is>
          <t>05253</t>
        </is>
      </c>
      <c r="N619" s="2" t="inlineStr">
        <is>
          <t>https://app.redstat.kz/niche/05253?event_date=2026-08-01</t>
        </is>
      </c>
      <c r="O619" s="2" t="inlineStr">
        <is>
          <t>https://kaspi.kz/shop/c/nail%20vacuum%20cleaners/</t>
        </is>
      </c>
    </row>
    <row r="620">
      <c r="A620" s="2" t="n">
        <v>619</v>
      </c>
      <c r="B620" s="2" t="inlineStr">
        <is>
          <t>Шлемы и каски спортивные</t>
        </is>
      </c>
      <c r="C620" s="2" t="inlineStr">
        <is>
          <t>Спорт, туризм</t>
        </is>
      </c>
      <c r="D620" s="2" t="inlineStr">
        <is>
          <t>Спорт, туризм → Спортивная защита и экипировка → Шлемы и каски спортивные</t>
        </is>
      </c>
      <c r="E620" s="3" t="n">
        <v>25322223</v>
      </c>
      <c r="F620" s="3" t="n">
        <v>2279</v>
      </c>
      <c r="G620" s="3">
        <f>IFERROR(E620/F620,0)</f>
        <v/>
      </c>
      <c r="H620" s="3" t="n">
        <v>712</v>
      </c>
      <c r="I620" s="2" t="n">
        <v>118</v>
      </c>
      <c r="J620" s="3">
        <f>IFERROR(E620/H620,0)</f>
        <v/>
      </c>
      <c r="K620" s="10">
        <f>E620/'По разделам'!$B$21</f>
        <v/>
      </c>
      <c r="L620" s="4">
        <f>L619+K620</f>
        <v/>
      </c>
      <c r="M620" s="2" t="inlineStr">
        <is>
          <t>00652</t>
        </is>
      </c>
      <c r="N620" s="2" t="inlineStr">
        <is>
          <t>https://app.redstat.kz/niche/00652?event_date=2026-08-01</t>
        </is>
      </c>
      <c r="O620" s="2" t="inlineStr">
        <is>
          <t>https://kaspi.kz/shop/c/sport%20helmets/</t>
        </is>
      </c>
    </row>
    <row r="621">
      <c r="A621" s="2" t="n">
        <v>620</v>
      </c>
      <c r="B621" s="2" t="inlineStr">
        <is>
          <t>Игрушечное оружие и бластеры</t>
        </is>
      </c>
      <c r="C621" s="2" t="inlineStr">
        <is>
          <t>Детские товары</t>
        </is>
      </c>
      <c r="D621" s="2" t="inlineStr">
        <is>
          <t>Детские товары → Игрушки → Игрушечное оружие и бластеры</t>
        </is>
      </c>
      <c r="E621" s="3" t="n">
        <v>25317453</v>
      </c>
      <c r="F621" s="3" t="n">
        <v>6234</v>
      </c>
      <c r="G621" s="3">
        <f>IFERROR(E621/F621,0)</f>
        <v/>
      </c>
      <c r="H621" s="3" t="n">
        <v>649</v>
      </c>
      <c r="I621" s="2" t="n">
        <v>127</v>
      </c>
      <c r="J621" s="3">
        <f>IFERROR(E621/H621,0)</f>
        <v/>
      </c>
      <c r="K621" s="10">
        <f>E621/'По разделам'!$B$21</f>
        <v/>
      </c>
      <c r="L621" s="4">
        <f>L620+K621</f>
        <v/>
      </c>
      <c r="M621" s="2" t="inlineStr">
        <is>
          <t>02660</t>
        </is>
      </c>
      <c r="N621" s="2" t="inlineStr">
        <is>
          <t>https://app.redstat.kz/niche/02660?event_date=2026-08-01</t>
        </is>
      </c>
      <c r="O621" s="2" t="inlineStr">
        <is>
          <t>https://kaspi.kz/shop/c/toy%20weapons%20and%20blasters/</t>
        </is>
      </c>
    </row>
    <row r="622">
      <c r="A622" s="2" t="n">
        <v>621</v>
      </c>
      <c r="B622" s="2" t="inlineStr">
        <is>
          <t>Светодиодные ленты</t>
        </is>
      </c>
      <c r="C622" s="2" t="inlineStr">
        <is>
          <t>Товары для дома и дачи</t>
        </is>
      </c>
      <c r="D622" s="2" t="inlineStr">
        <is>
          <t>Товары для дома и дачи → Освещение → Светодиодные ленты</t>
        </is>
      </c>
      <c r="E622" s="3" t="n">
        <v>25265048</v>
      </c>
      <c r="F622" s="3" t="n">
        <v>5151</v>
      </c>
      <c r="G622" s="3">
        <f>IFERROR(E622/F622,0)</f>
        <v/>
      </c>
      <c r="H622" s="3" t="n">
        <v>466</v>
      </c>
      <c r="I622" s="2" t="n">
        <v>85</v>
      </c>
      <c r="J622" s="3">
        <f>IFERROR(E622/H622,0)</f>
        <v/>
      </c>
      <c r="K622" s="10">
        <f>E622/'По разделам'!$B$21</f>
        <v/>
      </c>
      <c r="L622" s="4">
        <f>L621+K622</f>
        <v/>
      </c>
      <c r="M622" s="2" t="inlineStr">
        <is>
          <t>01726</t>
        </is>
      </c>
      <c r="N622" s="2" t="inlineStr">
        <is>
          <t>https://app.redstat.kz/niche/01726?event_date=2026-08-01</t>
        </is>
      </c>
      <c r="O622" s="2" t="inlineStr">
        <is>
          <t>https://kaspi.kz/shop/c/led%20strip%20lights/</t>
        </is>
      </c>
    </row>
    <row r="623">
      <c r="A623" s="2" t="n">
        <v>622</v>
      </c>
      <c r="B623" s="2" t="inlineStr">
        <is>
          <t>Ударные</t>
        </is>
      </c>
      <c r="C623" s="2" t="inlineStr">
        <is>
          <t>Досуг, книги</t>
        </is>
      </c>
      <c r="D623" s="2" t="inlineStr">
        <is>
          <t>Досуг, книги → Музыкальные инструменты → Ударные → Ударные</t>
        </is>
      </c>
      <c r="E623" s="3" t="n">
        <v>25260257</v>
      </c>
      <c r="F623" s="3" t="n">
        <v>588</v>
      </c>
      <c r="G623" s="3">
        <f>IFERROR(E623/F623,0)</f>
        <v/>
      </c>
      <c r="H623" s="3" t="n">
        <v>219</v>
      </c>
      <c r="I623" s="2" t="n">
        <v>56</v>
      </c>
      <c r="J623" s="3">
        <f>IFERROR(E623/H623,0)</f>
        <v/>
      </c>
      <c r="K623" s="10">
        <f>E623/'По разделам'!$B$21</f>
        <v/>
      </c>
      <c r="L623" s="4">
        <f>L622+K623</f>
        <v/>
      </c>
      <c r="M623" s="2" t="inlineStr">
        <is>
          <t>q07cb19ab3e4b7d0</t>
        </is>
      </c>
      <c r="N623" s="2" t="inlineStr">
        <is>
          <t>https://app.redstat.kz/niche/q07cb19ab3e4b7d0?event_date=2026-08-01</t>
        </is>
      </c>
      <c r="O623" s="2" t="inlineStr"/>
    </row>
    <row r="624">
      <c r="A624" s="2" t="n">
        <v>623</v>
      </c>
      <c r="B624" s="2" t="inlineStr">
        <is>
          <t>Прожекторы</t>
        </is>
      </c>
      <c r="C624" s="2" t="inlineStr">
        <is>
          <t>Товары для дома и дачи</t>
        </is>
      </c>
      <c r="D624" s="2" t="inlineStr">
        <is>
          <t>Товары для дома и дачи → Освещение → Прожекторы</t>
        </is>
      </c>
      <c r="E624" s="3" t="n">
        <v>25178823</v>
      </c>
      <c r="F624" s="3" t="n">
        <v>3098</v>
      </c>
      <c r="G624" s="3">
        <f>IFERROR(E624/F624,0)</f>
        <v/>
      </c>
      <c r="H624" s="3" t="n">
        <v>417</v>
      </c>
      <c r="I624" s="2" t="n">
        <v>100</v>
      </c>
      <c r="J624" s="3">
        <f>IFERROR(E624/H624,0)</f>
        <v/>
      </c>
      <c r="K624" s="10">
        <f>E624/'По разделам'!$B$21</f>
        <v/>
      </c>
      <c r="L624" s="4">
        <f>L623+K624</f>
        <v/>
      </c>
      <c r="M624" s="2" t="inlineStr">
        <is>
          <t>01010</t>
        </is>
      </c>
      <c r="N624" s="2" t="inlineStr">
        <is>
          <t>https://app.redstat.kz/niche/01010?event_date=2026-08-01</t>
        </is>
      </c>
      <c r="O624" s="2" t="inlineStr">
        <is>
          <t>https://kaspi.kz/shop/c/floodlights/</t>
        </is>
      </c>
    </row>
    <row r="625">
      <c r="A625" s="2" t="n">
        <v>624</v>
      </c>
      <c r="B625" s="2" t="inlineStr">
        <is>
          <t>Дневники для школы</t>
        </is>
      </c>
      <c r="C625" s="2" t="inlineStr">
        <is>
          <t>Канцелярские товары</t>
        </is>
      </c>
      <c r="D625" s="2" t="inlineStr">
        <is>
          <t>Канцелярские товары → Школьные принадлежности → Дневники для школы</t>
        </is>
      </c>
      <c r="E625" s="3" t="n">
        <v>25054206</v>
      </c>
      <c r="F625" s="3" t="n">
        <v>29796</v>
      </c>
      <c r="G625" s="3">
        <f>IFERROR(E625/F625,0)</f>
        <v/>
      </c>
      <c r="H625" s="3" t="n">
        <v>557</v>
      </c>
      <c r="I625" s="2" t="n">
        <v>31</v>
      </c>
      <c r="J625" s="3">
        <f>IFERROR(E625/H625,0)</f>
        <v/>
      </c>
      <c r="K625" s="10">
        <f>E625/'По разделам'!$B$21</f>
        <v/>
      </c>
      <c r="L625" s="4">
        <f>L624+K625</f>
        <v/>
      </c>
      <c r="M625" s="2" t="inlineStr">
        <is>
          <t>04246</t>
        </is>
      </c>
      <c r="N625" s="2" t="inlineStr">
        <is>
          <t>https://app.redstat.kz/niche/04246?event_date=2026-08-01</t>
        </is>
      </c>
      <c r="O625" s="2" t="inlineStr">
        <is>
          <t>https://kaspi.kz/shop/c/student%20record%20books/</t>
        </is>
      </c>
    </row>
    <row r="626">
      <c r="A626" s="2" t="n">
        <v>625</v>
      </c>
      <c r="B626" s="2" t="inlineStr">
        <is>
          <t>Комплектующие ГБО</t>
        </is>
      </c>
      <c r="C626" s="2" t="inlineStr">
        <is>
          <t>Автотовары</t>
        </is>
      </c>
      <c r="D626" s="2" t="inlineStr">
        <is>
          <t>Автотовары → ГБО → Комплектующие ГБО</t>
        </is>
      </c>
      <c r="E626" s="3" t="n">
        <v>25042057</v>
      </c>
      <c r="F626" s="3" t="n">
        <v>2108</v>
      </c>
      <c r="G626" s="3">
        <f>IFERROR(E626/F626,0)</f>
        <v/>
      </c>
      <c r="H626" s="3" t="n">
        <v>305</v>
      </c>
      <c r="I626" s="2" t="n">
        <v>32</v>
      </c>
      <c r="J626" s="3">
        <f>IFERROR(E626/H626,0)</f>
        <v/>
      </c>
      <c r="K626" s="10">
        <f>E626/'По разделам'!$B$21</f>
        <v/>
      </c>
      <c r="L626" s="4">
        <f>L625+K626</f>
        <v/>
      </c>
      <c r="M626" s="2" t="inlineStr">
        <is>
          <t>04104</t>
        </is>
      </c>
      <c r="N626" s="2" t="inlineStr">
        <is>
          <t>https://app.redstat.kz/niche/04104?event_date=2026-08-01</t>
        </is>
      </c>
      <c r="O626" s="2" t="inlineStr">
        <is>
          <t>https://kaspi.kz/shop/c/gbo%20components/</t>
        </is>
      </c>
    </row>
    <row r="627">
      <c r="A627" s="2" t="n">
        <v>626</v>
      </c>
      <c r="B627" s="2" t="inlineStr">
        <is>
          <t>Спортивные костюмы для девочек</t>
        </is>
      </c>
      <c r="C627" s="2" t="inlineStr">
        <is>
          <t>Одежда</t>
        </is>
      </c>
      <c r="D627" s="2" t="inlineStr">
        <is>
          <t>Одежда → Девочкам → Спортивные костюмы для девочек</t>
        </is>
      </c>
      <c r="E627" s="3" t="n">
        <v>24937547</v>
      </c>
      <c r="F627" s="3" t="n">
        <v>2375</v>
      </c>
      <c r="G627" s="3">
        <f>IFERROR(E627/F627,0)</f>
        <v/>
      </c>
      <c r="H627" s="3" t="n">
        <v>709</v>
      </c>
      <c r="I627" s="2" t="n">
        <v>68</v>
      </c>
      <c r="J627" s="3">
        <f>IFERROR(E627/H627,0)</f>
        <v/>
      </c>
      <c r="K627" s="10">
        <f>E627/'По разделам'!$B$21</f>
        <v/>
      </c>
      <c r="L627" s="4">
        <f>L626+K627</f>
        <v/>
      </c>
      <c r="M627" s="2" t="inlineStr">
        <is>
          <t>01225</t>
        </is>
      </c>
      <c r="N627" s="2" t="inlineStr">
        <is>
          <t>https://app.redstat.kz/niche/01225?event_date=2026-08-01</t>
        </is>
      </c>
      <c r="O627" s="2" t="inlineStr">
        <is>
          <t>https://kaspi.kz/shop/c/girl%20sport%20suits/</t>
        </is>
      </c>
    </row>
    <row r="628">
      <c r="A628" s="2" t="n">
        <v>627</v>
      </c>
      <c r="B628" s="2" t="inlineStr">
        <is>
          <t>Массажные валики и ролики</t>
        </is>
      </c>
      <c r="C628" s="2" t="inlineStr">
        <is>
          <t>Спорт, туризм</t>
        </is>
      </c>
      <c r="D628" s="2" t="inlineStr">
        <is>
          <t>Спорт, туризм → Товары для фитнеса → Массажные валики и ролики</t>
        </is>
      </c>
      <c r="E628" s="3" t="n">
        <v>24680868</v>
      </c>
      <c r="F628" s="3" t="n">
        <v>11950</v>
      </c>
      <c r="G628" s="3">
        <f>IFERROR(E628/F628,0)</f>
        <v/>
      </c>
      <c r="H628" s="3" t="n">
        <v>722</v>
      </c>
      <c r="I628" s="2" t="n">
        <v>113</v>
      </c>
      <c r="J628" s="3">
        <f>IFERROR(E628/H628,0)</f>
        <v/>
      </c>
      <c r="K628" s="10">
        <f>E628/'По разделам'!$B$21</f>
        <v/>
      </c>
      <c r="L628" s="4">
        <f>L627+K628</f>
        <v/>
      </c>
      <c r="M628" s="2" t="inlineStr">
        <is>
          <t>01668</t>
        </is>
      </c>
      <c r="N628" s="2" t="inlineStr">
        <is>
          <t>https://app.redstat.kz/niche/01668?event_date=2026-08-01</t>
        </is>
      </c>
      <c r="O628" s="2" t="inlineStr">
        <is>
          <t>https://kaspi.kz/shop/c/foam%20rollers/</t>
        </is>
      </c>
    </row>
    <row r="629">
      <c r="A629" s="2" t="n">
        <v>628</v>
      </c>
      <c r="B629" s="2" t="inlineStr">
        <is>
          <t>Ювелирные часы</t>
        </is>
      </c>
      <c r="C629" s="2" t="inlineStr">
        <is>
          <t>Аксессуары</t>
        </is>
      </c>
      <c r="D629" s="2" t="inlineStr">
        <is>
          <t>Аксессуары → Часы → Ювелирные часы</t>
        </is>
      </c>
      <c r="E629" s="3" t="n">
        <v>24639931</v>
      </c>
      <c r="F629" s="3" t="n">
        <v>59</v>
      </c>
      <c r="G629" s="3">
        <f>IFERROR(E629/F629,0)</f>
        <v/>
      </c>
      <c r="H629" s="3" t="n">
        <v>53</v>
      </c>
      <c r="I629" s="2" t="n">
        <v>14</v>
      </c>
      <c r="J629" s="3">
        <f>IFERROR(E629/H629,0)</f>
        <v/>
      </c>
      <c r="K629" s="10">
        <f>E629/'По разделам'!$B$21</f>
        <v/>
      </c>
      <c r="L629" s="4">
        <f>L628+K629</f>
        <v/>
      </c>
      <c r="M629" s="2" t="inlineStr">
        <is>
          <t>05040</t>
        </is>
      </c>
      <c r="N629" s="2" t="inlineStr">
        <is>
          <t>https://app.redstat.kz/niche/05040?event_date=2026-08-01</t>
        </is>
      </c>
      <c r="O629" s="2" t="inlineStr">
        <is>
          <t>https://kaspi.kz/shop/c/jewelry%20watches/</t>
        </is>
      </c>
    </row>
    <row r="630">
      <c r="A630" s="2" t="n">
        <v>629</v>
      </c>
      <c r="B630" s="2" t="inlineStr">
        <is>
          <t>Неттопы</t>
        </is>
      </c>
      <c r="C630" s="2" t="inlineStr">
        <is>
          <t>Компьютеры</t>
        </is>
      </c>
      <c r="D630" s="2" t="inlineStr">
        <is>
          <t>Компьютеры → Настольные компьютеры → Неттопы</t>
        </is>
      </c>
      <c r="E630" s="3" t="n">
        <v>24435728</v>
      </c>
      <c r="F630" s="3" t="n">
        <v>56</v>
      </c>
      <c r="G630" s="3">
        <f>IFERROR(E630/F630,0)</f>
        <v/>
      </c>
      <c r="H630" s="3" t="n">
        <v>17</v>
      </c>
      <c r="I630" s="2" t="n">
        <v>11</v>
      </c>
      <c r="J630" s="3">
        <f>IFERROR(E630/H630,0)</f>
        <v/>
      </c>
      <c r="K630" s="10">
        <f>E630/'По разделам'!$B$21</f>
        <v/>
      </c>
      <c r="L630" s="4">
        <f>L629+K630</f>
        <v/>
      </c>
      <c r="M630" s="2" t="inlineStr">
        <is>
          <t>05417</t>
        </is>
      </c>
      <c r="N630" s="2" t="inlineStr">
        <is>
          <t>https://app.redstat.kz/niche/05417?event_date=2026-08-01</t>
        </is>
      </c>
      <c r="O630" s="2" t="inlineStr">
        <is>
          <t>https://kaspi.kz/shop/c/nettops/</t>
        </is>
      </c>
    </row>
    <row r="631">
      <c r="A631" s="2" t="n">
        <v>630</v>
      </c>
      <c r="B631" s="2" t="inlineStr">
        <is>
          <t>Когтеточки для кошек</t>
        </is>
      </c>
      <c r="C631" s="2" t="inlineStr">
        <is>
          <t>Товары для животных</t>
        </is>
      </c>
      <c r="D631" s="2" t="inlineStr">
        <is>
          <t>Товары для животных → Для кошек → Когтеточки для кошек</t>
        </is>
      </c>
      <c r="E631" s="3" t="n">
        <v>24340768</v>
      </c>
      <c r="F631" s="3" t="n">
        <v>5063</v>
      </c>
      <c r="G631" s="3">
        <f>IFERROR(E631/F631,0)</f>
        <v/>
      </c>
      <c r="H631" s="3" t="n">
        <v>333</v>
      </c>
      <c r="I631" s="2" t="n">
        <v>71</v>
      </c>
      <c r="J631" s="3">
        <f>IFERROR(E631/H631,0)</f>
        <v/>
      </c>
      <c r="K631" s="10">
        <f>E631/'По разделам'!$B$21</f>
        <v/>
      </c>
      <c r="L631" s="4">
        <f>L630+K631</f>
        <v/>
      </c>
      <c r="M631" s="2" t="inlineStr">
        <is>
          <t>01566</t>
        </is>
      </c>
      <c r="N631" s="2" t="inlineStr">
        <is>
          <t>https://app.redstat.kz/niche/01566?event_date=2026-08-01</t>
        </is>
      </c>
      <c r="O631" s="2" t="inlineStr">
        <is>
          <t>https://kaspi.kz/shop/c/cat%20scratching%20pads/</t>
        </is>
      </c>
    </row>
    <row r="632">
      <c r="A632" s="2" t="n">
        <v>631</v>
      </c>
      <c r="B632" s="2" t="inlineStr">
        <is>
          <t>Ополаскиватели для полости рта, воск для брекетов</t>
        </is>
      </c>
      <c r="C632" s="2" t="inlineStr">
        <is>
          <t>Красота и здоровье</t>
        </is>
      </c>
      <c r="D632" s="2" t="inlineStr">
        <is>
          <t>Красота и здоровье → Уход за полостью рта → Ополаскиватели для полости рта, воск для брекетов</t>
        </is>
      </c>
      <c r="E632" s="3" t="n">
        <v>23935448</v>
      </c>
      <c r="F632" s="3" t="n">
        <v>6658</v>
      </c>
      <c r="G632" s="3">
        <f>IFERROR(E632/F632,0)</f>
        <v/>
      </c>
      <c r="H632" s="3" t="n">
        <v>305</v>
      </c>
      <c r="I632" s="2" t="n">
        <v>87</v>
      </c>
      <c r="J632" s="3">
        <f>IFERROR(E632/H632,0)</f>
        <v/>
      </c>
      <c r="K632" s="10">
        <f>E632/'По разделам'!$B$21</f>
        <v/>
      </c>
      <c r="L632" s="4">
        <f>L631+K632</f>
        <v/>
      </c>
      <c r="M632" s="2" t="inlineStr">
        <is>
          <t>01776</t>
        </is>
      </c>
      <c r="N632" s="2" t="inlineStr">
        <is>
          <t>https://app.redstat.kz/niche/01776?event_date=2026-08-01</t>
        </is>
      </c>
      <c r="O632" s="2" t="inlineStr">
        <is>
          <t>https://kaspi.kz/shop/c/mouthwashes/</t>
        </is>
      </c>
    </row>
    <row r="633">
      <c r="A633" s="2" t="n">
        <v>632</v>
      </c>
      <c r="B633" s="2" t="inlineStr">
        <is>
          <t>Канцелярский клей</t>
        </is>
      </c>
      <c r="C633" s="2" t="inlineStr">
        <is>
          <t>Канцелярские товары</t>
        </is>
      </c>
      <c r="D633" s="2" t="inlineStr">
        <is>
          <t>Канцелярские товары → Офисные принадлежности → Канцелярский клей</t>
        </is>
      </c>
      <c r="E633" s="3" t="n">
        <v>23804603</v>
      </c>
      <c r="F633" s="3" t="n">
        <v>54336</v>
      </c>
      <c r="G633" s="3">
        <f>IFERROR(E633/F633,0)</f>
        <v/>
      </c>
      <c r="H633" s="3" t="n">
        <v>528</v>
      </c>
      <c r="I633" s="2" t="n">
        <v>74</v>
      </c>
      <c r="J633" s="3">
        <f>IFERROR(E633/H633,0)</f>
        <v/>
      </c>
      <c r="K633" s="10">
        <f>E633/'По разделам'!$B$21</f>
        <v/>
      </c>
      <c r="L633" s="4">
        <f>L632+K633</f>
        <v/>
      </c>
      <c r="M633" s="2" t="inlineStr">
        <is>
          <t>04262</t>
        </is>
      </c>
      <c r="N633" s="2" t="inlineStr">
        <is>
          <t>https://app.redstat.kz/niche/04262?event_date=2026-08-01</t>
        </is>
      </c>
      <c r="O633" s="2" t="inlineStr">
        <is>
          <t>https://kaspi.kz/shop/c/glue/</t>
        </is>
      </c>
    </row>
    <row r="634">
      <c r="A634" s="2" t="n">
        <v>633</v>
      </c>
      <c r="B634" s="2" t="inlineStr">
        <is>
          <t>Плитка</t>
        </is>
      </c>
      <c r="C634" s="2" t="inlineStr">
        <is>
          <t>Строительство, ремонт</t>
        </is>
      </c>
      <c r="D634" s="2" t="inlineStr">
        <is>
          <t>Строительство, ремонт → Отделочные материалы → Плитка → Плитка</t>
        </is>
      </c>
      <c r="E634" s="3" t="n">
        <v>23723602</v>
      </c>
      <c r="F634" s="3" t="n">
        <v>528</v>
      </c>
      <c r="G634" s="3">
        <f>IFERROR(E634/F634,0)</f>
        <v/>
      </c>
      <c r="H634" s="3" t="n">
        <v>258</v>
      </c>
      <c r="I634" s="2" t="n">
        <v>35</v>
      </c>
      <c r="J634" s="3">
        <f>IFERROR(E634/H634,0)</f>
        <v/>
      </c>
      <c r="K634" s="10">
        <f>E634/'По разделам'!$B$21</f>
        <v/>
      </c>
      <c r="L634" s="4">
        <f>L633+K634</f>
        <v/>
      </c>
      <c r="M634" s="2" t="inlineStr">
        <is>
          <t>q25206af9a380ee7</t>
        </is>
      </c>
      <c r="N634" s="2" t="inlineStr">
        <is>
          <t>https://app.redstat.kz/niche/q25206af9a380ee7?event_date=2026-08-01</t>
        </is>
      </c>
      <c r="O634" s="2" t="inlineStr"/>
    </row>
    <row r="635">
      <c r="A635" s="2" t="n">
        <v>634</v>
      </c>
      <c r="B635" s="2" t="inlineStr">
        <is>
          <t>Стерилизаторы маникюрных инструментов</t>
        </is>
      </c>
      <c r="C635" s="2" t="inlineStr">
        <is>
          <t>Красота и здоровье</t>
        </is>
      </c>
      <c r="D635" s="2" t="inlineStr">
        <is>
          <t>Красота и здоровье → Для маникюра и педикюра → Стерилизаторы маникюрных инструментов</t>
        </is>
      </c>
      <c r="E635" s="3" t="n">
        <v>23590090</v>
      </c>
      <c r="F635" s="3" t="n">
        <v>777</v>
      </c>
      <c r="G635" s="3">
        <f>IFERROR(E635/F635,0)</f>
        <v/>
      </c>
      <c r="H635" s="3" t="n">
        <v>79</v>
      </c>
      <c r="I635" s="2" t="n">
        <v>26</v>
      </c>
      <c r="J635" s="3">
        <f>IFERROR(E635/H635,0)</f>
        <v/>
      </c>
      <c r="K635" s="10">
        <f>E635/'По разделам'!$B$21</f>
        <v/>
      </c>
      <c r="L635" s="4">
        <f>L634+K635</f>
        <v/>
      </c>
      <c r="M635" s="2" t="inlineStr">
        <is>
          <t>01360</t>
        </is>
      </c>
      <c r="N635" s="2" t="inlineStr">
        <is>
          <t>https://app.redstat.kz/niche/01360?event_date=2026-08-01</t>
        </is>
      </c>
      <c r="O635" s="2" t="inlineStr">
        <is>
          <t>https://kaspi.kz/shop/c/sterilizers%20for%20manicure%20tools/</t>
        </is>
      </c>
    </row>
    <row r="636">
      <c r="A636" s="2" t="n">
        <v>635</v>
      </c>
      <c r="B636" s="2" t="inlineStr">
        <is>
          <t>Бизнес-литература</t>
        </is>
      </c>
      <c r="C636" s="2" t="inlineStr">
        <is>
          <t>Досуг, книги</t>
        </is>
      </c>
      <c r="D636" s="2" t="inlineStr">
        <is>
          <t>Досуг, книги → Книги → Бизнес-литература</t>
        </is>
      </c>
      <c r="E636" s="3" t="n">
        <v>23503475</v>
      </c>
      <c r="F636" s="3" t="n">
        <v>3798</v>
      </c>
      <c r="G636" s="3">
        <f>IFERROR(E636/F636,0)</f>
        <v/>
      </c>
      <c r="H636" s="3" t="n">
        <v>680</v>
      </c>
      <c r="I636" s="2" t="n">
        <v>78</v>
      </c>
      <c r="J636" s="3">
        <f>IFERROR(E636/H636,0)</f>
        <v/>
      </c>
      <c r="K636" s="10">
        <f>E636/'По разделам'!$B$21</f>
        <v/>
      </c>
      <c r="L636" s="4">
        <f>L635+K636</f>
        <v/>
      </c>
      <c r="M636" s="2" t="inlineStr">
        <is>
          <t>00739</t>
        </is>
      </c>
      <c r="N636" s="2" t="inlineStr">
        <is>
          <t>https://app.redstat.kz/niche/00739?event_date=2026-08-01</t>
        </is>
      </c>
      <c r="O636" s="2" t="inlineStr">
        <is>
          <t>https://kaspi.kz/shop/c/business%20literature/</t>
        </is>
      </c>
    </row>
    <row r="637">
      <c r="A637" s="2" t="n">
        <v>636</v>
      </c>
      <c r="B637" s="2" t="inlineStr">
        <is>
          <t>Мужские костюмы и пиджаки</t>
        </is>
      </c>
      <c r="C637" s="2" t="inlineStr">
        <is>
          <t>Одежда</t>
        </is>
      </c>
      <c r="D637" s="2" t="inlineStr">
        <is>
          <t>Одежда → Мужчинам → Мужские костюмы и пиджаки → Мужские костюмы и пиджаки</t>
        </is>
      </c>
      <c r="E637" s="3" t="n">
        <v>23441677</v>
      </c>
      <c r="F637" s="3" t="n">
        <v>630</v>
      </c>
      <c r="G637" s="3">
        <f>IFERROR(E637/F637,0)</f>
        <v/>
      </c>
      <c r="H637" s="3" t="n">
        <v>398</v>
      </c>
      <c r="I637" s="2" t="n">
        <v>70</v>
      </c>
      <c r="J637" s="3">
        <f>IFERROR(E637/H637,0)</f>
        <v/>
      </c>
      <c r="K637" s="10">
        <f>E637/'По разделам'!$B$21</f>
        <v/>
      </c>
      <c r="L637" s="4">
        <f>L636+K637</f>
        <v/>
      </c>
      <c r="M637" s="2" t="inlineStr">
        <is>
          <t>qaeb708aedc97a45</t>
        </is>
      </c>
      <c r="N637" s="2" t="inlineStr">
        <is>
          <t>https://app.redstat.kz/niche/qaeb708aedc97a45?event_date=2026-08-01</t>
        </is>
      </c>
      <c r="O637" s="2" t="inlineStr"/>
    </row>
    <row r="638">
      <c r="A638" s="2" t="n">
        <v>637</v>
      </c>
      <c r="B638" s="2" t="inlineStr">
        <is>
          <t>Снегоуборочный инвентарь</t>
        </is>
      </c>
      <c r="C638" s="2" t="inlineStr">
        <is>
          <t>Товары для дома и дачи</t>
        </is>
      </c>
      <c r="D638" s="2" t="inlineStr">
        <is>
          <t>Товары для дома и дачи → Дача, сад и огород → Снегоуборочный инвентарь → Снегоуборочный инвентарь</t>
        </is>
      </c>
      <c r="E638" s="3" t="n">
        <v>23304293</v>
      </c>
      <c r="F638" s="3" t="n">
        <v>212</v>
      </c>
      <c r="G638" s="3">
        <f>IFERROR(E638/F638,0)</f>
        <v/>
      </c>
      <c r="H638" s="3" t="n">
        <v>114</v>
      </c>
      <c r="I638" s="2" t="n">
        <v>38</v>
      </c>
      <c r="J638" s="3">
        <f>IFERROR(E638/H638,0)</f>
        <v/>
      </c>
      <c r="K638" s="10">
        <f>E638/'По разделам'!$B$21</f>
        <v/>
      </c>
      <c r="L638" s="4">
        <f>L637+K638</f>
        <v/>
      </c>
      <c r="M638" s="2" t="inlineStr">
        <is>
          <t>q3a5871570e86b16</t>
        </is>
      </c>
      <c r="N638" s="2" t="inlineStr">
        <is>
          <t>https://app.redstat.kz/niche/q3a5871570e86b16?event_date=2026-08-01</t>
        </is>
      </c>
      <c r="O638" s="2" t="inlineStr"/>
    </row>
    <row r="639">
      <c r="A639" s="2" t="n">
        <v>638</v>
      </c>
      <c r="B639" s="2" t="inlineStr">
        <is>
          <t>Женские жилеты</t>
        </is>
      </c>
      <c r="C639" s="2" t="inlineStr">
        <is>
          <t>Одежда</t>
        </is>
      </c>
      <c r="D639" s="2" t="inlineStr">
        <is>
          <t>Одежда → Женщинам → Женские жилеты</t>
        </is>
      </c>
      <c r="E639" s="3" t="n">
        <v>23184796</v>
      </c>
      <c r="F639" s="3" t="n">
        <v>4211</v>
      </c>
      <c r="G639" s="3">
        <f>IFERROR(E639/F639,0)</f>
        <v/>
      </c>
      <c r="H639" s="3" t="n">
        <v>477</v>
      </c>
      <c r="I639" s="2" t="n">
        <v>88</v>
      </c>
      <c r="J639" s="3">
        <f>IFERROR(E639/H639,0)</f>
        <v/>
      </c>
      <c r="K639" s="10">
        <f>E639/'По разделам'!$B$21</f>
        <v/>
      </c>
      <c r="L639" s="4">
        <f>L638+K639</f>
        <v/>
      </c>
      <c r="M639" s="2" t="inlineStr">
        <is>
          <t>q72ab02680d19f86</t>
        </is>
      </c>
      <c r="N639" s="2" t="inlineStr">
        <is>
          <t>https://app.redstat.kz/niche/q72ab02680d19f86?event_date=2026-08-01</t>
        </is>
      </c>
      <c r="O639" s="2" t="inlineStr"/>
    </row>
    <row r="640">
      <c r="A640" s="2" t="n">
        <v>639</v>
      </c>
      <c r="B640" s="2" t="inlineStr">
        <is>
          <t>Средства против целлюлита и растяжек</t>
        </is>
      </c>
      <c r="C640" s="2" t="inlineStr">
        <is>
          <t>Красота и здоровье</t>
        </is>
      </c>
      <c r="D640" s="2" t="inlineStr">
        <is>
          <t>Красота и здоровье → Уход за телом → Средства против целлюлита и растяжек</t>
        </is>
      </c>
      <c r="E640" s="3" t="n">
        <v>23088328</v>
      </c>
      <c r="F640" s="3" t="n">
        <v>3686</v>
      </c>
      <c r="G640" s="3">
        <f>IFERROR(E640/F640,0)</f>
        <v/>
      </c>
      <c r="H640" s="3" t="n">
        <v>224</v>
      </c>
      <c r="I640" s="2" t="n">
        <v>80</v>
      </c>
      <c r="J640" s="3">
        <f>IFERROR(E640/H640,0)</f>
        <v/>
      </c>
      <c r="K640" s="10">
        <f>E640/'По разделам'!$B$21</f>
        <v/>
      </c>
      <c r="L640" s="4">
        <f>L639+K640</f>
        <v/>
      </c>
      <c r="M640" s="2" t="inlineStr">
        <is>
          <t>05131</t>
        </is>
      </c>
      <c r="N640" s="2" t="inlineStr">
        <is>
          <t>https://app.redstat.kz/niche/05131?event_date=2026-08-01</t>
        </is>
      </c>
      <c r="O640" s="2" t="inlineStr">
        <is>
          <t>https://kaspi.kz/shop/c/anti-cellulite%20products/</t>
        </is>
      </c>
    </row>
    <row r="641">
      <c r="A641" s="2" t="n">
        <v>640</v>
      </c>
      <c r="B641" s="2" t="inlineStr">
        <is>
          <t>Автопылесосы</t>
        </is>
      </c>
      <c r="C641" s="2" t="inlineStr">
        <is>
          <t>Автотовары</t>
        </is>
      </c>
      <c r="D641" s="2" t="inlineStr">
        <is>
          <t>Автотовары → Автомобильное оборудование → Автопылесосы</t>
        </is>
      </c>
      <c r="E641" s="3" t="n">
        <v>23075936</v>
      </c>
      <c r="F641" s="3" t="n">
        <v>2415</v>
      </c>
      <c r="G641" s="3">
        <f>IFERROR(E641/F641,0)</f>
        <v/>
      </c>
      <c r="H641" s="3" t="n">
        <v>143</v>
      </c>
      <c r="I641" s="2" t="n">
        <v>73</v>
      </c>
      <c r="J641" s="3">
        <f>IFERROR(E641/H641,0)</f>
        <v/>
      </c>
      <c r="K641" s="10">
        <f>E641/'По разделам'!$B$21</f>
        <v/>
      </c>
      <c r="L641" s="4">
        <f>L640+K641</f>
        <v/>
      </c>
      <c r="M641" s="2" t="inlineStr">
        <is>
          <t>00992</t>
        </is>
      </c>
      <c r="N641" s="2" t="inlineStr">
        <is>
          <t>https://app.redstat.kz/niche/00992?event_date=2026-08-01</t>
        </is>
      </c>
      <c r="O641" s="2" t="inlineStr">
        <is>
          <t>https://kaspi.kz/shop/c/car%20vacuum%20cleaners/</t>
        </is>
      </c>
    </row>
    <row r="642">
      <c r="A642" s="2" t="n">
        <v>641</v>
      </c>
      <c r="B642" s="2" t="inlineStr">
        <is>
          <t>Верхняя одежда для девочек</t>
        </is>
      </c>
      <c r="C642" s="2" t="inlineStr">
        <is>
          <t>Одежда</t>
        </is>
      </c>
      <c r="D642" s="2" t="inlineStr">
        <is>
          <t>Одежда → Девочкам → Верхняя одежда для девочек → Верхняя одежда для девочек</t>
        </is>
      </c>
      <c r="E642" s="3" t="n">
        <v>22908563</v>
      </c>
      <c r="F642" s="3" t="n">
        <v>2145</v>
      </c>
      <c r="G642" s="3">
        <f>IFERROR(E642/F642,0)</f>
        <v/>
      </c>
      <c r="H642" s="3" t="n">
        <v>833</v>
      </c>
      <c r="I642" s="2" t="n">
        <v>114</v>
      </c>
      <c r="J642" s="3">
        <f>IFERROR(E642/H642,0)</f>
        <v/>
      </c>
      <c r="K642" s="10">
        <f>E642/'По разделам'!$B$21</f>
        <v/>
      </c>
      <c r="L642" s="4">
        <f>L641+K642</f>
        <v/>
      </c>
      <c r="M642" s="2" t="inlineStr">
        <is>
          <t>q3972b0f6304b774</t>
        </is>
      </c>
      <c r="N642" s="2" t="inlineStr">
        <is>
          <t>https://app.redstat.kz/niche/q3972b0f6304b774?event_date=2026-08-01</t>
        </is>
      </c>
      <c r="O642" s="2" t="inlineStr"/>
    </row>
    <row r="643">
      <c r="A643" s="2" t="n">
        <v>642</v>
      </c>
      <c r="B643" s="2" t="inlineStr">
        <is>
          <t>Сифоны и трапы</t>
        </is>
      </c>
      <c r="C643" s="2" t="inlineStr">
        <is>
          <t>Строительство, ремонт</t>
        </is>
      </c>
      <c r="D643" s="2" t="inlineStr">
        <is>
          <t>Строительство, ремонт → Сантехника → Сифоны и трапы → Сифоны и трапы</t>
        </is>
      </c>
      <c r="E643" s="3" t="n">
        <v>22891704</v>
      </c>
      <c r="F643" s="3" t="n">
        <v>2895</v>
      </c>
      <c r="G643" s="3">
        <f>IFERROR(E643/F643,0)</f>
        <v/>
      </c>
      <c r="H643" s="3" t="n">
        <v>435</v>
      </c>
      <c r="I643" s="2" t="n">
        <v>73</v>
      </c>
      <c r="J643" s="3">
        <f>IFERROR(E643/H643,0)</f>
        <v/>
      </c>
      <c r="K643" s="10">
        <f>E643/'По разделам'!$B$21</f>
        <v/>
      </c>
      <c r="L643" s="4">
        <f>L642+K643</f>
        <v/>
      </c>
      <c r="M643" s="2" t="inlineStr">
        <is>
          <t>q043edb1c860f841</t>
        </is>
      </c>
      <c r="N643" s="2" t="inlineStr">
        <is>
          <t>https://app.redstat.kz/niche/q043edb1c860f841?event_date=2026-08-01</t>
        </is>
      </c>
      <c r="O643" s="2" t="inlineStr"/>
    </row>
    <row r="644">
      <c r="A644" s="2" t="n">
        <v>643</v>
      </c>
      <c r="B644" s="2" t="inlineStr">
        <is>
          <t>Кольца бижутерные</t>
        </is>
      </c>
      <c r="C644" s="2" t="inlineStr">
        <is>
          <t>Украшения</t>
        </is>
      </c>
      <c r="D644" s="2" t="inlineStr">
        <is>
          <t>Украшения → Кольца → Кольца бижутерные</t>
        </is>
      </c>
      <c r="E644" s="3" t="n">
        <v>22777104</v>
      </c>
      <c r="F644" s="3" t="n">
        <v>33409</v>
      </c>
      <c r="G644" s="3">
        <f>IFERROR(E644/F644,0)</f>
        <v/>
      </c>
      <c r="H644" s="3" t="n">
        <v>1554</v>
      </c>
      <c r="I644" s="2" t="n">
        <v>126</v>
      </c>
      <c r="J644" s="3">
        <f>IFERROR(E644/H644,0)</f>
        <v/>
      </c>
      <c r="K644" s="10">
        <f>E644/'По разделам'!$B$21</f>
        <v/>
      </c>
      <c r="L644" s="4">
        <f>L643+K644</f>
        <v/>
      </c>
      <c r="M644" s="2" t="inlineStr">
        <is>
          <t>01744</t>
        </is>
      </c>
      <c r="N644" s="2" t="inlineStr">
        <is>
          <t>https://app.redstat.kz/niche/01744?event_date=2026-08-01</t>
        </is>
      </c>
      <c r="O644" s="2" t="inlineStr">
        <is>
          <t>https://kaspi.kz/shop/c/imitation%20rings/</t>
        </is>
      </c>
    </row>
    <row r="645">
      <c r="A645" s="2" t="n">
        <v>644</v>
      </c>
      <c r="B645" s="2" t="inlineStr">
        <is>
          <t>Мотошины</t>
        </is>
      </c>
      <c r="C645" s="2" t="inlineStr">
        <is>
          <t>Автотовары</t>
        </is>
      </c>
      <c r="D645" s="2" t="inlineStr">
        <is>
          <t>Автотовары → Шины → Мотошины</t>
        </is>
      </c>
      <c r="E645" s="3" t="n">
        <v>22756001</v>
      </c>
      <c r="F645" s="3" t="n">
        <v>528</v>
      </c>
      <c r="G645" s="3">
        <f>IFERROR(E645/F645,0)</f>
        <v/>
      </c>
      <c r="H645" s="3" t="n">
        <v>210</v>
      </c>
      <c r="I645" s="2" t="n">
        <v>27</v>
      </c>
      <c r="J645" s="3">
        <f>IFERROR(E645/H645,0)</f>
        <v/>
      </c>
      <c r="K645" s="10">
        <f>E645/'По разделам'!$B$21</f>
        <v/>
      </c>
      <c r="L645" s="4">
        <f>L644+K645</f>
        <v/>
      </c>
      <c r="M645" s="2" t="inlineStr">
        <is>
          <t>02639</t>
        </is>
      </c>
      <c r="N645" s="2" t="inlineStr">
        <is>
          <t>https://app.redstat.kz/niche/02639?event_date=2026-08-01</t>
        </is>
      </c>
      <c r="O645" s="2" t="inlineStr">
        <is>
          <t>https://kaspi.kz/shop/c/motorcycle%20tires/</t>
        </is>
      </c>
    </row>
    <row r="646">
      <c r="A646" s="2" t="n">
        <v>645</v>
      </c>
      <c r="B646" s="2" t="inlineStr">
        <is>
          <t>Футболки и майки для девочек</t>
        </is>
      </c>
      <c r="C646" s="2" t="inlineStr">
        <is>
          <t>Одежда</t>
        </is>
      </c>
      <c r="D646" s="2" t="inlineStr">
        <is>
          <t>Одежда → Девочкам → Футболки и майки для девочек</t>
        </is>
      </c>
      <c r="E646" s="3" t="n">
        <v>22585990</v>
      </c>
      <c r="F646" s="3" t="n">
        <v>12204</v>
      </c>
      <c r="G646" s="3">
        <f>IFERROR(E646/F646,0)</f>
        <v/>
      </c>
      <c r="H646" s="3" t="n">
        <v>1857</v>
      </c>
      <c r="I646" s="2" t="n">
        <v>108</v>
      </c>
      <c r="J646" s="3">
        <f>IFERROR(E646/H646,0)</f>
        <v/>
      </c>
      <c r="K646" s="10">
        <f>E646/'По разделам'!$B$21</f>
        <v/>
      </c>
      <c r="L646" s="4">
        <f>L645+K646</f>
        <v/>
      </c>
      <c r="M646" s="2" t="inlineStr">
        <is>
          <t>02394</t>
        </is>
      </c>
      <c r="N646" s="2" t="inlineStr">
        <is>
          <t>https://app.redstat.kz/niche/02394?event_date=2026-08-01</t>
        </is>
      </c>
      <c r="O646" s="2" t="inlineStr">
        <is>
          <t>https://kaspi.kz/shop/c/girl%20t-shirts/</t>
        </is>
      </c>
    </row>
    <row r="647">
      <c r="A647" s="2" t="n">
        <v>646</v>
      </c>
      <c r="B647" s="2" t="inlineStr">
        <is>
          <t>Фигурки персонажей</t>
        </is>
      </c>
      <c r="C647" s="2" t="inlineStr">
        <is>
          <t>Детские товары</t>
        </is>
      </c>
      <c r="D647" s="2" t="inlineStr">
        <is>
          <t>Детские товары → Игрушки → Фигурки персонажей</t>
        </is>
      </c>
      <c r="E647" s="3" t="n">
        <v>22567838</v>
      </c>
      <c r="F647" s="3" t="n">
        <v>3770</v>
      </c>
      <c r="G647" s="3">
        <f>IFERROR(E647/F647,0)</f>
        <v/>
      </c>
      <c r="H647" s="3" t="n">
        <v>924</v>
      </c>
      <c r="I647" s="2" t="n">
        <v>122</v>
      </c>
      <c r="J647" s="3">
        <f>IFERROR(E647/H647,0)</f>
        <v/>
      </c>
      <c r="K647" s="10">
        <f>E647/'По разделам'!$B$21</f>
        <v/>
      </c>
      <c r="L647" s="4">
        <f>L646+K647</f>
        <v/>
      </c>
      <c r="M647" s="2" t="inlineStr">
        <is>
          <t>01441</t>
        </is>
      </c>
      <c r="N647" s="2" t="inlineStr">
        <is>
          <t>https://app.redstat.kz/niche/01441?event_date=2026-08-01</t>
        </is>
      </c>
      <c r="O647" s="2" t="inlineStr">
        <is>
          <t>https://kaspi.kz/shop/c/toy%20figures/</t>
        </is>
      </c>
    </row>
    <row r="648">
      <c r="A648" s="2" t="n">
        <v>647</v>
      </c>
      <c r="B648" s="2" t="inlineStr">
        <is>
          <t>Перощипальные машины</t>
        </is>
      </c>
      <c r="C648" s="2" t="inlineStr">
        <is>
          <t>Товары для животных</t>
        </is>
      </c>
      <c r="D648" s="2" t="inlineStr">
        <is>
          <t>Товары для животных → Для сельскохозяйственных животных → Перощипальные машины</t>
        </is>
      </c>
      <c r="E648" s="3" t="n">
        <v>22482557</v>
      </c>
      <c r="F648" s="3" t="n">
        <v>396</v>
      </c>
      <c r="G648" s="3">
        <f>IFERROR(E648/F648,0)</f>
        <v/>
      </c>
      <c r="H648" s="3" t="n">
        <v>40</v>
      </c>
      <c r="I648" s="2" t="n">
        <v>10</v>
      </c>
      <c r="J648" s="3">
        <f>IFERROR(E648/H648,0)</f>
        <v/>
      </c>
      <c r="K648" s="10">
        <f>E648/'По разделам'!$B$21</f>
        <v/>
      </c>
      <c r="L648" s="4">
        <f>L647+K648</f>
        <v/>
      </c>
      <c r="M648" s="2" t="inlineStr">
        <is>
          <t>03644</t>
        </is>
      </c>
      <c r="N648" s="2" t="inlineStr">
        <is>
          <t>https://app.redstat.kz/niche/03644?event_date=2026-08-01</t>
        </is>
      </c>
      <c r="O648" s="2" t="inlineStr">
        <is>
          <t>https://kaspi.kz/shop/c/poultry%20plucking%20machines/</t>
        </is>
      </c>
    </row>
    <row r="649">
      <c r="A649" s="2" t="n">
        <v>648</v>
      </c>
      <c r="B649" s="2" t="inlineStr">
        <is>
          <t>Детские стулья и табуреты</t>
        </is>
      </c>
      <c r="C649" s="2" t="inlineStr">
        <is>
          <t>Мебель</t>
        </is>
      </c>
      <c r="D649" s="2" t="inlineStr">
        <is>
          <t>Мебель → Детская комната → Детские стулья и табуреты</t>
        </is>
      </c>
      <c r="E649" s="3" t="n">
        <v>22286214</v>
      </c>
      <c r="F649" s="3" t="n">
        <v>2259</v>
      </c>
      <c r="G649" s="3">
        <f>IFERROR(E649/F649,0)</f>
        <v/>
      </c>
      <c r="H649" s="3" t="n">
        <v>332</v>
      </c>
      <c r="I649" s="2" t="n">
        <v>67</v>
      </c>
      <c r="J649" s="3">
        <f>IFERROR(E649/H649,0)</f>
        <v/>
      </c>
      <c r="K649" s="10">
        <f>E649/'По разделам'!$B$21</f>
        <v/>
      </c>
      <c r="L649" s="4">
        <f>L648+K649</f>
        <v/>
      </c>
      <c r="M649" s="2" t="inlineStr">
        <is>
          <t>02312</t>
        </is>
      </c>
      <c r="N649" s="2" t="inlineStr">
        <is>
          <t>https://app.redstat.kz/niche/02312?event_date=2026-08-01</t>
        </is>
      </c>
      <c r="O649" s="2" t="inlineStr">
        <is>
          <t>https://kaspi.kz/shop/c/childrens%20chairs%20and%20stools/</t>
        </is>
      </c>
    </row>
    <row r="650">
      <c r="A650" s="2" t="n">
        <v>649</v>
      </c>
      <c r="B650" s="2" t="inlineStr">
        <is>
          <t>Бигуди</t>
        </is>
      </c>
      <c r="C650" s="2" t="inlineStr">
        <is>
          <t>Красота и здоровье</t>
        </is>
      </c>
      <c r="D650" s="2" t="inlineStr">
        <is>
          <t>Красота и здоровье → Уход за волосами → Бигуди</t>
        </is>
      </c>
      <c r="E650" s="3" t="n">
        <v>22192193</v>
      </c>
      <c r="F650" s="3" t="n">
        <v>15326</v>
      </c>
      <c r="G650" s="3">
        <f>IFERROR(E650/F650,0)</f>
        <v/>
      </c>
      <c r="H650" s="3" t="n">
        <v>295</v>
      </c>
      <c r="I650" s="2" t="n">
        <v>64</v>
      </c>
      <c r="J650" s="3">
        <f>IFERROR(E650/H650,0)</f>
        <v/>
      </c>
      <c r="K650" s="10">
        <f>E650/'По разделам'!$B$21</f>
        <v/>
      </c>
      <c r="L650" s="4">
        <f>L649+K650</f>
        <v/>
      </c>
      <c r="M650" s="2" t="inlineStr">
        <is>
          <t>06912</t>
        </is>
      </c>
      <c r="N650" s="2" t="inlineStr">
        <is>
          <t>https://app.redstat.kz/niche/06912?event_date=2026-08-01</t>
        </is>
      </c>
      <c r="O650" s="2" t="inlineStr">
        <is>
          <t>https://kaspi.kz/shop/c/curlers/</t>
        </is>
      </c>
    </row>
    <row r="651">
      <c r="A651" s="2" t="n">
        <v>650</v>
      </c>
      <c r="B651" s="2" t="inlineStr">
        <is>
          <t>Пигменты для перманентного макияжа и тату</t>
        </is>
      </c>
      <c r="C651" s="2" t="inlineStr">
        <is>
          <t>Красота и здоровье</t>
        </is>
      </c>
      <c r="D651" s="2" t="inlineStr">
        <is>
          <t>Красота и здоровье → Товары для тату и перманентного макияжа → Пигменты для перманентного макияжа и тату</t>
        </is>
      </c>
      <c r="E651" s="3" t="n">
        <v>22178876</v>
      </c>
      <c r="F651" s="3" t="n">
        <v>1805</v>
      </c>
      <c r="G651" s="3">
        <f>IFERROR(E651/F651,0)</f>
        <v/>
      </c>
      <c r="H651" s="3" t="n">
        <v>526</v>
      </c>
      <c r="I651" s="2" t="n">
        <v>30</v>
      </c>
      <c r="J651" s="3">
        <f>IFERROR(E651/H651,0)</f>
        <v/>
      </c>
      <c r="K651" s="10">
        <f>E651/'По разделам'!$B$21</f>
        <v/>
      </c>
      <c r="L651" s="4">
        <f>L650+K651</f>
        <v/>
      </c>
      <c r="M651" s="2" t="inlineStr">
        <is>
          <t>03822</t>
        </is>
      </c>
      <c r="N651" s="2" t="inlineStr">
        <is>
          <t>https://app.redstat.kz/niche/03822?event_date=2026-08-01</t>
        </is>
      </c>
      <c r="O651" s="2" t="inlineStr">
        <is>
          <t>https://kaspi.kz/shop/c/permanent%20makeup%20pigments/</t>
        </is>
      </c>
    </row>
    <row r="652">
      <c r="A652" s="2" t="n">
        <v>651</v>
      </c>
      <c r="B652" s="2" t="inlineStr">
        <is>
          <t>Полотенца и пеленки для животных</t>
        </is>
      </c>
      <c r="C652" s="2" t="inlineStr">
        <is>
          <t>Товары для животных</t>
        </is>
      </c>
      <c r="D652" s="2" t="inlineStr">
        <is>
          <t>Товары для животных → Гигиена и уход за животными → Полотенца и пеленки для животных</t>
        </is>
      </c>
      <c r="E652" s="3" t="n">
        <v>22108409</v>
      </c>
      <c r="F652" s="3" t="n">
        <v>5371</v>
      </c>
      <c r="G652" s="3">
        <f>IFERROR(E652/F652,0)</f>
        <v/>
      </c>
      <c r="H652" s="3" t="n">
        <v>200</v>
      </c>
      <c r="I652" s="2" t="n">
        <v>48</v>
      </c>
      <c r="J652" s="3">
        <f>IFERROR(E652/H652,0)</f>
        <v/>
      </c>
      <c r="K652" s="10">
        <f>E652/'По разделам'!$B$21</f>
        <v/>
      </c>
      <c r="L652" s="4">
        <f>L651+K652</f>
        <v/>
      </c>
      <c r="M652" s="2" t="inlineStr">
        <is>
          <t>05919</t>
        </is>
      </c>
      <c r="N652" s="2" t="inlineStr">
        <is>
          <t>https://app.redstat.kz/niche/05919?event_date=2026-08-01</t>
        </is>
      </c>
      <c r="O652" s="2" t="inlineStr">
        <is>
          <t>https://kaspi.kz/shop/c/pet%20underpads/</t>
        </is>
      </c>
    </row>
    <row r="653">
      <c r="A653" s="2" t="n">
        <v>652</v>
      </c>
      <c r="B653" s="2" t="inlineStr">
        <is>
          <t>Счетчики воды</t>
        </is>
      </c>
      <c r="C653" s="2" t="inlineStr">
        <is>
          <t>Строительство, ремонт</t>
        </is>
      </c>
      <c r="D653" s="2" t="inlineStr">
        <is>
          <t>Строительство, ремонт → Водоснабжение → Счетчики воды</t>
        </is>
      </c>
      <c r="E653" s="3" t="n">
        <v>22096749</v>
      </c>
      <c r="F653" s="3" t="n">
        <v>719</v>
      </c>
      <c r="G653" s="3">
        <f>IFERROR(E653/F653,0)</f>
        <v/>
      </c>
      <c r="H653" s="3" t="n">
        <v>66</v>
      </c>
      <c r="I653" s="2" t="n">
        <v>19</v>
      </c>
      <c r="J653" s="3">
        <f>IFERROR(E653/H653,0)</f>
        <v/>
      </c>
      <c r="K653" s="10">
        <f>E653/'По разделам'!$B$21</f>
        <v/>
      </c>
      <c r="L653" s="4">
        <f>L652+K653</f>
        <v/>
      </c>
      <c r="M653" s="2" t="inlineStr">
        <is>
          <t>05020</t>
        </is>
      </c>
      <c r="N653" s="2" t="inlineStr">
        <is>
          <t>https://app.redstat.kz/niche/05020?event_date=2026-08-01</t>
        </is>
      </c>
      <c r="O653" s="2" t="inlineStr">
        <is>
          <t>https://kaspi.kz/shop/c/water%20meters/</t>
        </is>
      </c>
    </row>
    <row r="654">
      <c r="A654" s="2" t="n">
        <v>653</v>
      </c>
      <c r="B654" s="2" t="inlineStr">
        <is>
          <t>Детские матрасы</t>
        </is>
      </c>
      <c r="C654" s="2" t="inlineStr">
        <is>
          <t>Мебель</t>
        </is>
      </c>
      <c r="D654" s="2" t="inlineStr">
        <is>
          <t>Мебель → Детская комната → Детские матрасы</t>
        </is>
      </c>
      <c r="E654" s="3" t="n">
        <v>22087307</v>
      </c>
      <c r="F654" s="3" t="n">
        <v>1065</v>
      </c>
      <c r="G654" s="3">
        <f>IFERROR(E654/F654,0)</f>
        <v/>
      </c>
      <c r="H654" s="3" t="n">
        <v>238</v>
      </c>
      <c r="I654" s="2" t="n">
        <v>61</v>
      </c>
      <c r="J654" s="3">
        <f>IFERROR(E654/H654,0)</f>
        <v/>
      </c>
      <c r="K654" s="10">
        <f>E654/'По разделам'!$B$21</f>
        <v/>
      </c>
      <c r="L654" s="4">
        <f>L653+K654</f>
        <v/>
      </c>
      <c r="M654" s="2" t="inlineStr">
        <is>
          <t>00155</t>
        </is>
      </c>
      <c r="N654" s="2" t="inlineStr">
        <is>
          <t>https://app.redstat.kz/niche/00155?event_date=2026-08-01</t>
        </is>
      </c>
      <c r="O654" s="2" t="inlineStr">
        <is>
          <t>https://kaspi.kz/shop/c/mattresses/</t>
        </is>
      </c>
    </row>
    <row r="655">
      <c r="A655" s="2" t="n">
        <v>654</v>
      </c>
      <c r="B655" s="2" t="inlineStr">
        <is>
          <t>Сантехнический инструмент</t>
        </is>
      </c>
      <c r="C655" s="2" t="inlineStr">
        <is>
          <t>Строительство, ремонт</t>
        </is>
      </c>
      <c r="D655" s="2" t="inlineStr">
        <is>
          <t>Строительство, ремонт → Ручные инструменты → Сантехнический инструмент → Сантехнический инструмент</t>
        </is>
      </c>
      <c r="E655" s="3" t="n">
        <v>22051796</v>
      </c>
      <c r="F655" s="3" t="n">
        <v>2265</v>
      </c>
      <c r="G655" s="3">
        <f>IFERROR(E655/F655,0)</f>
        <v/>
      </c>
      <c r="H655" s="3" t="n">
        <v>272</v>
      </c>
      <c r="I655" s="2" t="n">
        <v>74</v>
      </c>
      <c r="J655" s="3">
        <f>IFERROR(E655/H655,0)</f>
        <v/>
      </c>
      <c r="K655" s="10">
        <f>E655/'По разделам'!$B$21</f>
        <v/>
      </c>
      <c r="L655" s="4">
        <f>L654+K655</f>
        <v/>
      </c>
      <c r="M655" s="2" t="inlineStr">
        <is>
          <t>q17e4a58116b4559</t>
        </is>
      </c>
      <c r="N655" s="2" t="inlineStr">
        <is>
          <t>https://app.redstat.kz/niche/q17e4a58116b4559?event_date=2026-08-01</t>
        </is>
      </c>
      <c r="O655" s="2" t="inlineStr"/>
    </row>
    <row r="656">
      <c r="A656" s="2" t="n">
        <v>655</v>
      </c>
      <c r="B656" s="2" t="inlineStr">
        <is>
          <t>Средства для ухода за кожей губ</t>
        </is>
      </c>
      <c r="C656" s="2" t="inlineStr">
        <is>
          <t>Красота и здоровье</t>
        </is>
      </c>
      <c r="D656" s="2" t="inlineStr">
        <is>
          <t>Красота и здоровье → Уход за лицом → Средства для ухода за кожей губ</t>
        </is>
      </c>
      <c r="E656" s="3" t="n">
        <v>21991827</v>
      </c>
      <c r="F656" s="3" t="n">
        <v>14701</v>
      </c>
      <c r="G656" s="3">
        <f>IFERROR(E656/F656,0)</f>
        <v/>
      </c>
      <c r="H656" s="3" t="n">
        <v>591</v>
      </c>
      <c r="I656" s="2" t="n">
        <v>196</v>
      </c>
      <c r="J656" s="3">
        <f>IFERROR(E656/H656,0)</f>
        <v/>
      </c>
      <c r="K656" s="10">
        <f>E656/'По разделам'!$B$21</f>
        <v/>
      </c>
      <c r="L656" s="4">
        <f>L655+K656</f>
        <v/>
      </c>
      <c r="M656" s="2" t="inlineStr">
        <is>
          <t>03965</t>
        </is>
      </c>
      <c r="N656" s="2" t="inlineStr">
        <is>
          <t>https://app.redstat.kz/niche/03965?event_date=2026-08-01</t>
        </is>
      </c>
      <c r="O656" s="2" t="inlineStr">
        <is>
          <t>https://kaspi.kz/shop/c/lip%20care%20products/</t>
        </is>
      </c>
    </row>
    <row r="657">
      <c r="A657" s="2" t="n">
        <v>656</v>
      </c>
      <c r="B657" s="2" t="inlineStr">
        <is>
          <t>Калькуляторы</t>
        </is>
      </c>
      <c r="C657" s="2" t="inlineStr">
        <is>
          <t>Канцелярские товары</t>
        </is>
      </c>
      <c r="D657" s="2" t="inlineStr">
        <is>
          <t>Канцелярские товары → Офисные принадлежности → Калькуляторы</t>
        </is>
      </c>
      <c r="E657" s="3" t="n">
        <v>21956820</v>
      </c>
      <c r="F657" s="3" t="n">
        <v>10422</v>
      </c>
      <c r="G657" s="3">
        <f>IFERROR(E657/F657,0)</f>
        <v/>
      </c>
      <c r="H657" s="3" t="n">
        <v>386</v>
      </c>
      <c r="I657" s="2" t="n">
        <v>57</v>
      </c>
      <c r="J657" s="3">
        <f>IFERROR(E657/H657,0)</f>
        <v/>
      </c>
      <c r="K657" s="10">
        <f>E657/'По разделам'!$B$21</f>
        <v/>
      </c>
      <c r="L657" s="4">
        <f>L656+K657</f>
        <v/>
      </c>
      <c r="M657" s="2" t="inlineStr">
        <is>
          <t>04260</t>
        </is>
      </c>
      <c r="N657" s="2" t="inlineStr">
        <is>
          <t>https://app.redstat.kz/niche/04260?event_date=2026-08-01</t>
        </is>
      </c>
      <c r="O657" s="2" t="inlineStr">
        <is>
          <t>https://kaspi.kz/shop/c/calculators/</t>
        </is>
      </c>
    </row>
    <row r="658">
      <c r="A658" s="2" t="n">
        <v>657</v>
      </c>
      <c r="B658" s="2" t="inlineStr">
        <is>
          <t>Парикмахерские принадлежности</t>
        </is>
      </c>
      <c r="C658" s="2" t="inlineStr">
        <is>
          <t>Красота и здоровье</t>
        </is>
      </c>
      <c r="D658" s="2" t="inlineStr">
        <is>
          <t>Красота и здоровье → Инструменты для укладки, ухода и наращивания волос → Парикмахерские принадлежности</t>
        </is>
      </c>
      <c r="E658" s="3" t="n">
        <v>21886593</v>
      </c>
      <c r="F658" s="3" t="n">
        <v>9599</v>
      </c>
      <c r="G658" s="3">
        <f>IFERROR(E658/F658,0)</f>
        <v/>
      </c>
      <c r="H658" s="3" t="n">
        <v>658</v>
      </c>
      <c r="I658" s="2" t="n">
        <v>135</v>
      </c>
      <c r="J658" s="3">
        <f>IFERROR(E658/H658,0)</f>
        <v/>
      </c>
      <c r="K658" s="10">
        <f>E658/'По разделам'!$B$21</f>
        <v/>
      </c>
      <c r="L658" s="4">
        <f>L657+K658</f>
        <v/>
      </c>
      <c r="M658" s="2" t="inlineStr">
        <is>
          <t>04416</t>
        </is>
      </c>
      <c r="N658" s="2" t="inlineStr">
        <is>
          <t>https://app.redstat.kz/niche/04416?event_date=2026-08-01</t>
        </is>
      </c>
      <c r="O658" s="2" t="inlineStr">
        <is>
          <t>https://kaspi.kz/shop/c/hairdressing%20supplies/</t>
        </is>
      </c>
    </row>
    <row r="659">
      <c r="A659" s="2" t="n">
        <v>658</v>
      </c>
      <c r="B659" s="2" t="inlineStr">
        <is>
          <t>Наколенники</t>
        </is>
      </c>
      <c r="C659" s="2" t="inlineStr">
        <is>
          <t>Спорт, туризм</t>
        </is>
      </c>
      <c r="D659" s="2" t="inlineStr">
        <is>
          <t>Спорт, туризм → Спортивная защита и экипировка → Наколенники</t>
        </is>
      </c>
      <c r="E659" s="3" t="n">
        <v>21854509</v>
      </c>
      <c r="F659" s="3" t="n">
        <v>5963</v>
      </c>
      <c r="G659" s="3">
        <f>IFERROR(E659/F659,0)</f>
        <v/>
      </c>
      <c r="H659" s="3" t="n">
        <v>599</v>
      </c>
      <c r="I659" s="2" t="n">
        <v>105</v>
      </c>
      <c r="J659" s="3">
        <f>IFERROR(E659/H659,0)</f>
        <v/>
      </c>
      <c r="K659" s="10">
        <f>E659/'По разделам'!$B$21</f>
        <v/>
      </c>
      <c r="L659" s="4">
        <f>L658+K659</f>
        <v/>
      </c>
      <c r="M659" s="2" t="inlineStr">
        <is>
          <t>01512</t>
        </is>
      </c>
      <c r="N659" s="2" t="inlineStr">
        <is>
          <t>https://app.redstat.kz/niche/01512?event_date=2026-08-01</t>
        </is>
      </c>
      <c r="O659" s="2" t="inlineStr">
        <is>
          <t>https://kaspi.kz/shop/c/knee%20pads/</t>
        </is>
      </c>
    </row>
    <row r="660">
      <c r="A660" s="2" t="n">
        <v>659</v>
      </c>
      <c r="B660" s="2" t="inlineStr">
        <is>
          <t>Смарт-кольца</t>
        </is>
      </c>
      <c r="C660" s="2" t="inlineStr">
        <is>
          <t>Телефоны и гаджеты</t>
        </is>
      </c>
      <c r="D660" s="2" t="inlineStr">
        <is>
          <t>Телефоны и гаджеты → Гаджеты → Смарт-кольца</t>
        </is>
      </c>
      <c r="E660" s="3" t="n">
        <v>21841856</v>
      </c>
      <c r="F660" s="3" t="n">
        <v>189</v>
      </c>
      <c r="G660" s="3">
        <f>IFERROR(E660/F660,0)</f>
        <v/>
      </c>
      <c r="H660" s="3" t="n">
        <v>97</v>
      </c>
      <c r="I660" s="2" t="n">
        <v>4</v>
      </c>
      <c r="J660" s="3">
        <f>IFERROR(E660/H660,0)</f>
        <v/>
      </c>
      <c r="K660" s="10">
        <f>E660/'По разделам'!$B$21</f>
        <v/>
      </c>
      <c r="L660" s="4">
        <f>L659+K660</f>
        <v/>
      </c>
      <c r="M660" s="2" t="inlineStr">
        <is>
          <t>06629</t>
        </is>
      </c>
      <c r="N660" s="2" t="inlineStr">
        <is>
          <t>https://app.redstat.kz/niche/06629?event_date=2026-08-01</t>
        </is>
      </c>
      <c r="O660" s="2" t="inlineStr">
        <is>
          <t>https://kaspi.kz/shop/c/smart%20rings/</t>
        </is>
      </c>
    </row>
    <row r="661">
      <c r="A661" s="2" t="n">
        <v>660</v>
      </c>
      <c r="B661" s="2" t="inlineStr">
        <is>
          <t>Аксессуары для игровых приставок</t>
        </is>
      </c>
      <c r="C661" s="2" t="inlineStr">
        <is>
          <t>ТВ, Аудио, Видео</t>
        </is>
      </c>
      <c r="D661" s="2" t="inlineStr">
        <is>
          <t>ТВ, Аудио, Видео → Развлечения → Аксессуары для игровых приставок</t>
        </is>
      </c>
      <c r="E661" s="3" t="n">
        <v>21762657</v>
      </c>
      <c r="F661" s="3" t="n">
        <v>3899</v>
      </c>
      <c r="G661" s="3">
        <f>IFERROR(E661/F661,0)</f>
        <v/>
      </c>
      <c r="H661" s="3" t="n">
        <v>613</v>
      </c>
      <c r="I661" s="2" t="n">
        <v>95</v>
      </c>
      <c r="J661" s="3">
        <f>IFERROR(E661/H661,0)</f>
        <v/>
      </c>
      <c r="K661" s="10">
        <f>E661/'По разделам'!$B$21</f>
        <v/>
      </c>
      <c r="L661" s="4">
        <f>L660+K661</f>
        <v/>
      </c>
      <c r="M661" s="2" t="inlineStr">
        <is>
          <t>02734</t>
        </is>
      </c>
      <c r="N661" s="2" t="inlineStr">
        <is>
          <t>https://app.redstat.kz/niche/02734?event_date=2026-08-01</t>
        </is>
      </c>
      <c r="O661" s="2" t="inlineStr">
        <is>
          <t>https://kaspi.kz/shop/c/game%20console%20accessories/</t>
        </is>
      </c>
    </row>
    <row r="662">
      <c r="A662" s="2" t="n">
        <v>661</v>
      </c>
      <c r="B662" s="2" t="inlineStr">
        <is>
          <t>Электровеники и электрошвабры</t>
        </is>
      </c>
      <c r="C662" s="2" t="inlineStr">
        <is>
          <t>Бытовая техника</t>
        </is>
      </c>
      <c r="D662" s="2" t="inlineStr">
        <is>
          <t>Бытовая техника → Малая техника для дома → Электровеники и электрошвабры</t>
        </is>
      </c>
      <c r="E662" s="3" t="n">
        <v>21729515</v>
      </c>
      <c r="F662" s="3" t="n">
        <v>1125</v>
      </c>
      <c r="G662" s="3">
        <f>IFERROR(E662/F662,0)</f>
        <v/>
      </c>
      <c r="H662" s="3" t="n">
        <v>68</v>
      </c>
      <c r="I662" s="2" t="n">
        <v>36</v>
      </c>
      <c r="J662" s="3">
        <f>IFERROR(E662/H662,0)</f>
        <v/>
      </c>
      <c r="K662" s="10">
        <f>E662/'По разделам'!$B$21</f>
        <v/>
      </c>
      <c r="L662" s="4">
        <f>L661+K662</f>
        <v/>
      </c>
      <c r="M662" s="2" t="inlineStr">
        <is>
          <t>03347</t>
        </is>
      </c>
      <c r="N662" s="2" t="inlineStr">
        <is>
          <t>https://app.redstat.kz/niche/03347?event_date=2026-08-01</t>
        </is>
      </c>
      <c r="O662" s="2" t="inlineStr">
        <is>
          <t>https://kaspi.kz/shop/c/electric%20brooms%20and%20mops/</t>
        </is>
      </c>
    </row>
    <row r="663">
      <c r="A663" s="2" t="n">
        <v>662</v>
      </c>
      <c r="B663" s="2" t="inlineStr">
        <is>
          <t>Лампы для сушки ногтей</t>
        </is>
      </c>
      <c r="C663" s="2" t="inlineStr">
        <is>
          <t>Красота и здоровье</t>
        </is>
      </c>
      <c r="D663" s="2" t="inlineStr">
        <is>
          <t>Красота и здоровье → Для маникюра и педикюра → Лампы для сушки ногтей</t>
        </is>
      </c>
      <c r="E663" s="3" t="n">
        <v>21595473</v>
      </c>
      <c r="F663" s="3" t="n">
        <v>3525</v>
      </c>
      <c r="G663" s="3">
        <f>IFERROR(E663/F663,0)</f>
        <v/>
      </c>
      <c r="H663" s="3" t="n">
        <v>164</v>
      </c>
      <c r="I663" s="2" t="n">
        <v>39</v>
      </c>
      <c r="J663" s="3">
        <f>IFERROR(E663/H663,0)</f>
        <v/>
      </c>
      <c r="K663" s="10">
        <f>E663/'По разделам'!$B$21</f>
        <v/>
      </c>
      <c r="L663" s="4">
        <f>L662+K663</f>
        <v/>
      </c>
      <c r="M663" s="2" t="inlineStr">
        <is>
          <t>01108</t>
        </is>
      </c>
      <c r="N663" s="2" t="inlineStr">
        <is>
          <t>https://app.redstat.kz/niche/01108?event_date=2026-08-01</t>
        </is>
      </c>
      <c r="O663" s="2" t="inlineStr">
        <is>
          <t>https://kaspi.kz/shop/c/nail%20lamps/</t>
        </is>
      </c>
    </row>
    <row r="664">
      <c r="A664" s="2" t="n">
        <v>663</v>
      </c>
      <c r="B664" s="2" t="inlineStr">
        <is>
          <t>Стартовый набор для аппаратного маникюра и дезинфекции</t>
        </is>
      </c>
      <c r="C664" s="2" t="inlineStr">
        <is>
          <t>Красота и здоровье</t>
        </is>
      </c>
      <c r="D664" s="2" t="inlineStr">
        <is>
          <t>Красота и здоровье → Для маникюра и педикюра → Стартовый набор для аппаратного маникюра и дезинфекции</t>
        </is>
      </c>
      <c r="E664" s="3" t="n">
        <v>21519470</v>
      </c>
      <c r="F664" s="3" t="n">
        <v>1148</v>
      </c>
      <c r="G664" s="3">
        <f>IFERROR(E664/F664,0)</f>
        <v/>
      </c>
      <c r="H664" s="3" t="n">
        <v>73</v>
      </c>
      <c r="I664" s="2" t="n">
        <v>19</v>
      </c>
      <c r="J664" s="3">
        <f>IFERROR(E664/H664,0)</f>
        <v/>
      </c>
      <c r="K664" s="10">
        <f>E664/'По разделам'!$B$21</f>
        <v/>
      </c>
      <c r="L664" s="4">
        <f>L663+K664</f>
        <v/>
      </c>
      <c r="M664" s="2" t="inlineStr">
        <is>
          <t>04588</t>
        </is>
      </c>
      <c r="N664" s="2" t="inlineStr">
        <is>
          <t>https://app.redstat.kz/niche/04588?event_date=2026-08-01</t>
        </is>
      </c>
      <c r="O664" s="2" t="inlineStr">
        <is>
          <t>https://kaspi.kz/shop/c/nail%20care%20sets/</t>
        </is>
      </c>
    </row>
    <row r="665">
      <c r="A665" s="2" t="n">
        <v>664</v>
      </c>
      <c r="B665" s="2" t="inlineStr">
        <is>
          <t>Счетчики электроэнергии</t>
        </is>
      </c>
      <c r="C665" s="2" t="inlineStr">
        <is>
          <t>Строительство, ремонт</t>
        </is>
      </c>
      <c r="D665" s="2" t="inlineStr">
        <is>
          <t>Строительство, ремонт → Электрика → Счетчики электроэнергии</t>
        </is>
      </c>
      <c r="E665" s="3" t="n">
        <v>21303503</v>
      </c>
      <c r="F665" s="3" t="n">
        <v>846</v>
      </c>
      <c r="G665" s="3">
        <f>IFERROR(E665/F665,0)</f>
        <v/>
      </c>
      <c r="H665" s="3" t="n">
        <v>89</v>
      </c>
      <c r="I665" s="2" t="n">
        <v>5</v>
      </c>
      <c r="J665" s="3">
        <f>IFERROR(E665/H665,0)</f>
        <v/>
      </c>
      <c r="K665" s="10">
        <f>E665/'По разделам'!$B$21</f>
        <v/>
      </c>
      <c r="L665" s="4">
        <f>L664+K665</f>
        <v/>
      </c>
      <c r="M665" s="2" t="inlineStr">
        <is>
          <t>03923</t>
        </is>
      </c>
      <c r="N665" s="2" t="inlineStr">
        <is>
          <t>https://app.redstat.kz/niche/03923?event_date=2026-08-01</t>
        </is>
      </c>
      <c r="O665" s="2" t="inlineStr">
        <is>
          <t>https://kaspi.kz/shop/c/electricity%20meters/</t>
        </is>
      </c>
    </row>
    <row r="666">
      <c r="A666" s="2" t="n">
        <v>665</v>
      </c>
      <c r="B666" s="2" t="inlineStr">
        <is>
          <t>Детокс комплексы</t>
        </is>
      </c>
      <c r="C666" s="2" t="inlineStr">
        <is>
          <t>Спорт, туризм</t>
        </is>
      </c>
      <c r="D666" s="2" t="inlineStr">
        <is>
          <t>Спорт, туризм → Спортивное питание → Детокс комплексы</t>
        </is>
      </c>
      <c r="E666" s="3" t="n">
        <v>21253487</v>
      </c>
      <c r="F666" s="3" t="n">
        <v>2385</v>
      </c>
      <c r="G666" s="3">
        <f>IFERROR(E666/F666,0)</f>
        <v/>
      </c>
      <c r="H666" s="3" t="n">
        <v>97</v>
      </c>
      <c r="I666" s="2" t="n">
        <v>30</v>
      </c>
      <c r="J666" s="3">
        <f>IFERROR(E666/H666,0)</f>
        <v/>
      </c>
      <c r="K666" s="10">
        <f>E666/'По разделам'!$B$21</f>
        <v/>
      </c>
      <c r="L666" s="4">
        <f>L665+K666</f>
        <v/>
      </c>
      <c r="M666" s="2" t="inlineStr">
        <is>
          <t>06483</t>
        </is>
      </c>
      <c r="N666" s="2" t="inlineStr">
        <is>
          <t>https://app.redstat.kz/niche/06483?event_date=2026-08-01</t>
        </is>
      </c>
      <c r="O666" s="2" t="inlineStr">
        <is>
          <t>https://kaspi.kz/shop/c/detox%20complexes/</t>
        </is>
      </c>
    </row>
    <row r="667">
      <c r="A667" s="2" t="n">
        <v>666</v>
      </c>
      <c r="B667" s="2" t="inlineStr">
        <is>
          <t>Сухие бассейны, игровые манежи и шарики</t>
        </is>
      </c>
      <c r="C667" s="2" t="inlineStr">
        <is>
          <t>Детские товары</t>
        </is>
      </c>
      <c r="D667" s="2" t="inlineStr">
        <is>
          <t>Детские товары → Игровая площадка → Сухие бассейны, игровые манежи и шарики → Сухие бассейны, игровые манежи и шарики</t>
        </is>
      </c>
      <c r="E667" s="3" t="n">
        <v>21124120</v>
      </c>
      <c r="F667" s="3" t="n">
        <v>2582</v>
      </c>
      <c r="G667" s="3">
        <f>IFERROR(E667/F667,0)</f>
        <v/>
      </c>
      <c r="H667" s="3" t="n">
        <v>160</v>
      </c>
      <c r="I667" s="2" t="n">
        <v>38</v>
      </c>
      <c r="J667" s="3">
        <f>IFERROR(E667/H667,0)</f>
        <v/>
      </c>
      <c r="K667" s="10">
        <f>E667/'По разделам'!$B$21</f>
        <v/>
      </c>
      <c r="L667" s="4">
        <f>L666+K667</f>
        <v/>
      </c>
      <c r="M667" s="2" t="inlineStr">
        <is>
          <t>q43e5186bd6455ab</t>
        </is>
      </c>
      <c r="N667" s="2" t="inlineStr">
        <is>
          <t>https://app.redstat.kz/niche/q43e5186bd6455ab?event_date=2026-08-01</t>
        </is>
      </c>
      <c r="O667" s="2" t="inlineStr"/>
    </row>
    <row r="668">
      <c r="A668" s="2" t="n">
        <v>667</v>
      </c>
      <c r="B668" s="2" t="inlineStr">
        <is>
          <t>Спортивные очки</t>
        </is>
      </c>
      <c r="C668" s="2" t="inlineStr">
        <is>
          <t>Спорт, туризм</t>
        </is>
      </c>
      <c r="D668" s="2" t="inlineStr">
        <is>
          <t>Спорт, туризм → Бег и ходьба → Спортивные очки</t>
        </is>
      </c>
      <c r="E668" s="3" t="n">
        <v>20943594</v>
      </c>
      <c r="F668" s="3" t="n">
        <v>11385</v>
      </c>
      <c r="G668" s="3">
        <f>IFERROR(E668/F668,0)</f>
        <v/>
      </c>
      <c r="H668" s="3" t="n">
        <v>363</v>
      </c>
      <c r="I668" s="2" t="n">
        <v>53</v>
      </c>
      <c r="J668" s="3">
        <f>IFERROR(E668/H668,0)</f>
        <v/>
      </c>
      <c r="K668" s="10">
        <f>E668/'По разделам'!$B$21</f>
        <v/>
      </c>
      <c r="L668" s="4">
        <f>L667+K668</f>
        <v/>
      </c>
      <c r="M668" s="2" t="inlineStr">
        <is>
          <t>06522</t>
        </is>
      </c>
      <c r="N668" s="2" t="inlineStr">
        <is>
          <t>https://app.redstat.kz/niche/06522?event_date=2026-08-01</t>
        </is>
      </c>
      <c r="O668" s="2" t="inlineStr">
        <is>
          <t>https://kaspi.kz/shop/c/sports%20glasses/</t>
        </is>
      </c>
    </row>
    <row r="669">
      <c r="A669" s="2" t="n">
        <v>668</v>
      </c>
      <c r="B669" s="2" t="inlineStr">
        <is>
          <t>Цемент, песок, щебень</t>
        </is>
      </c>
      <c r="C669" s="2" t="inlineStr">
        <is>
          <t>Строительство, ремонт</t>
        </is>
      </c>
      <c r="D669" s="2" t="inlineStr">
        <is>
          <t>Строительство, ремонт → Строительные материалы → Цемент, песок, щебень → Цемент, песок, щебень</t>
        </is>
      </c>
      <c r="E669" s="3" t="n">
        <v>20843905</v>
      </c>
      <c r="F669" s="3" t="n">
        <v>938</v>
      </c>
      <c r="G669" s="3">
        <f>IFERROR(E669/F669,0)</f>
        <v/>
      </c>
      <c r="H669" s="3" t="n">
        <v>67</v>
      </c>
      <c r="I669" s="2" t="n">
        <v>14</v>
      </c>
      <c r="J669" s="3">
        <f>IFERROR(E669/H669,0)</f>
        <v/>
      </c>
      <c r="K669" s="10">
        <f>E669/'По разделам'!$B$21</f>
        <v/>
      </c>
      <c r="L669" s="4">
        <f>L668+K669</f>
        <v/>
      </c>
      <c r="M669" s="2" t="inlineStr">
        <is>
          <t>qd53578c019acdb2</t>
        </is>
      </c>
      <c r="N669" s="2" t="inlineStr">
        <is>
          <t>https://app.redstat.kz/niche/qd53578c019acdb2?event_date=2026-08-01</t>
        </is>
      </c>
      <c r="O669" s="2" t="inlineStr"/>
    </row>
    <row r="670">
      <c r="A670" s="2" t="n">
        <v>669</v>
      </c>
      <c r="B670" s="2" t="inlineStr">
        <is>
          <t>Сундуки</t>
        </is>
      </c>
      <c r="C670" s="2" t="inlineStr">
        <is>
          <t>Мебель</t>
        </is>
      </c>
      <c r="D670" s="2" t="inlineStr">
        <is>
          <t>Мебель → Системы хранения, полки, этажерки → Сундуки</t>
        </is>
      </c>
      <c r="E670" s="3" t="n">
        <v>20677228</v>
      </c>
      <c r="F670" s="3" t="n">
        <v>448</v>
      </c>
      <c r="G670" s="3">
        <f>IFERROR(E670/F670,0)</f>
        <v/>
      </c>
      <c r="H670" s="3" t="n">
        <v>97</v>
      </c>
      <c r="I670" s="2" t="n">
        <v>13</v>
      </c>
      <c r="J670" s="3">
        <f>IFERROR(E670/H670,0)</f>
        <v/>
      </c>
      <c r="K670" s="10">
        <f>E670/'По разделам'!$B$21</f>
        <v/>
      </c>
      <c r="L670" s="4">
        <f>L669+K670</f>
        <v/>
      </c>
      <c r="M670" s="2" t="inlineStr">
        <is>
          <t>04958</t>
        </is>
      </c>
      <c r="N670" s="2" t="inlineStr">
        <is>
          <t>https://app.redstat.kz/niche/04958?event_date=2026-08-01</t>
        </is>
      </c>
      <c r="O670" s="2" t="inlineStr">
        <is>
          <t>https://kaspi.kz/shop/c/chests/</t>
        </is>
      </c>
    </row>
    <row r="671">
      <c r="A671" s="2" t="n">
        <v>670</v>
      </c>
      <c r="B671" s="2" t="inlineStr">
        <is>
          <t>Взрослая одежда для единоборств</t>
        </is>
      </c>
      <c r="C671" s="2" t="inlineStr">
        <is>
          <t>Спорт, туризм</t>
        </is>
      </c>
      <c r="D671" s="2" t="inlineStr">
        <is>
          <t>Спорт, туризм → Единоборства → Взрослая одежда для единоборств</t>
        </is>
      </c>
      <c r="E671" s="3" t="n">
        <v>20666268</v>
      </c>
      <c r="F671" s="3" t="n">
        <v>2146</v>
      </c>
      <c r="G671" s="3">
        <f>IFERROR(E671/F671,0)</f>
        <v/>
      </c>
      <c r="H671" s="3" t="n">
        <v>745</v>
      </c>
      <c r="I671" s="2" t="n">
        <v>61</v>
      </c>
      <c r="J671" s="3">
        <f>IFERROR(E671/H671,0)</f>
        <v/>
      </c>
      <c r="K671" s="10">
        <f>E671/'По разделам'!$B$21</f>
        <v/>
      </c>
      <c r="L671" s="4">
        <f>L670+K671</f>
        <v/>
      </c>
      <c r="M671" s="2" t="inlineStr">
        <is>
          <t>07280</t>
        </is>
      </c>
      <c r="N671" s="2" t="inlineStr">
        <is>
          <t>https://app.redstat.kz/niche/07280?event_date=2026-08-01</t>
        </is>
      </c>
      <c r="O671" s="2" t="inlineStr">
        <is>
          <t>https://kaspi.kz/shop/c/martial%20arts%20clothing/</t>
        </is>
      </c>
    </row>
    <row r="672">
      <c r="A672" s="2" t="n">
        <v>671</v>
      </c>
      <c r="B672" s="2" t="inlineStr">
        <is>
          <t>Металлопрокат</t>
        </is>
      </c>
      <c r="C672" s="2" t="inlineStr">
        <is>
          <t>Строительство, ремонт</t>
        </is>
      </c>
      <c r="D672" s="2" t="inlineStr">
        <is>
          <t>Строительство, ремонт → Строительные материалы → Металлопрокат → Металлопрокат</t>
        </is>
      </c>
      <c r="E672" s="3" t="n">
        <v>20624039</v>
      </c>
      <c r="F672" s="3" t="n">
        <v>376</v>
      </c>
      <c r="G672" s="3">
        <f>IFERROR(E672/F672,0)</f>
        <v/>
      </c>
      <c r="H672" s="3" t="n">
        <v>110</v>
      </c>
      <c r="I672" s="2" t="n">
        <v>14</v>
      </c>
      <c r="J672" s="3">
        <f>IFERROR(E672/H672,0)</f>
        <v/>
      </c>
      <c r="K672" s="10">
        <f>E672/'По разделам'!$B$21</f>
        <v/>
      </c>
      <c r="L672" s="4">
        <f>L671+K672</f>
        <v/>
      </c>
      <c r="M672" s="2" t="inlineStr">
        <is>
          <t>q35279f3a58cac9f</t>
        </is>
      </c>
      <c r="N672" s="2" t="inlineStr">
        <is>
          <t>https://app.redstat.kz/niche/q35279f3a58cac9f?event_date=2026-08-01</t>
        </is>
      </c>
      <c r="O672" s="2" t="inlineStr"/>
    </row>
    <row r="673">
      <c r="A673" s="2" t="n">
        <v>672</v>
      </c>
      <c r="B673" s="2" t="inlineStr">
        <is>
          <t>Лакомства для кошек</t>
        </is>
      </c>
      <c r="C673" s="2" t="inlineStr">
        <is>
          <t>Товары для животных</t>
        </is>
      </c>
      <c r="D673" s="2" t="inlineStr">
        <is>
          <t>Товары для животных → Для кошек → Лакомства для кошек</t>
        </is>
      </c>
      <c r="E673" s="3" t="n">
        <v>20510488</v>
      </c>
      <c r="F673" s="3" t="n">
        <v>11289</v>
      </c>
      <c r="G673" s="3">
        <f>IFERROR(E673/F673,0)</f>
        <v/>
      </c>
      <c r="H673" s="3" t="n">
        <v>558</v>
      </c>
      <c r="I673" s="2" t="n">
        <v>75</v>
      </c>
      <c r="J673" s="3">
        <f>IFERROR(E673/H673,0)</f>
        <v/>
      </c>
      <c r="K673" s="10">
        <f>E673/'По разделам'!$B$21</f>
        <v/>
      </c>
      <c r="L673" s="4">
        <f>L672+K673</f>
        <v/>
      </c>
      <c r="M673" s="2" t="inlineStr">
        <is>
          <t>01482</t>
        </is>
      </c>
      <c r="N673" s="2" t="inlineStr">
        <is>
          <t>https://app.redstat.kz/niche/01482?event_date=2026-08-01</t>
        </is>
      </c>
      <c r="O673" s="2" t="inlineStr">
        <is>
          <t>https://kaspi.kz/shop/c/cat%20snacks/</t>
        </is>
      </c>
    </row>
    <row r="674">
      <c r="A674" s="2" t="n">
        <v>673</v>
      </c>
      <c r="B674" s="2" t="inlineStr">
        <is>
          <t>Садки и подсачеки</t>
        </is>
      </c>
      <c r="C674" s="2" t="inlineStr">
        <is>
          <t>Спорт, туризм</t>
        </is>
      </c>
      <c r="D674" s="2" t="inlineStr">
        <is>
          <t>Спорт, туризм → Товары для рыбалки → Садки и подсачеки</t>
        </is>
      </c>
      <c r="E674" s="3" t="n">
        <v>20317515</v>
      </c>
      <c r="F674" s="3" t="n">
        <v>3790</v>
      </c>
      <c r="G674" s="3">
        <f>IFERROR(E674/F674,0)</f>
        <v/>
      </c>
      <c r="H674" s="3" t="n">
        <v>371</v>
      </c>
      <c r="I674" s="2" t="n">
        <v>55</v>
      </c>
      <c r="J674" s="3">
        <f>IFERROR(E674/H674,0)</f>
        <v/>
      </c>
      <c r="K674" s="10">
        <f>E674/'По разделам'!$B$21</f>
        <v/>
      </c>
      <c r="L674" s="4">
        <f>L673+K674</f>
        <v/>
      </c>
      <c r="M674" s="2" t="inlineStr">
        <is>
          <t>03237</t>
        </is>
      </c>
      <c r="N674" s="2" t="inlineStr">
        <is>
          <t>https://app.redstat.kz/niche/03237?event_date=2026-08-01</t>
        </is>
      </c>
      <c r="O674" s="2" t="inlineStr">
        <is>
          <t>https://kaspi.kz/shop/c/fishing%20nets/</t>
        </is>
      </c>
    </row>
    <row r="675">
      <c r="A675" s="2" t="n">
        <v>674</v>
      </c>
      <c r="B675" s="2" t="inlineStr">
        <is>
          <t>Лаки для ногтей</t>
        </is>
      </c>
      <c r="C675" s="2" t="inlineStr">
        <is>
          <t>Красота и здоровье</t>
        </is>
      </c>
      <c r="D675" s="2" t="inlineStr">
        <is>
          <t>Красота и здоровье → Для маникюра и педикюра → Лаки для ногтей</t>
        </is>
      </c>
      <c r="E675" s="3" t="n">
        <v>20288695</v>
      </c>
      <c r="F675" s="3" t="n">
        <v>9556</v>
      </c>
      <c r="G675" s="3">
        <f>IFERROR(E675/F675,0)</f>
        <v/>
      </c>
      <c r="H675" s="3" t="n">
        <v>679</v>
      </c>
      <c r="I675" s="2" t="n">
        <v>47</v>
      </c>
      <c r="J675" s="3">
        <f>IFERROR(E675/H675,0)</f>
        <v/>
      </c>
      <c r="K675" s="10">
        <f>E675/'По разделам'!$B$21</f>
        <v/>
      </c>
      <c r="L675" s="4">
        <f>L674+K675</f>
        <v/>
      </c>
      <c r="M675" s="2" t="inlineStr">
        <is>
          <t>01488</t>
        </is>
      </c>
      <c r="N675" s="2" t="inlineStr">
        <is>
          <t>https://app.redstat.kz/niche/01488?event_date=2026-08-01</t>
        </is>
      </c>
      <c r="O675" s="2" t="inlineStr">
        <is>
          <t>https://kaspi.kz/shop/c/nail%20polish/</t>
        </is>
      </c>
    </row>
    <row r="676">
      <c r="A676" s="2" t="n">
        <v>675</v>
      </c>
      <c r="B676" s="2" t="inlineStr">
        <is>
          <t>Вентиляционные установки</t>
        </is>
      </c>
      <c r="C676" s="2" t="inlineStr">
        <is>
          <t>Строительство, ремонт</t>
        </is>
      </c>
      <c r="D676" s="2" t="inlineStr">
        <is>
          <t>Строительство, ремонт → Вентиляция → Вентиляционные установки</t>
        </is>
      </c>
      <c r="E676" s="3" t="n">
        <v>20060379</v>
      </c>
      <c r="F676" s="3" t="n">
        <v>486</v>
      </c>
      <c r="G676" s="3">
        <f>IFERROR(E676/F676,0)</f>
        <v/>
      </c>
      <c r="H676" s="3" t="n">
        <v>66</v>
      </c>
      <c r="I676" s="2" t="n">
        <v>14</v>
      </c>
      <c r="J676" s="3">
        <f>IFERROR(E676/H676,0)</f>
        <v/>
      </c>
      <c r="K676" s="10">
        <f>E676/'По разделам'!$B$21</f>
        <v/>
      </c>
      <c r="L676" s="4">
        <f>L675+K676</f>
        <v/>
      </c>
      <c r="M676" s="2" t="inlineStr">
        <is>
          <t>04146</t>
        </is>
      </c>
      <c r="N676" s="2" t="inlineStr">
        <is>
          <t>https://app.redstat.kz/niche/04146?event_date=2026-08-01</t>
        </is>
      </c>
      <c r="O676" s="2" t="inlineStr">
        <is>
          <t>https://kaspi.kz/shop/c/ventilation%20systems/</t>
        </is>
      </c>
    </row>
    <row r="677">
      <c r="A677" s="2" t="n">
        <v>676</v>
      </c>
      <c r="B677" s="2" t="inlineStr">
        <is>
          <t>Свечи и подсвечники</t>
        </is>
      </c>
      <c r="C677" s="2" t="inlineStr">
        <is>
          <t>Товары для дома и дачи</t>
        </is>
      </c>
      <c r="D677" s="2" t="inlineStr">
        <is>
          <t>Товары для дома и дачи → Интерьер → Свечи и подсвечники → Свечи и подсвечники</t>
        </is>
      </c>
      <c r="E677" s="3" t="n">
        <v>20030097</v>
      </c>
      <c r="F677" s="3" t="n">
        <v>6623</v>
      </c>
      <c r="G677" s="3">
        <f>IFERROR(E677/F677,0)</f>
        <v/>
      </c>
      <c r="H677" s="3" t="n">
        <v>904</v>
      </c>
      <c r="I677" s="2" t="n">
        <v>157</v>
      </c>
      <c r="J677" s="3">
        <f>IFERROR(E677/H677,0)</f>
        <v/>
      </c>
      <c r="K677" s="10">
        <f>E677/'По разделам'!$B$21</f>
        <v/>
      </c>
      <c r="L677" s="4">
        <f>L676+K677</f>
        <v/>
      </c>
      <c r="M677" s="2" t="inlineStr">
        <is>
          <t>q1c5ebac7507ac8c</t>
        </is>
      </c>
      <c r="N677" s="2" t="inlineStr">
        <is>
          <t>https://app.redstat.kz/niche/q1c5ebac7507ac8c?event_date=2026-08-01</t>
        </is>
      </c>
      <c r="O677" s="2" t="inlineStr"/>
    </row>
    <row r="678">
      <c r="A678" s="2" t="n">
        <v>677</v>
      </c>
      <c r="B678" s="2" t="inlineStr">
        <is>
          <t>Лазерные станки и комплектующие</t>
        </is>
      </c>
      <c r="C678" s="2" t="inlineStr">
        <is>
          <t>Строительство, ремонт</t>
        </is>
      </c>
      <c r="D678" s="2" t="inlineStr">
        <is>
          <t>Строительство, ремонт → Строительное оборудование → Лазерные станки и комплектующие → Лазерные станки и комплектующие</t>
        </is>
      </c>
      <c r="E678" s="3" t="n">
        <v>19998600</v>
      </c>
      <c r="F678" s="3" t="n">
        <v>48</v>
      </c>
      <c r="G678" s="3">
        <f>IFERROR(E678/F678,0)</f>
        <v/>
      </c>
      <c r="H678" s="3" t="n">
        <v>25</v>
      </c>
      <c r="I678" s="2" t="n">
        <v>8</v>
      </c>
      <c r="J678" s="3">
        <f>IFERROR(E678/H678,0)</f>
        <v/>
      </c>
      <c r="K678" s="10">
        <f>E678/'По разделам'!$B$21</f>
        <v/>
      </c>
      <c r="L678" s="4">
        <f>L677+K678</f>
        <v/>
      </c>
      <c r="M678" s="2" t="inlineStr">
        <is>
          <t>qa2be8c0f321da66</t>
        </is>
      </c>
      <c r="N678" s="2" t="inlineStr">
        <is>
          <t>https://app.redstat.kz/niche/qa2be8c0f321da66?event_date=2026-08-01</t>
        </is>
      </c>
      <c r="O678" s="2" t="inlineStr"/>
    </row>
    <row r="679">
      <c r="A679" s="2" t="n">
        <v>678</v>
      </c>
      <c r="B679" s="2" t="inlineStr">
        <is>
          <t>Кабели и коммутация</t>
        </is>
      </c>
      <c r="C679" s="2" t="inlineStr">
        <is>
          <t>ТВ, Аудио, Видео</t>
        </is>
      </c>
      <c r="D679" s="2" t="inlineStr">
        <is>
          <t>ТВ, Аудио, Видео → Аудиотехника → Кабели и коммутация → Кабели и коммутация</t>
        </is>
      </c>
      <c r="E679" s="3" t="n">
        <v>19982732</v>
      </c>
      <c r="F679" s="3" t="n">
        <v>3816</v>
      </c>
      <c r="G679" s="3">
        <f>IFERROR(E679/F679,0)</f>
        <v/>
      </c>
      <c r="H679" s="3" t="n">
        <v>639</v>
      </c>
      <c r="I679" s="2" t="n">
        <v>112</v>
      </c>
      <c r="J679" s="3">
        <f>IFERROR(E679/H679,0)</f>
        <v/>
      </c>
      <c r="K679" s="10">
        <f>E679/'По разделам'!$B$21</f>
        <v/>
      </c>
      <c r="L679" s="4">
        <f>L678+K679</f>
        <v/>
      </c>
      <c r="M679" s="2" t="inlineStr">
        <is>
          <t>qb7cac92774c8955</t>
        </is>
      </c>
      <c r="N679" s="2" t="inlineStr">
        <is>
          <t>https://app.redstat.kz/niche/qb7cac92774c8955?event_date=2026-08-01</t>
        </is>
      </c>
      <c r="O679" s="2" t="inlineStr"/>
    </row>
    <row r="680">
      <c r="A680" s="2" t="n">
        <v>679</v>
      </c>
      <c r="B680" s="2" t="inlineStr">
        <is>
          <t>Женские боди и корсеты</t>
        </is>
      </c>
      <c r="C680" s="2" t="inlineStr">
        <is>
          <t>Одежда</t>
        </is>
      </c>
      <c r="D680" s="2" t="inlineStr">
        <is>
          <t>Одежда → Женщинам → Женские боди и корсеты</t>
        </is>
      </c>
      <c r="E680" s="3" t="n">
        <v>19951188</v>
      </c>
      <c r="F680" s="3" t="n">
        <v>3222</v>
      </c>
      <c r="G680" s="3">
        <f>IFERROR(E680/F680,0)</f>
        <v/>
      </c>
      <c r="H680" s="3" t="n">
        <v>565</v>
      </c>
      <c r="I680" s="2" t="n">
        <v>78</v>
      </c>
      <c r="J680" s="3">
        <f>IFERROR(E680/H680,0)</f>
        <v/>
      </c>
      <c r="K680" s="10">
        <f>E680/'По разделам'!$B$21</f>
        <v/>
      </c>
      <c r="L680" s="4">
        <f>L679+K680</f>
        <v/>
      </c>
      <c r="M680" s="2" t="inlineStr">
        <is>
          <t>05961</t>
        </is>
      </c>
      <c r="N680" s="2" t="inlineStr">
        <is>
          <t>https://app.redstat.kz/niche/05961?event_date=2026-08-01</t>
        </is>
      </c>
      <c r="O680" s="2" t="inlineStr">
        <is>
          <t>https://kaspi.kz/shop/c/women%20bodysuits/</t>
        </is>
      </c>
    </row>
    <row r="681">
      <c r="A681" s="2" t="n">
        <v>680</v>
      </c>
      <c r="B681" s="2" t="inlineStr">
        <is>
          <t>Защита картера и КПП</t>
        </is>
      </c>
      <c r="C681" s="2" t="inlineStr">
        <is>
          <t>Автотовары</t>
        </is>
      </c>
      <c r="D681" s="2" t="inlineStr">
        <is>
          <t>Автотовары → Защита и внешний тюнинг → Защита картера и КПП</t>
        </is>
      </c>
      <c r="E681" s="3" t="n">
        <v>19946659</v>
      </c>
      <c r="F681" s="3" t="n">
        <v>702</v>
      </c>
      <c r="G681" s="3">
        <f>IFERROR(E681/F681,0)</f>
        <v/>
      </c>
      <c r="H681" s="3" t="n">
        <v>271</v>
      </c>
      <c r="I681" s="2" t="n">
        <v>33</v>
      </c>
      <c r="J681" s="3">
        <f>IFERROR(E681/H681,0)</f>
        <v/>
      </c>
      <c r="K681" s="10">
        <f>E681/'По разделам'!$B$21</f>
        <v/>
      </c>
      <c r="L681" s="4">
        <f>L680+K681</f>
        <v/>
      </c>
      <c r="M681" s="2" t="inlineStr">
        <is>
          <t>01602</t>
        </is>
      </c>
      <c r="N681" s="2" t="inlineStr">
        <is>
          <t>https://app.redstat.kz/niche/01602?event_date=2026-08-01</t>
        </is>
      </c>
      <c r="O681" s="2" t="inlineStr">
        <is>
          <t>https://kaspi.kz/shop/c/crankcase%20and%20gearbox%20protection/</t>
        </is>
      </c>
    </row>
    <row r="682">
      <c r="A682" s="2" t="n">
        <v>681</v>
      </c>
      <c r="B682" s="2" t="inlineStr">
        <is>
          <t>Бомбочки и соль для ванны</t>
        </is>
      </c>
      <c r="C682" s="2" t="inlineStr">
        <is>
          <t>Красота и здоровье</t>
        </is>
      </c>
      <c r="D682" s="2" t="inlineStr">
        <is>
          <t>Красота и здоровье → Уход за телом → Бомбочки и соль для ванны</t>
        </is>
      </c>
      <c r="E682" s="3" t="n">
        <v>19894621</v>
      </c>
      <c r="F682" s="3" t="n">
        <v>5542</v>
      </c>
      <c r="G682" s="3">
        <f>IFERROR(E682/F682,0)</f>
        <v/>
      </c>
      <c r="H682" s="3" t="n">
        <v>335</v>
      </c>
      <c r="I682" s="2" t="n">
        <v>89</v>
      </c>
      <c r="J682" s="3">
        <f>IFERROR(E682/H682,0)</f>
        <v/>
      </c>
      <c r="K682" s="10">
        <f>E682/'По разделам'!$B$21</f>
        <v/>
      </c>
      <c r="L682" s="4">
        <f>L681+K682</f>
        <v/>
      </c>
      <c r="M682" s="2" t="inlineStr">
        <is>
          <t>05003</t>
        </is>
      </c>
      <c r="N682" s="2" t="inlineStr">
        <is>
          <t>https://app.redstat.kz/niche/05003?event_date=2026-08-01</t>
        </is>
      </c>
      <c r="O682" s="2" t="inlineStr">
        <is>
          <t>https://kaspi.kz/shop/c/bath%20products/</t>
        </is>
      </c>
    </row>
    <row r="683">
      <c r="A683" s="2" t="n">
        <v>682</v>
      </c>
      <c r="B683" s="2" t="inlineStr">
        <is>
          <t>Масла, сыворотки для ногтей</t>
        </is>
      </c>
      <c r="C683" s="2" t="inlineStr">
        <is>
          <t>Красота и здоровье</t>
        </is>
      </c>
      <c r="D683" s="2" t="inlineStr">
        <is>
          <t>Красота и здоровье → Для маникюра и педикюра → Масла, сыворотки для ногтей</t>
        </is>
      </c>
      <c r="E683" s="3" t="n">
        <v>19892023</v>
      </c>
      <c r="F683" s="3" t="n">
        <v>9289</v>
      </c>
      <c r="G683" s="3">
        <f>IFERROR(E683/F683,0)</f>
        <v/>
      </c>
      <c r="H683" s="3" t="n">
        <v>341</v>
      </c>
      <c r="I683" s="2" t="n">
        <v>80</v>
      </c>
      <c r="J683" s="3">
        <f>IFERROR(E683/H683,0)</f>
        <v/>
      </c>
      <c r="K683" s="10">
        <f>E683/'По разделам'!$B$21</f>
        <v/>
      </c>
      <c r="L683" s="4">
        <f>L682+K683</f>
        <v/>
      </c>
      <c r="M683" s="2" t="inlineStr">
        <is>
          <t>05144</t>
        </is>
      </c>
      <c r="N683" s="2" t="inlineStr">
        <is>
          <t>https://app.redstat.kz/niche/05144?event_date=2026-08-01</t>
        </is>
      </c>
      <c r="O683" s="2" t="inlineStr">
        <is>
          <t>https://kaspi.kz/shop/c/oils%20serums/</t>
        </is>
      </c>
    </row>
    <row r="684">
      <c r="A684" s="2" t="n">
        <v>683</v>
      </c>
      <c r="B684" s="2" t="inlineStr">
        <is>
          <t>Воскоплавы и парафиновые ванны</t>
        </is>
      </c>
      <c r="C684" s="2" t="inlineStr">
        <is>
          <t>Красота и здоровье</t>
        </is>
      </c>
      <c r="D684" s="2" t="inlineStr">
        <is>
          <t>Красота и здоровье → Депиляция и эпиляция → Воскоплавы и парафиновые ванны</t>
        </is>
      </c>
      <c r="E684" s="3" t="n">
        <v>19831451</v>
      </c>
      <c r="F684" s="3" t="n">
        <v>5366</v>
      </c>
      <c r="G684" s="3">
        <f>IFERROR(E684/F684,0)</f>
        <v/>
      </c>
      <c r="H684" s="3" t="n">
        <v>140</v>
      </c>
      <c r="I684" s="2" t="n">
        <v>33</v>
      </c>
      <c r="J684" s="3">
        <f>IFERROR(E684/H684,0)</f>
        <v/>
      </c>
      <c r="K684" s="10">
        <f>E684/'По разделам'!$B$21</f>
        <v/>
      </c>
      <c r="L684" s="4">
        <f>L683+K684</f>
        <v/>
      </c>
      <c r="M684" s="2" t="inlineStr">
        <is>
          <t>01444</t>
        </is>
      </c>
      <c r="N684" s="2" t="inlineStr">
        <is>
          <t>https://app.redstat.kz/niche/01444?event_date=2026-08-01</t>
        </is>
      </c>
      <c r="O684" s="2" t="inlineStr">
        <is>
          <t>https://kaspi.kz/shop/c/wax%20warmers%20and%20paraffin%20baths/</t>
        </is>
      </c>
    </row>
    <row r="685">
      <c r="A685" s="2" t="n">
        <v>684</v>
      </c>
      <c r="B685" s="2" t="inlineStr">
        <is>
          <t>Комплекты офисной мебели</t>
        </is>
      </c>
      <c r="C685" s="2" t="inlineStr">
        <is>
          <t>Мебель</t>
        </is>
      </c>
      <c r="D685" s="2" t="inlineStr">
        <is>
          <t>Мебель → Офис и кабинет → Комплекты офисной мебели</t>
        </is>
      </c>
      <c r="E685" s="3" t="n">
        <v>19737809</v>
      </c>
      <c r="F685" s="3" t="n">
        <v>136</v>
      </c>
      <c r="G685" s="3">
        <f>IFERROR(E685/F685,0)</f>
        <v/>
      </c>
      <c r="H685" s="3" t="n">
        <v>30</v>
      </c>
      <c r="I685" s="2" t="n">
        <v>11</v>
      </c>
      <c r="J685" s="3">
        <f>IFERROR(E685/H685,0)</f>
        <v/>
      </c>
      <c r="K685" s="10">
        <f>E685/'По разделам'!$B$21</f>
        <v/>
      </c>
      <c r="L685" s="4">
        <f>L684+K685</f>
        <v/>
      </c>
      <c r="M685" s="2" t="inlineStr">
        <is>
          <t>04595</t>
        </is>
      </c>
      <c r="N685" s="2" t="inlineStr">
        <is>
          <t>https://app.redstat.kz/niche/04595?event_date=2026-08-01</t>
        </is>
      </c>
      <c r="O685" s="2" t="inlineStr">
        <is>
          <t>https://kaspi.kz/shop/c/office%20furniture%20sets/</t>
        </is>
      </c>
    </row>
    <row r="686">
      <c r="A686" s="2" t="n">
        <v>685</v>
      </c>
      <c r="B686" s="2" t="inlineStr">
        <is>
          <t>Товары для скрапбукинга</t>
        </is>
      </c>
      <c r="C686" s="2" t="inlineStr">
        <is>
          <t>Досуг, книги</t>
        </is>
      </c>
      <c r="D686" s="2" t="inlineStr">
        <is>
          <t>Досуг, книги → Хобби и творчество → Товары для скрапбукинга → Товары для скрапбукинга</t>
        </is>
      </c>
      <c r="E686" s="3" t="n">
        <v>19689529</v>
      </c>
      <c r="F686" s="3" t="n">
        <v>15586</v>
      </c>
      <c r="G686" s="3">
        <f>IFERROR(E686/F686,0)</f>
        <v/>
      </c>
      <c r="H686" s="3" t="n">
        <v>1476</v>
      </c>
      <c r="I686" s="2" t="n">
        <v>120</v>
      </c>
      <c r="J686" s="3">
        <f>IFERROR(E686/H686,0)</f>
        <v/>
      </c>
      <c r="K686" s="10">
        <f>E686/'По разделам'!$B$21</f>
        <v/>
      </c>
      <c r="L686" s="4">
        <f>L685+K686</f>
        <v/>
      </c>
      <c r="M686" s="2" t="inlineStr">
        <is>
          <t>qd01b120106ee926</t>
        </is>
      </c>
      <c r="N686" s="2" t="inlineStr">
        <is>
          <t>https://app.redstat.kz/niche/qd01b120106ee926?event_date=2026-08-01</t>
        </is>
      </c>
      <c r="O686" s="2" t="inlineStr"/>
    </row>
    <row r="687">
      <c r="A687" s="2" t="n">
        <v>686</v>
      </c>
      <c r="B687" s="2" t="inlineStr">
        <is>
          <t>Аксессуары для автомобильной аудиотехники</t>
        </is>
      </c>
      <c r="C687" s="2" t="inlineStr">
        <is>
          <t>Автотовары</t>
        </is>
      </c>
      <c r="D687" s="2" t="inlineStr">
        <is>
          <t>Автотовары → Автоакустика → Аксессуары для автомобильной аудиотехники</t>
        </is>
      </c>
      <c r="E687" s="3" t="n">
        <v>19665307</v>
      </c>
      <c r="F687" s="3" t="n">
        <v>967</v>
      </c>
      <c r="G687" s="3">
        <f>IFERROR(E687/F687,0)</f>
        <v/>
      </c>
      <c r="H687" s="3" t="n">
        <v>238</v>
      </c>
      <c r="I687" s="2" t="n">
        <v>63</v>
      </c>
      <c r="J687" s="3">
        <f>IFERROR(E687/H687,0)</f>
        <v/>
      </c>
      <c r="K687" s="10">
        <f>E687/'По разделам'!$B$21</f>
        <v/>
      </c>
      <c r="L687" s="4">
        <f>L686+K687</f>
        <v/>
      </c>
      <c r="M687" s="2" t="inlineStr">
        <is>
          <t>05874</t>
        </is>
      </c>
      <c r="N687" s="2" t="inlineStr">
        <is>
          <t>https://app.redstat.kz/niche/05874?event_date=2026-08-01</t>
        </is>
      </c>
      <c r="O687" s="2" t="inlineStr">
        <is>
          <t>https://kaspi.kz/shop/c/car%20audio%20accessories/</t>
        </is>
      </c>
    </row>
    <row r="688">
      <c r="A688" s="2" t="n">
        <v>687</v>
      </c>
      <c r="B688" s="2" t="inlineStr">
        <is>
          <t>Окислители для краски</t>
        </is>
      </c>
      <c r="C688" s="2" t="inlineStr">
        <is>
          <t>Красота и здоровье</t>
        </is>
      </c>
      <c r="D688" s="2" t="inlineStr">
        <is>
          <t>Красота и здоровье → Уход за волосами → Окислители для краски</t>
        </is>
      </c>
      <c r="E688" s="3" t="n">
        <v>19653956</v>
      </c>
      <c r="F688" s="3" t="n">
        <v>6318</v>
      </c>
      <c r="G688" s="3">
        <f>IFERROR(E688/F688,0)</f>
        <v/>
      </c>
      <c r="H688" s="3" t="n">
        <v>313</v>
      </c>
      <c r="I688" s="2" t="n">
        <v>53</v>
      </c>
      <c r="J688" s="3">
        <f>IFERROR(E688/H688,0)</f>
        <v/>
      </c>
      <c r="K688" s="10">
        <f>E688/'По разделам'!$B$21</f>
        <v/>
      </c>
      <c r="L688" s="4">
        <f>L687+K688</f>
        <v/>
      </c>
      <c r="M688" s="2" t="inlineStr">
        <is>
          <t>01255</t>
        </is>
      </c>
      <c r="N688" s="2" t="inlineStr">
        <is>
          <t>https://app.redstat.kz/niche/01255?event_date=2026-08-01</t>
        </is>
      </c>
      <c r="O688" s="2" t="inlineStr">
        <is>
          <t>https://kaspi.kz/shop/c/hair%20color%20developers/</t>
        </is>
      </c>
    </row>
    <row r="689">
      <c r="A689" s="2" t="n">
        <v>688</v>
      </c>
      <c r="B689" s="2" t="inlineStr">
        <is>
          <t>Большой теннис</t>
        </is>
      </c>
      <c r="C689" s="2" t="inlineStr">
        <is>
          <t>Спорт, туризм</t>
        </is>
      </c>
      <c r="D689" s="2" t="inlineStr">
        <is>
          <t>Спорт, туризм → Теннис и бадминтон → Большой теннис → Большой теннис</t>
        </is>
      </c>
      <c r="E689" s="3" t="n">
        <v>19556632</v>
      </c>
      <c r="F689" s="3" t="n">
        <v>544</v>
      </c>
      <c r="G689" s="3">
        <f>IFERROR(E689/F689,0)</f>
        <v/>
      </c>
      <c r="H689" s="3" t="n">
        <v>216</v>
      </c>
      <c r="I689" s="2" t="n">
        <v>25</v>
      </c>
      <c r="J689" s="3">
        <f>IFERROR(E689/H689,0)</f>
        <v/>
      </c>
      <c r="K689" s="10">
        <f>E689/'По разделам'!$B$21</f>
        <v/>
      </c>
      <c r="L689" s="4">
        <f>L688+K689</f>
        <v/>
      </c>
      <c r="M689" s="2" t="inlineStr">
        <is>
          <t>q9665042a926251d</t>
        </is>
      </c>
      <c r="N689" s="2" t="inlineStr">
        <is>
          <t>https://app.redstat.kz/niche/q9665042a926251d?event_date=2026-08-01</t>
        </is>
      </c>
      <c r="O689" s="2" t="inlineStr"/>
    </row>
    <row r="690">
      <c r="A690" s="2" t="n">
        <v>689</v>
      </c>
      <c r="B690" s="2" t="inlineStr">
        <is>
          <t>Точилки для карандашей</t>
        </is>
      </c>
      <c r="C690" s="2" t="inlineStr">
        <is>
          <t>Канцелярские товары</t>
        </is>
      </c>
      <c r="D690" s="2" t="inlineStr">
        <is>
          <t>Канцелярские товары → Письменные принадлежности → Точилки для карандашей</t>
        </is>
      </c>
      <c r="E690" s="3" t="n">
        <v>19548659</v>
      </c>
      <c r="F690" s="3" t="n">
        <v>47182</v>
      </c>
      <c r="G690" s="3">
        <f>IFERROR(E690/F690,0)</f>
        <v/>
      </c>
      <c r="H690" s="3" t="n">
        <v>661</v>
      </c>
      <c r="I690" s="2" t="n">
        <v>70</v>
      </c>
      <c r="J690" s="3">
        <f>IFERROR(E690/H690,0)</f>
        <v/>
      </c>
      <c r="K690" s="10">
        <f>E690/'По разделам'!$B$21</f>
        <v/>
      </c>
      <c r="L690" s="4">
        <f>L689+K690</f>
        <v/>
      </c>
      <c r="M690" s="2" t="inlineStr">
        <is>
          <t>04297</t>
        </is>
      </c>
      <c r="N690" s="2" t="inlineStr">
        <is>
          <t>https://app.redstat.kz/niche/04297?event_date=2026-08-01</t>
        </is>
      </c>
      <c r="O690" s="2" t="inlineStr">
        <is>
          <t>https://kaspi.kz/shop/c/pencil%20sharpeners/</t>
        </is>
      </c>
    </row>
    <row r="691">
      <c r="A691" s="2" t="n">
        <v>690</v>
      </c>
      <c r="B691" s="2" t="inlineStr">
        <is>
          <t>Галстуки и бабочки</t>
        </is>
      </c>
      <c r="C691" s="2" t="inlineStr">
        <is>
          <t>Аксессуары</t>
        </is>
      </c>
      <c r="D691" s="2" t="inlineStr">
        <is>
          <t>Аксессуары → Аксессуары для одежды и обуви → Галстуки и бабочки</t>
        </is>
      </c>
      <c r="E691" s="3" t="n">
        <v>19520762</v>
      </c>
      <c r="F691" s="3" t="n">
        <v>10577</v>
      </c>
      <c r="G691" s="3">
        <f>IFERROR(E691/F691,0)</f>
        <v/>
      </c>
      <c r="H691" s="3" t="n">
        <v>683</v>
      </c>
      <c r="I691" s="2" t="n">
        <v>69</v>
      </c>
      <c r="J691" s="3">
        <f>IFERROR(E691/H691,0)</f>
        <v/>
      </c>
      <c r="K691" s="10">
        <f>E691/'По разделам'!$B$21</f>
        <v/>
      </c>
      <c r="L691" s="4">
        <f>L690+K691</f>
        <v/>
      </c>
      <c r="M691" s="2" t="inlineStr">
        <is>
          <t>02033</t>
        </is>
      </c>
      <c r="N691" s="2" t="inlineStr">
        <is>
          <t>https://app.redstat.kz/niche/02033?event_date=2026-08-01</t>
        </is>
      </c>
      <c r="O691" s="2" t="inlineStr">
        <is>
          <t>https://kaspi.kz/shop/c/ties%20and%20bow%20ties/</t>
        </is>
      </c>
    </row>
    <row r="692">
      <c r="A692" s="2" t="n">
        <v>691</v>
      </c>
      <c r="B692" s="2" t="inlineStr">
        <is>
          <t>Журналы и газеты</t>
        </is>
      </c>
      <c r="C692" s="2" t="inlineStr">
        <is>
          <t>Досуг, книги</t>
        </is>
      </c>
      <c r="D692" s="2" t="inlineStr">
        <is>
          <t>Досуг, книги → Книги → Журналы и газеты</t>
        </is>
      </c>
      <c r="E692" s="3" t="n">
        <v>19294974</v>
      </c>
      <c r="F692" s="3" t="n">
        <v>4989</v>
      </c>
      <c r="G692" s="3">
        <f>IFERROR(E692/F692,0)</f>
        <v/>
      </c>
      <c r="H692" s="3" t="n">
        <v>436</v>
      </c>
      <c r="I692" s="2" t="n">
        <v>52</v>
      </c>
      <c r="J692" s="3">
        <f>IFERROR(E692/H692,0)</f>
        <v/>
      </c>
      <c r="K692" s="10">
        <f>E692/'По разделам'!$B$21</f>
        <v/>
      </c>
      <c r="L692" s="4">
        <f>L691+K692</f>
        <v/>
      </c>
      <c r="M692" s="2" t="inlineStr">
        <is>
          <t>06695</t>
        </is>
      </c>
      <c r="N692" s="2" t="inlineStr">
        <is>
          <t>https://app.redstat.kz/niche/06695?event_date=2026-08-01</t>
        </is>
      </c>
      <c r="O692" s="2" t="inlineStr">
        <is>
          <t>https://kaspi.kz/shop/c/magazines%20and%20newspapers/</t>
        </is>
      </c>
    </row>
    <row r="693">
      <c r="A693" s="2" t="n">
        <v>692</v>
      </c>
      <c r="B693" s="2" t="inlineStr">
        <is>
          <t>Кольцевые лампы</t>
        </is>
      </c>
      <c r="C693" s="2" t="inlineStr">
        <is>
          <t>ТВ, Аудио, Видео</t>
        </is>
      </c>
      <c r="D693" s="2" t="inlineStr">
        <is>
          <t>ТВ, Аудио, Видео → Фото- и видеокамеры → Кольцевые лампы</t>
        </is>
      </c>
      <c r="E693" s="3" t="n">
        <v>19283166</v>
      </c>
      <c r="F693" s="3" t="n">
        <v>4544</v>
      </c>
      <c r="G693" s="3">
        <f>IFERROR(E693/F693,0)</f>
        <v/>
      </c>
      <c r="H693" s="3" t="n">
        <v>158</v>
      </c>
      <c r="I693" s="2" t="n">
        <v>43</v>
      </c>
      <c r="J693" s="3">
        <f>IFERROR(E693/H693,0)</f>
        <v/>
      </c>
      <c r="K693" s="10">
        <f>E693/'По разделам'!$B$21</f>
        <v/>
      </c>
      <c r="L693" s="4">
        <f>L692+K693</f>
        <v/>
      </c>
      <c r="M693" s="2" t="inlineStr">
        <is>
          <t>01590</t>
        </is>
      </c>
      <c r="N693" s="2" t="inlineStr">
        <is>
          <t>https://app.redstat.kz/niche/01590?event_date=2026-08-01</t>
        </is>
      </c>
      <c r="O693" s="2" t="inlineStr">
        <is>
          <t>https://kaspi.kz/shop/c/ring%20lights/</t>
        </is>
      </c>
    </row>
    <row r="694">
      <c r="A694" s="2" t="n">
        <v>693</v>
      </c>
      <c r="B694" s="2" t="inlineStr">
        <is>
          <t>Беспроводные метки и трекеры</t>
        </is>
      </c>
      <c r="C694" s="2" t="inlineStr">
        <is>
          <t>Телефоны и гаджеты</t>
        </is>
      </c>
      <c r="D694" s="2" t="inlineStr">
        <is>
          <t>Телефоны и гаджеты → Гаджеты → Беспроводные метки и трекеры</t>
        </is>
      </c>
      <c r="E694" s="3" t="n">
        <v>19260509</v>
      </c>
      <c r="F694" s="3" t="n">
        <v>1480</v>
      </c>
      <c r="G694" s="3">
        <f>IFERROR(E694/F694,0)</f>
        <v/>
      </c>
      <c r="H694" s="3" t="n">
        <v>73</v>
      </c>
      <c r="I694" s="2" t="n">
        <v>22</v>
      </c>
      <c r="J694" s="3">
        <f>IFERROR(E694/H694,0)</f>
        <v/>
      </c>
      <c r="K694" s="10">
        <f>E694/'По разделам'!$B$21</f>
        <v/>
      </c>
      <c r="L694" s="4">
        <f>L693+K694</f>
        <v/>
      </c>
      <c r="M694" s="2" t="inlineStr">
        <is>
          <t>03137</t>
        </is>
      </c>
      <c r="N694" s="2" t="inlineStr">
        <is>
          <t>https://app.redstat.kz/niche/03137?event_date=2026-08-01</t>
        </is>
      </c>
      <c r="O694" s="2" t="inlineStr">
        <is>
          <t>https://kaspi.kz/shop/search/?text=%D0%91%D0%B5%D1%81%D0%BF%D1%80%D0%BE%D0%B2%D0%BE%D0%B4%D0%BD%D1%8B%D0%B5%20%D0%BC%D0%B5%D1%82%D0%BA%D0%B8%20%D0%B8%20%D1%82%D1%80%D0%B5%D0%BA%D0%B5%D1%80%D1%8B</t>
        </is>
      </c>
    </row>
    <row r="695">
      <c r="A695" s="2" t="n">
        <v>694</v>
      </c>
      <c r="B695" s="2" t="inlineStr">
        <is>
          <t>Мужские кардиганы и джемперы</t>
        </is>
      </c>
      <c r="C695" s="2" t="inlineStr">
        <is>
          <t>Одежда</t>
        </is>
      </c>
      <c r="D695" s="2" t="inlineStr">
        <is>
          <t>Одежда → Мужчинам → Мужские кардиганы и джемперы</t>
        </is>
      </c>
      <c r="E695" s="3" t="n">
        <v>19186820</v>
      </c>
      <c r="F695" s="3" t="n">
        <v>1166</v>
      </c>
      <c r="G695" s="3">
        <f>IFERROR(E695/F695,0)</f>
        <v/>
      </c>
      <c r="H695" s="3" t="n">
        <v>580</v>
      </c>
      <c r="I695" s="2" t="n">
        <v>120</v>
      </c>
      <c r="J695" s="3">
        <f>IFERROR(E695/H695,0)</f>
        <v/>
      </c>
      <c r="K695" s="10">
        <f>E695/'По разделам'!$B$21</f>
        <v/>
      </c>
      <c r="L695" s="4">
        <f>L694+K695</f>
        <v/>
      </c>
      <c r="M695" s="2" t="inlineStr">
        <is>
          <t>01308</t>
        </is>
      </c>
      <c r="N695" s="2" t="inlineStr">
        <is>
          <t>https://app.redstat.kz/niche/01308?event_date=2026-08-01</t>
        </is>
      </c>
      <c r="O695" s="2" t="inlineStr">
        <is>
          <t>https://kaspi.kz/shop/c/men%20cardigans/</t>
        </is>
      </c>
    </row>
    <row r="696">
      <c r="A696" s="2" t="n">
        <v>695</v>
      </c>
      <c r="B696" s="2" t="inlineStr">
        <is>
          <t>Мужские шорты</t>
        </is>
      </c>
      <c r="C696" s="2" t="inlineStr">
        <is>
          <t>Одежда</t>
        </is>
      </c>
      <c r="D696" s="2" t="inlineStr">
        <is>
          <t>Одежда → Мужчинам → Мужские шорты</t>
        </is>
      </c>
      <c r="E696" s="3" t="n">
        <v>19120790</v>
      </c>
      <c r="F696" s="3" t="n">
        <v>3734</v>
      </c>
      <c r="G696" s="3">
        <f>IFERROR(E696/F696,0)</f>
        <v/>
      </c>
      <c r="H696" s="3" t="n">
        <v>819</v>
      </c>
      <c r="I696" s="2" t="n">
        <v>99</v>
      </c>
      <c r="J696" s="3">
        <f>IFERROR(E696/H696,0)</f>
        <v/>
      </c>
      <c r="K696" s="10">
        <f>E696/'По разделам'!$B$21</f>
        <v/>
      </c>
      <c r="L696" s="4">
        <f>L695+K696</f>
        <v/>
      </c>
      <c r="M696" s="2" t="inlineStr">
        <is>
          <t>01592</t>
        </is>
      </c>
      <c r="N696" s="2" t="inlineStr">
        <is>
          <t>https://app.redstat.kz/niche/01592?event_date=2026-08-01</t>
        </is>
      </c>
      <c r="O696" s="2" t="inlineStr">
        <is>
          <t>https://kaspi.kz/shop/c/men%20shorts/</t>
        </is>
      </c>
    </row>
    <row r="697">
      <c r="A697" s="2" t="n">
        <v>696</v>
      </c>
      <c r="B697" s="2" t="inlineStr">
        <is>
          <t>Детские игровые домики и палатки</t>
        </is>
      </c>
      <c r="C697" s="2" t="inlineStr">
        <is>
          <t>Детские товары</t>
        </is>
      </c>
      <c r="D697" s="2" t="inlineStr">
        <is>
          <t>Детские товары → Игровая площадка → Детские игровые домики и палатки</t>
        </is>
      </c>
      <c r="E697" s="3" t="n">
        <v>19108983</v>
      </c>
      <c r="F697" s="3" t="n">
        <v>2185</v>
      </c>
      <c r="G697" s="3">
        <f>IFERROR(E697/F697,0)</f>
        <v/>
      </c>
      <c r="H697" s="3" t="n">
        <v>173</v>
      </c>
      <c r="I697" s="2" t="n">
        <v>63</v>
      </c>
      <c r="J697" s="3">
        <f>IFERROR(E697/H697,0)</f>
        <v/>
      </c>
      <c r="K697" s="10">
        <f>E697/'По разделам'!$B$21</f>
        <v/>
      </c>
      <c r="L697" s="4">
        <f>L696+K697</f>
        <v/>
      </c>
      <c r="M697" s="2" t="inlineStr">
        <is>
          <t>02469</t>
        </is>
      </c>
      <c r="N697" s="2" t="inlineStr">
        <is>
          <t>https://app.redstat.kz/niche/02469?event_date=2026-08-01</t>
        </is>
      </c>
      <c r="O697" s="2" t="inlineStr">
        <is>
          <t>https://kaspi.kz/shop/c/kids%20playhouses%20and%20tents/</t>
        </is>
      </c>
    </row>
    <row r="698">
      <c r="A698" s="2" t="n">
        <v>697</v>
      </c>
      <c r="B698" s="2" t="inlineStr">
        <is>
          <t>Садовые конструкции</t>
        </is>
      </c>
      <c r="C698" s="2" t="inlineStr">
        <is>
          <t>Товары для дома и дачи</t>
        </is>
      </c>
      <c r="D698" s="2" t="inlineStr">
        <is>
          <t>Товары для дома и дачи → Дача, сад и огород → Садовые конструкции → Садовые конструкции</t>
        </is>
      </c>
      <c r="E698" s="3" t="n">
        <v>18871970</v>
      </c>
      <c r="F698" s="3" t="n">
        <v>1057</v>
      </c>
      <c r="G698" s="3">
        <f>IFERROR(E698/F698,0)</f>
        <v/>
      </c>
      <c r="H698" s="3" t="n">
        <v>129</v>
      </c>
      <c r="I698" s="2" t="n">
        <v>31</v>
      </c>
      <c r="J698" s="3">
        <f>IFERROR(E698/H698,0)</f>
        <v/>
      </c>
      <c r="K698" s="10">
        <f>E698/'По разделам'!$B$21</f>
        <v/>
      </c>
      <c r="L698" s="4">
        <f>L697+K698</f>
        <v/>
      </c>
      <c r="M698" s="2" t="inlineStr">
        <is>
          <t>q39d0382ebc20733</t>
        </is>
      </c>
      <c r="N698" s="2" t="inlineStr">
        <is>
          <t>https://app.redstat.kz/niche/q39d0382ebc20733?event_date=2026-08-01</t>
        </is>
      </c>
      <c r="O698" s="2" t="inlineStr"/>
    </row>
    <row r="699">
      <c r="A699" s="2" t="n">
        <v>698</v>
      </c>
      <c r="B699" s="2" t="inlineStr">
        <is>
          <t>Электрические паяльники и комплектующие</t>
        </is>
      </c>
      <c r="C699" s="2" t="inlineStr">
        <is>
          <t>Строительство, ремонт</t>
        </is>
      </c>
      <c r="D699" s="2" t="inlineStr">
        <is>
          <t>Строительство, ремонт → Инструменты → Электрические паяльники и комплектующие → Электрические паяльники и комплектующие</t>
        </is>
      </c>
      <c r="E699" s="3" t="n">
        <v>18640456</v>
      </c>
      <c r="F699" s="3" t="n">
        <v>2963</v>
      </c>
      <c r="G699" s="3">
        <f>IFERROR(E699/F699,0)</f>
        <v/>
      </c>
      <c r="H699" s="3" t="n">
        <v>331</v>
      </c>
      <c r="I699" s="2" t="n">
        <v>94</v>
      </c>
      <c r="J699" s="3">
        <f>IFERROR(E699/H699,0)</f>
        <v/>
      </c>
      <c r="K699" s="10">
        <f>E699/'По разделам'!$B$21</f>
        <v/>
      </c>
      <c r="L699" s="4">
        <f>L698+K699</f>
        <v/>
      </c>
      <c r="M699" s="2" t="inlineStr">
        <is>
          <t>q4697f8787c019d2</t>
        </is>
      </c>
      <c r="N699" s="2" t="inlineStr">
        <is>
          <t>https://app.redstat.kz/niche/q4697f8787c019d2?event_date=2026-08-01</t>
        </is>
      </c>
      <c r="O699" s="2" t="inlineStr"/>
    </row>
    <row r="700">
      <c r="A700" s="2" t="n">
        <v>699</v>
      </c>
      <c r="B700" s="2" t="inlineStr">
        <is>
          <t>Циркули и готовальни</t>
        </is>
      </c>
      <c r="C700" s="2" t="inlineStr">
        <is>
          <t>Канцелярские товары</t>
        </is>
      </c>
      <c r="D700" s="2" t="inlineStr">
        <is>
          <t>Канцелярские товары → Школьные принадлежности → Циркули и готовальни</t>
        </is>
      </c>
      <c r="E700" s="3" t="n">
        <v>18576282</v>
      </c>
      <c r="F700" s="3" t="n">
        <v>17512</v>
      </c>
      <c r="G700" s="3">
        <f>IFERROR(E700/F700,0)</f>
        <v/>
      </c>
      <c r="H700" s="3" t="n">
        <v>407</v>
      </c>
      <c r="I700" s="2" t="n">
        <v>48</v>
      </c>
      <c r="J700" s="3">
        <f>IFERROR(E700/H700,0)</f>
        <v/>
      </c>
      <c r="K700" s="10">
        <f>E700/'По разделам'!$B$21</f>
        <v/>
      </c>
      <c r="L700" s="4">
        <f>L699+K700</f>
        <v/>
      </c>
      <c r="M700" s="2" t="inlineStr">
        <is>
          <t>04305</t>
        </is>
      </c>
      <c r="N700" s="2" t="inlineStr">
        <is>
          <t>https://app.redstat.kz/niche/04305?event_date=2026-08-01</t>
        </is>
      </c>
      <c r="O700" s="2" t="inlineStr">
        <is>
          <t>https://kaspi.kz/shop/c/drafting%20compasses%20for%20geometry%20sets/</t>
        </is>
      </c>
    </row>
    <row r="701">
      <c r="A701" s="2" t="n">
        <v>700</v>
      </c>
      <c r="B701" s="2" t="inlineStr">
        <is>
          <t>Веб-камеры</t>
        </is>
      </c>
      <c r="C701" s="2" t="inlineStr">
        <is>
          <t>Компьютеры</t>
        </is>
      </c>
      <c r="D701" s="2" t="inlineStr">
        <is>
          <t>Компьютеры → Периферия → Веб-камеры</t>
        </is>
      </c>
      <c r="E701" s="3" t="n">
        <v>18570793</v>
      </c>
      <c r="F701" s="3" t="n">
        <v>1406</v>
      </c>
      <c r="G701" s="3">
        <f>IFERROR(E701/F701,0)</f>
        <v/>
      </c>
      <c r="H701" s="3" t="n">
        <v>120</v>
      </c>
      <c r="I701" s="2" t="n">
        <v>40</v>
      </c>
      <c r="J701" s="3">
        <f>IFERROR(E701/H701,0)</f>
        <v/>
      </c>
      <c r="K701" s="10">
        <f>E701/'По разделам'!$B$21</f>
        <v/>
      </c>
      <c r="L701" s="4">
        <f>L700+K701</f>
        <v/>
      </c>
      <c r="M701" s="2" t="inlineStr">
        <is>
          <t>04052</t>
        </is>
      </c>
      <c r="N701" s="2" t="inlineStr">
        <is>
          <t>https://app.redstat.kz/niche/04052?event_date=2026-08-01</t>
        </is>
      </c>
      <c r="O701" s="2" t="inlineStr">
        <is>
          <t>https://kaspi.kz/shop/c/webcams/</t>
        </is>
      </c>
    </row>
    <row r="702">
      <c r="A702" s="2" t="n">
        <v>701</v>
      </c>
      <c r="B702" s="2" t="inlineStr">
        <is>
          <t>Линейки</t>
        </is>
      </c>
      <c r="C702" s="2" t="inlineStr">
        <is>
          <t>Канцелярские товары</t>
        </is>
      </c>
      <c r="D702" s="2" t="inlineStr">
        <is>
          <t>Канцелярские товары → Школьные принадлежности → Линейки</t>
        </is>
      </c>
      <c r="E702" s="3" t="n">
        <v>18515961</v>
      </c>
      <c r="F702" s="3" t="n">
        <v>44773</v>
      </c>
      <c r="G702" s="3">
        <f>IFERROR(E702/F702,0)</f>
        <v/>
      </c>
      <c r="H702" s="3" t="n">
        <v>770</v>
      </c>
      <c r="I702" s="2" t="n">
        <v>84</v>
      </c>
      <c r="J702" s="3">
        <f>IFERROR(E702/H702,0)</f>
        <v/>
      </c>
      <c r="K702" s="10">
        <f>E702/'По разделам'!$B$21</f>
        <v/>
      </c>
      <c r="L702" s="4">
        <f>L701+K702</f>
        <v/>
      </c>
      <c r="M702" s="2" t="inlineStr">
        <is>
          <t>04306</t>
        </is>
      </c>
      <c r="N702" s="2" t="inlineStr">
        <is>
          <t>https://app.redstat.kz/niche/04306?event_date=2026-08-01</t>
        </is>
      </c>
      <c r="O702" s="2" t="inlineStr">
        <is>
          <t>https://kaspi.kz/shop/c/rulers/</t>
        </is>
      </c>
    </row>
    <row r="703">
      <c r="A703" s="2" t="n">
        <v>702</v>
      </c>
      <c r="B703" s="2" t="inlineStr">
        <is>
          <t>Боксерские перчатки</t>
        </is>
      </c>
      <c r="C703" s="2" t="inlineStr">
        <is>
          <t>Спорт, туризм</t>
        </is>
      </c>
      <c r="D703" s="2" t="inlineStr">
        <is>
          <t>Спорт, туризм → Единоборства → Боксерские перчатки</t>
        </is>
      </c>
      <c r="E703" s="3" t="n">
        <v>18414550</v>
      </c>
      <c r="F703" s="3" t="n">
        <v>2162</v>
      </c>
      <c r="G703" s="3">
        <f>IFERROR(E703/F703,0)</f>
        <v/>
      </c>
      <c r="H703" s="3" t="n">
        <v>562</v>
      </c>
      <c r="I703" s="2" t="n">
        <v>58</v>
      </c>
      <c r="J703" s="3">
        <f>IFERROR(E703/H703,0)</f>
        <v/>
      </c>
      <c r="K703" s="10">
        <f>E703/'По разделам'!$B$21</f>
        <v/>
      </c>
      <c r="L703" s="4">
        <f>L702+K703</f>
        <v/>
      </c>
      <c r="M703" s="2" t="inlineStr">
        <is>
          <t>01226</t>
        </is>
      </c>
      <c r="N703" s="2" t="inlineStr">
        <is>
          <t>https://app.redstat.kz/niche/01226?event_date=2026-08-01</t>
        </is>
      </c>
      <c r="O703" s="2" t="inlineStr">
        <is>
          <t>https://kaspi.kz/shop/c/boxing%20gloves/</t>
        </is>
      </c>
    </row>
    <row r="704">
      <c r="A704" s="2" t="n">
        <v>703</v>
      </c>
      <c r="B704" s="2" t="inlineStr">
        <is>
          <t>Машинки для стрижки животных</t>
        </is>
      </c>
      <c r="C704" s="2" t="inlineStr">
        <is>
          <t>Товары для животных</t>
        </is>
      </c>
      <c r="D704" s="2" t="inlineStr">
        <is>
          <t>Товары для животных → Груминг → Машинки для стрижки животных</t>
        </is>
      </c>
      <c r="E704" s="3" t="n">
        <v>18413434</v>
      </c>
      <c r="F704" s="3" t="n">
        <v>790</v>
      </c>
      <c r="G704" s="3">
        <f>IFERROR(E704/F704,0)</f>
        <v/>
      </c>
      <c r="H704" s="3" t="n">
        <v>126</v>
      </c>
      <c r="I704" s="2" t="n">
        <v>62</v>
      </c>
      <c r="J704" s="3">
        <f>IFERROR(E704/H704,0)</f>
        <v/>
      </c>
      <c r="K704" s="10">
        <f>E704/'По разделам'!$B$21</f>
        <v/>
      </c>
      <c r="L704" s="4">
        <f>L703+K704</f>
        <v/>
      </c>
      <c r="M704" s="2" t="inlineStr">
        <is>
          <t>03111</t>
        </is>
      </c>
      <c r="N704" s="2" t="inlineStr">
        <is>
          <t>https://app.redstat.kz/niche/03111?event_date=2026-08-01</t>
        </is>
      </c>
      <c r="O704" s="2" t="inlineStr">
        <is>
          <t>https://kaspi.kz/shop/c/hair%20clippers%20for%20animals/</t>
        </is>
      </c>
    </row>
    <row r="705">
      <c r="A705" s="2" t="n">
        <v>704</v>
      </c>
      <c r="B705" s="2" t="inlineStr">
        <is>
          <t>Автомобильные маркизы</t>
        </is>
      </c>
      <c r="C705" s="2" t="inlineStr">
        <is>
          <t>Автотовары</t>
        </is>
      </c>
      <c r="D705" s="2" t="inlineStr">
        <is>
          <t>Автотовары → Автоаксессуары → Автомобильные маркизы</t>
        </is>
      </c>
      <c r="E705" s="3" t="n">
        <v>18397466</v>
      </c>
      <c r="F705" s="3" t="n">
        <v>229</v>
      </c>
      <c r="G705" s="3">
        <f>IFERROR(E705/F705,0)</f>
        <v/>
      </c>
      <c r="H705" s="3" t="n">
        <v>72</v>
      </c>
      <c r="I705" s="2" t="n">
        <v>22</v>
      </c>
      <c r="J705" s="3">
        <f>IFERROR(E705/H705,0)</f>
        <v/>
      </c>
      <c r="K705" s="10">
        <f>E705/'По разделам'!$B$21</f>
        <v/>
      </c>
      <c r="L705" s="4">
        <f>L704+K705</f>
        <v/>
      </c>
      <c r="M705" s="2" t="inlineStr">
        <is>
          <t>02123</t>
        </is>
      </c>
      <c r="N705" s="2" t="inlineStr">
        <is>
          <t>https://app.redstat.kz/niche/02123?event_date=2026-08-01</t>
        </is>
      </c>
      <c r="O705" s="2" t="inlineStr">
        <is>
          <t>https://kaspi.kz/shop/c/car%20awnings/</t>
        </is>
      </c>
    </row>
    <row r="706">
      <c r="A706" s="2" t="n">
        <v>705</v>
      </c>
      <c r="B706" s="2" t="inlineStr">
        <is>
          <t>Расходные материалы для перманентного макияжа и тату</t>
        </is>
      </c>
      <c r="C706" s="2" t="inlineStr">
        <is>
          <t>Красота и здоровье</t>
        </is>
      </c>
      <c r="D706" s="2" t="inlineStr">
        <is>
          <t>Красота и здоровье → Товары для тату и перманентного макияжа → Расходные материалы для перманентного макияжа и тату</t>
        </is>
      </c>
      <c r="E706" s="3" t="n">
        <v>18279942</v>
      </c>
      <c r="F706" s="3" t="n">
        <v>3163</v>
      </c>
      <c r="G706" s="3">
        <f>IFERROR(E706/F706,0)</f>
        <v/>
      </c>
      <c r="H706" s="3" t="n">
        <v>449</v>
      </c>
      <c r="I706" s="2" t="n">
        <v>65</v>
      </c>
      <c r="J706" s="3">
        <f>IFERROR(E706/H706,0)</f>
        <v/>
      </c>
      <c r="K706" s="10">
        <f>E706/'По разделам'!$B$21</f>
        <v/>
      </c>
      <c r="L706" s="4">
        <f>L705+K706</f>
        <v/>
      </c>
      <c r="M706" s="2" t="inlineStr">
        <is>
          <t>05252</t>
        </is>
      </c>
      <c r="N706" s="2" t="inlineStr">
        <is>
          <t>https://app.redstat.kz/niche/05252?event_date=2026-08-01</t>
        </is>
      </c>
      <c r="O706" s="2" t="inlineStr">
        <is>
          <t>https://kaspi.kz/shop/c/consumables%20for%20tattoo/</t>
        </is>
      </c>
    </row>
    <row r="707">
      <c r="A707" s="2" t="n">
        <v>706</v>
      </c>
      <c r="B707" s="2" t="inlineStr">
        <is>
          <t>Фотовспышки</t>
        </is>
      </c>
      <c r="C707" s="2" t="inlineStr">
        <is>
          <t>ТВ, Аудио, Видео</t>
        </is>
      </c>
      <c r="D707" s="2" t="inlineStr">
        <is>
          <t>ТВ, Аудио, Видео → Фото- и видеокамеры → Фотовспышки</t>
        </is>
      </c>
      <c r="E707" s="3" t="n">
        <v>18278340</v>
      </c>
      <c r="F707" s="3" t="n">
        <v>336</v>
      </c>
      <c r="G707" s="3">
        <f>IFERROR(E707/F707,0)</f>
        <v/>
      </c>
      <c r="H707" s="3" t="n">
        <v>69</v>
      </c>
      <c r="I707" s="2" t="n">
        <v>7</v>
      </c>
      <c r="J707" s="3">
        <f>IFERROR(E707/H707,0)</f>
        <v/>
      </c>
      <c r="K707" s="10">
        <f>E707/'По разделам'!$B$21</f>
        <v/>
      </c>
      <c r="L707" s="4">
        <f>L706+K707</f>
        <v/>
      </c>
      <c r="M707" s="2" t="inlineStr">
        <is>
          <t>01609</t>
        </is>
      </c>
      <c r="N707" s="2" t="inlineStr">
        <is>
          <t>https://app.redstat.kz/niche/01609?event_date=2026-08-01</t>
        </is>
      </c>
      <c r="O707" s="2" t="inlineStr">
        <is>
          <t>https://kaspi.kz/shop/c/camera%20flashes/</t>
        </is>
      </c>
    </row>
    <row r="708">
      <c r="A708" s="2" t="n">
        <v>707</v>
      </c>
      <c r="B708" s="2" t="inlineStr">
        <is>
          <t>Кроссовки и кеды для малышей</t>
        </is>
      </c>
      <c r="C708" s="2" t="inlineStr">
        <is>
          <t>Обувь</t>
        </is>
      </c>
      <c r="D708" s="2" t="inlineStr">
        <is>
          <t>Обувь → Обувь для малышей → Кроссовки и кеды для малышей</t>
        </is>
      </c>
      <c r="E708" s="3" t="n">
        <v>18238982</v>
      </c>
      <c r="F708" s="3" t="n">
        <v>1253</v>
      </c>
      <c r="G708" s="3">
        <f>IFERROR(E708/F708,0)</f>
        <v/>
      </c>
      <c r="H708" s="3" t="n">
        <v>660</v>
      </c>
      <c r="I708" s="2" t="n">
        <v>53</v>
      </c>
      <c r="J708" s="3">
        <f>IFERROR(E708/H708,0)</f>
        <v/>
      </c>
      <c r="K708" s="10">
        <f>E708/'По разделам'!$B$21</f>
        <v/>
      </c>
      <c r="L708" s="4">
        <f>L707+K708</f>
        <v/>
      </c>
      <c r="M708" s="2" t="inlineStr">
        <is>
          <t>07243</t>
        </is>
      </c>
      <c r="N708" s="2" t="inlineStr">
        <is>
          <t>https://app.redstat.kz/niche/07243?event_date=2026-08-01</t>
        </is>
      </c>
      <c r="O708" s="2" t="inlineStr">
        <is>
          <t>https://kaspi.kz/shop/c/sneakers%20and%20trainers%20for%20babies/</t>
        </is>
      </c>
    </row>
    <row r="709">
      <c r="A709" s="2" t="n">
        <v>708</v>
      </c>
      <c r="B709" s="2" t="inlineStr">
        <is>
          <t>Автомобильные инверторы и преобразователи напряжения</t>
        </is>
      </c>
      <c r="C709" s="2" t="inlineStr">
        <is>
          <t>Автотовары</t>
        </is>
      </c>
      <c r="D709" s="2" t="inlineStr">
        <is>
          <t>Автотовары → Автомобильное оборудование → Автомобильные инверторы и преобразователи напряжения</t>
        </is>
      </c>
      <c r="E709" s="3" t="n">
        <v>18186626</v>
      </c>
      <c r="F709" s="3" t="n">
        <v>632</v>
      </c>
      <c r="G709" s="3">
        <f>IFERROR(E709/F709,0)</f>
        <v/>
      </c>
      <c r="H709" s="3" t="n">
        <v>98</v>
      </c>
      <c r="I709" s="2" t="n">
        <v>31</v>
      </c>
      <c r="J709" s="3">
        <f>IFERROR(E709/H709,0)</f>
        <v/>
      </c>
      <c r="K709" s="10">
        <f>E709/'По разделам'!$B$21</f>
        <v/>
      </c>
      <c r="L709" s="4">
        <f>L708+K709</f>
        <v/>
      </c>
      <c r="M709" s="2" t="inlineStr">
        <is>
          <t>05412</t>
        </is>
      </c>
      <c r="N709" s="2" t="inlineStr">
        <is>
          <t>https://app.redstat.kz/niche/05412?event_date=2026-08-01</t>
        </is>
      </c>
      <c r="O709" s="2" t="inlineStr">
        <is>
          <t>https://kaspi.kz/shop/c/car%20inverters%20and%20converters/</t>
        </is>
      </c>
    </row>
    <row r="710">
      <c r="A710" s="2" t="n">
        <v>709</v>
      </c>
      <c r="B710" s="2" t="inlineStr">
        <is>
          <t>Запорная арматура</t>
        </is>
      </c>
      <c r="C710" s="2" t="inlineStr">
        <is>
          <t>Строительство, ремонт</t>
        </is>
      </c>
      <c r="D710" s="2" t="inlineStr">
        <is>
          <t>Строительство, ремонт → Водоснабжение → Запорная арматура → Запорная арматура</t>
        </is>
      </c>
      <c r="E710" s="3" t="n">
        <v>18083563</v>
      </c>
      <c r="F710" s="3" t="n">
        <v>1026</v>
      </c>
      <c r="G710" s="3">
        <f>IFERROR(E710/F710,0)</f>
        <v/>
      </c>
      <c r="H710" s="3" t="n">
        <v>347</v>
      </c>
      <c r="I710" s="2" t="n">
        <v>88</v>
      </c>
      <c r="J710" s="3">
        <f>IFERROR(E710/H710,0)</f>
        <v/>
      </c>
      <c r="K710" s="10">
        <f>E710/'По разделам'!$B$21</f>
        <v/>
      </c>
      <c r="L710" s="4">
        <f>L709+K710</f>
        <v/>
      </c>
      <c r="M710" s="2" t="inlineStr">
        <is>
          <t>qf9fcd25089d3655</t>
        </is>
      </c>
      <c r="N710" s="2" t="inlineStr">
        <is>
          <t>https://app.redstat.kz/niche/qf9fcd25089d3655?event_date=2026-08-01</t>
        </is>
      </c>
      <c r="O710" s="2" t="inlineStr"/>
    </row>
    <row r="711">
      <c r="A711" s="2" t="n">
        <v>710</v>
      </c>
      <c r="B711" s="2" t="inlineStr">
        <is>
          <t>Изделия для электромонтажных работ</t>
        </is>
      </c>
      <c r="C711" s="2" t="inlineStr">
        <is>
          <t>Строительство, ремонт</t>
        </is>
      </c>
      <c r="D711" s="2" t="inlineStr">
        <is>
          <t>Строительство, ремонт → Электрика → Изделия для электромонтажных работ → Изделия для электромонтажных работ</t>
        </is>
      </c>
      <c r="E711" s="3" t="n">
        <v>17964888</v>
      </c>
      <c r="F711" s="3" t="n">
        <v>5295</v>
      </c>
      <c r="G711" s="3">
        <f>IFERROR(E711/F711,0)</f>
        <v/>
      </c>
      <c r="H711" s="3" t="n">
        <v>738</v>
      </c>
      <c r="I711" s="2" t="n">
        <v>128</v>
      </c>
      <c r="J711" s="3">
        <f>IFERROR(E711/H711,0)</f>
        <v/>
      </c>
      <c r="K711" s="10">
        <f>E711/'По разделам'!$B$21</f>
        <v/>
      </c>
      <c r="L711" s="4">
        <f>L710+K711</f>
        <v/>
      </c>
      <c r="M711" s="2" t="inlineStr">
        <is>
          <t>q1577b24eb27da22</t>
        </is>
      </c>
      <c r="N711" s="2" t="inlineStr">
        <is>
          <t>https://app.redstat.kz/niche/q1577b24eb27da22?event_date=2026-08-01</t>
        </is>
      </c>
      <c r="O711" s="2" t="inlineStr"/>
    </row>
    <row r="712">
      <c r="A712" s="2" t="n">
        <v>711</v>
      </c>
      <c r="B712" s="2" t="inlineStr">
        <is>
          <t>Лежаки, домики и палатки для животных</t>
        </is>
      </c>
      <c r="C712" s="2" t="inlineStr">
        <is>
          <t>Товары для животных</t>
        </is>
      </c>
      <c r="D712" s="2" t="inlineStr">
        <is>
          <t>Товары для животных → Аксессуары для животных → Лежаки, домики и палатки для животных</t>
        </is>
      </c>
      <c r="E712" s="3" t="n">
        <v>17865794</v>
      </c>
      <c r="F712" s="3" t="n">
        <v>3502</v>
      </c>
      <c r="G712" s="3">
        <f>IFERROR(E712/F712,0)</f>
        <v/>
      </c>
      <c r="H712" s="3" t="n">
        <v>403</v>
      </c>
      <c r="I712" s="2" t="n">
        <v>61</v>
      </c>
      <c r="J712" s="3">
        <f>IFERROR(E712/H712,0)</f>
        <v/>
      </c>
      <c r="K712" s="10">
        <f>E712/'По разделам'!$B$21</f>
        <v/>
      </c>
      <c r="L712" s="4">
        <f>L711+K712</f>
        <v/>
      </c>
      <c r="M712" s="2" t="inlineStr">
        <is>
          <t>04809</t>
        </is>
      </c>
      <c r="N712" s="2" t="inlineStr">
        <is>
          <t>https://app.redstat.kz/niche/04809?event_date=2026-08-01</t>
        </is>
      </c>
      <c r="O712" s="2" t="inlineStr">
        <is>
          <t>https://kaspi.kz/shop/c/dog%20beds/</t>
        </is>
      </c>
    </row>
    <row r="713">
      <c r="A713" s="2" t="n">
        <v>712</v>
      </c>
      <c r="B713" s="2" t="inlineStr">
        <is>
          <t>Переноски для животных</t>
        </is>
      </c>
      <c r="C713" s="2" t="inlineStr">
        <is>
          <t>Товары для животных</t>
        </is>
      </c>
      <c r="D713" s="2" t="inlineStr">
        <is>
          <t>Товары для животных → Аксессуары для животных → Переноски для животных</t>
        </is>
      </c>
      <c r="E713" s="3" t="n">
        <v>17739201</v>
      </c>
      <c r="F713" s="3" t="n">
        <v>2833</v>
      </c>
      <c r="G713" s="3">
        <f>IFERROR(E713/F713,0)</f>
        <v/>
      </c>
      <c r="H713" s="3" t="n">
        <v>279</v>
      </c>
      <c r="I713" s="2" t="n">
        <v>59</v>
      </c>
      <c r="J713" s="3">
        <f>IFERROR(E713/H713,0)</f>
        <v/>
      </c>
      <c r="K713" s="10">
        <f>E713/'По разделам'!$B$21</f>
        <v/>
      </c>
      <c r="L713" s="4">
        <f>L712+K713</f>
        <v/>
      </c>
      <c r="M713" s="2" t="inlineStr">
        <is>
          <t>04812</t>
        </is>
      </c>
      <c r="N713" s="2" t="inlineStr">
        <is>
          <t>https://app.redstat.kz/niche/04812?event_date=2026-08-01</t>
        </is>
      </c>
      <c r="O713" s="2" t="inlineStr">
        <is>
          <t>https://kaspi.kz/shop/c/dog%20carriers/</t>
        </is>
      </c>
    </row>
    <row r="714">
      <c r="A714" s="2" t="n">
        <v>713</v>
      </c>
      <c r="B714" s="2" t="inlineStr">
        <is>
          <t>Устройства электропитания и электростанции</t>
        </is>
      </c>
      <c r="C714" s="2" t="inlineStr">
        <is>
          <t>Строительство, ремонт</t>
        </is>
      </c>
      <c r="D714" s="2" t="inlineStr">
        <is>
          <t>Строительство, ремонт → Электрика → Устройства электропитания и электростанции → Устройства электропитания и электростанции</t>
        </is>
      </c>
      <c r="E714" s="3" t="n">
        <v>17737566</v>
      </c>
      <c r="F714" s="3" t="n">
        <v>1213</v>
      </c>
      <c r="G714" s="3">
        <f>IFERROR(E714/F714,0)</f>
        <v/>
      </c>
      <c r="H714" s="3" t="n">
        <v>246</v>
      </c>
      <c r="I714" s="2" t="n">
        <v>58</v>
      </c>
      <c r="J714" s="3">
        <f>IFERROR(E714/H714,0)</f>
        <v/>
      </c>
      <c r="K714" s="10">
        <f>E714/'По разделам'!$B$21</f>
        <v/>
      </c>
      <c r="L714" s="4">
        <f>L713+K714</f>
        <v/>
      </c>
      <c r="M714" s="2" t="inlineStr">
        <is>
          <t>q6025dbceb342e61</t>
        </is>
      </c>
      <c r="N714" s="2" t="inlineStr">
        <is>
          <t>https://app.redstat.kz/niche/q6025dbceb342e61?event_date=2026-08-01</t>
        </is>
      </c>
      <c r="O714" s="2" t="inlineStr"/>
    </row>
    <row r="715">
      <c r="A715" s="2" t="n">
        <v>714</v>
      </c>
      <c r="B715" s="2" t="inlineStr">
        <is>
          <t>Гироскутеры и моноколеса</t>
        </is>
      </c>
      <c r="C715" s="2" t="inlineStr">
        <is>
          <t>Спорт, туризм</t>
        </is>
      </c>
      <c r="D715" s="2" t="inlineStr">
        <is>
          <t>Спорт, туризм → Самокаты, гироскутеры, моноколеса → Гироскутеры и моноколеса</t>
        </is>
      </c>
      <c r="E715" s="3" t="n">
        <v>17721315</v>
      </c>
      <c r="F715" s="3" t="n">
        <v>196</v>
      </c>
      <c r="G715" s="3">
        <f>IFERROR(E715/F715,0)</f>
        <v/>
      </c>
      <c r="H715" s="3" t="n">
        <v>61</v>
      </c>
      <c r="I715" s="2" t="n">
        <v>11</v>
      </c>
      <c r="J715" s="3">
        <f>IFERROR(E715/H715,0)</f>
        <v/>
      </c>
      <c r="K715" s="10">
        <f>E715/'По разделам'!$B$21</f>
        <v/>
      </c>
      <c r="L715" s="4">
        <f>L714+K715</f>
        <v/>
      </c>
      <c r="M715" s="2" t="inlineStr">
        <is>
          <t>00967</t>
        </is>
      </c>
      <c r="N715" s="2" t="inlineStr">
        <is>
          <t>https://app.redstat.kz/niche/00967?event_date=2026-08-01</t>
        </is>
      </c>
      <c r="O715" s="2" t="inlineStr">
        <is>
          <t>https://kaspi.kz/shop/c/gyroscooters/</t>
        </is>
      </c>
    </row>
    <row r="716">
      <c r="A716" s="2" t="n">
        <v>715</v>
      </c>
      <c r="B716" s="2" t="inlineStr">
        <is>
          <t>Радар-детекторы</t>
        </is>
      </c>
      <c r="C716" s="2" t="inlineStr">
        <is>
          <t>Автотовары</t>
        </is>
      </c>
      <c r="D716" s="2" t="inlineStr">
        <is>
          <t>Автотовары → Автоэлектроника → Радар-детекторы</t>
        </is>
      </c>
      <c r="E716" s="3" t="n">
        <v>17583153</v>
      </c>
      <c r="F716" s="3" t="n">
        <v>238</v>
      </c>
      <c r="G716" s="3">
        <f>IFERROR(E716/F716,0)</f>
        <v/>
      </c>
      <c r="H716" s="3" t="n">
        <v>46</v>
      </c>
      <c r="I716" s="2" t="n">
        <v>11</v>
      </c>
      <c r="J716" s="3">
        <f>IFERROR(E716/H716,0)</f>
        <v/>
      </c>
      <c r="K716" s="10">
        <f>E716/'По разделам'!$B$21</f>
        <v/>
      </c>
      <c r="L716" s="4">
        <f>L715+K716</f>
        <v/>
      </c>
      <c r="M716" s="2" t="inlineStr">
        <is>
          <t>00075</t>
        </is>
      </c>
      <c r="N716" s="2" t="inlineStr">
        <is>
          <t>https://app.redstat.kz/niche/00075?event_date=2026-08-01</t>
        </is>
      </c>
      <c r="O716" s="2" t="inlineStr">
        <is>
          <t>https://kaspi.kz/shop/c/radar%20detectors/</t>
        </is>
      </c>
    </row>
    <row r="717">
      <c r="A717" s="2" t="n">
        <v>716</v>
      </c>
      <c r="B717" s="2" t="inlineStr">
        <is>
          <t>Брюки для мальчиков</t>
        </is>
      </c>
      <c r="C717" s="2" t="inlineStr">
        <is>
          <t>Одежда</t>
        </is>
      </c>
      <c r="D717" s="2" t="inlineStr">
        <is>
          <t>Одежда → Мальчикам → Брюки для мальчиков</t>
        </is>
      </c>
      <c r="E717" s="3" t="n">
        <v>17559269</v>
      </c>
      <c r="F717" s="3" t="n">
        <v>3614</v>
      </c>
      <c r="G717" s="3">
        <f>IFERROR(E717/F717,0)</f>
        <v/>
      </c>
      <c r="H717" s="3" t="n">
        <v>817</v>
      </c>
      <c r="I717" s="2" t="n">
        <v>86</v>
      </c>
      <c r="J717" s="3">
        <f>IFERROR(E717/H717,0)</f>
        <v/>
      </c>
      <c r="K717" s="10">
        <f>E717/'По разделам'!$B$21</f>
        <v/>
      </c>
      <c r="L717" s="4">
        <f>L716+K717</f>
        <v/>
      </c>
      <c r="M717" s="2" t="inlineStr">
        <is>
          <t>01424</t>
        </is>
      </c>
      <c r="N717" s="2" t="inlineStr">
        <is>
          <t>https://app.redstat.kz/niche/01424?event_date=2026-08-01</t>
        </is>
      </c>
      <c r="O717" s="2" t="inlineStr">
        <is>
          <t>https://kaspi.kz/shop/c/boy%20pants/</t>
        </is>
      </c>
    </row>
    <row r="718">
      <c r="A718" s="2" t="n">
        <v>717</v>
      </c>
      <c r="B718" s="2" t="inlineStr">
        <is>
          <t>Беговелы</t>
        </is>
      </c>
      <c r="C718" s="2" t="inlineStr">
        <is>
          <t>Детские товары</t>
        </is>
      </c>
      <c r="D718" s="2" t="inlineStr">
        <is>
          <t>Детские товары → Детский транспорт → Беговелы</t>
        </is>
      </c>
      <c r="E718" s="3" t="n">
        <v>17445785</v>
      </c>
      <c r="F718" s="3" t="n">
        <v>1251</v>
      </c>
      <c r="G718" s="3">
        <f>IFERROR(E718/F718,0)</f>
        <v/>
      </c>
      <c r="H718" s="3" t="n">
        <v>170</v>
      </c>
      <c r="I718" s="2" t="n">
        <v>34</v>
      </c>
      <c r="J718" s="3">
        <f>IFERROR(E718/H718,0)</f>
        <v/>
      </c>
      <c r="K718" s="10">
        <f>E718/'По разделам'!$B$21</f>
        <v/>
      </c>
      <c r="L718" s="4">
        <f>L717+K718</f>
        <v/>
      </c>
      <c r="M718" s="2" t="inlineStr">
        <is>
          <t>05247</t>
        </is>
      </c>
      <c r="N718" s="2" t="inlineStr">
        <is>
          <t>https://app.redstat.kz/niche/05247?event_date=2026-08-01</t>
        </is>
      </c>
      <c r="O718" s="2" t="inlineStr">
        <is>
          <t>https://kaspi.kz/shop/c/run%20bikes/</t>
        </is>
      </c>
    </row>
    <row r="719">
      <c r="A719" s="2" t="n">
        <v>718</v>
      </c>
      <c r="B719" s="2" t="inlineStr">
        <is>
          <t>Развлекательные аппараты</t>
        </is>
      </c>
      <c r="C719" s="2" t="inlineStr">
        <is>
          <t>Бытовая техника</t>
        </is>
      </c>
      <c r="D719" s="2" t="inlineStr">
        <is>
          <t>Бытовая техника → Торговые автоматы → Развлекательные аппараты</t>
        </is>
      </c>
      <c r="E719" s="3" t="n">
        <v>17434896</v>
      </c>
      <c r="F719" s="3" t="n">
        <v>34</v>
      </c>
      <c r="G719" s="3">
        <f>IFERROR(E719/F719,0)</f>
        <v/>
      </c>
      <c r="H719" s="3" t="n">
        <v>17</v>
      </c>
      <c r="I719" s="2" t="n">
        <v>4</v>
      </c>
      <c r="J719" s="3">
        <f>IFERROR(E719/H719,0)</f>
        <v/>
      </c>
      <c r="K719" s="10">
        <f>E719/'По разделам'!$B$21</f>
        <v/>
      </c>
      <c r="L719" s="4">
        <f>L718+K719</f>
        <v/>
      </c>
      <c r="M719" s="2" t="inlineStr">
        <is>
          <t>07399</t>
        </is>
      </c>
      <c r="N719" s="2" t="inlineStr">
        <is>
          <t>https://app.redstat.kz/niche/07399?event_date=2026-08-01</t>
        </is>
      </c>
      <c r="O719" s="2" t="inlineStr">
        <is>
          <t>https://kaspi.kz/shop/c/entertainment%20devices/</t>
        </is>
      </c>
    </row>
    <row r="720">
      <c r="A720" s="2" t="n">
        <v>719</v>
      </c>
      <c r="B720" s="2" t="inlineStr">
        <is>
          <t>Гипсокартон и комплектующие</t>
        </is>
      </c>
      <c r="C720" s="2" t="inlineStr">
        <is>
          <t>Строительство, ремонт</t>
        </is>
      </c>
      <c r="D720" s="2" t="inlineStr">
        <is>
          <t>Строительство, ремонт → Строительные материалы → Гипсокартон и комплектующие → Гипсокартон и комплектующие</t>
        </is>
      </c>
      <c r="E720" s="3" t="n">
        <v>17411137</v>
      </c>
      <c r="F720" s="3" t="n">
        <v>1062</v>
      </c>
      <c r="G720" s="3">
        <f>IFERROR(E720/F720,0)</f>
        <v/>
      </c>
      <c r="H720" s="3" t="n">
        <v>94</v>
      </c>
      <c r="I720" s="2" t="n">
        <v>18</v>
      </c>
      <c r="J720" s="3">
        <f>IFERROR(E720/H720,0)</f>
        <v/>
      </c>
      <c r="K720" s="10">
        <f>E720/'По разделам'!$B$21</f>
        <v/>
      </c>
      <c r="L720" s="4">
        <f>L719+K720</f>
        <v/>
      </c>
      <c r="M720" s="2" t="inlineStr">
        <is>
          <t>q0f5c2721b5c0668</t>
        </is>
      </c>
      <c r="N720" s="2" t="inlineStr">
        <is>
          <t>https://app.redstat.kz/niche/q0f5c2721b5c0668?event_date=2026-08-01</t>
        </is>
      </c>
      <c r="O720" s="2" t="inlineStr"/>
    </row>
    <row r="721">
      <c r="A721" s="2" t="n">
        <v>720</v>
      </c>
      <c r="B721" s="2" t="inlineStr">
        <is>
          <t>Системы защиты от протечек воды</t>
        </is>
      </c>
      <c r="C721" s="2" t="inlineStr">
        <is>
          <t>Строительство, ремонт</t>
        </is>
      </c>
      <c r="D721" s="2" t="inlineStr">
        <is>
          <t>Строительство, ремонт → Водоснабжение → Системы защиты от протечек воды</t>
        </is>
      </c>
      <c r="E721" s="3" t="n">
        <v>17251785</v>
      </c>
      <c r="F721" s="3" t="n">
        <v>253</v>
      </c>
      <c r="G721" s="3">
        <f>IFERROR(E721/F721,0)</f>
        <v/>
      </c>
      <c r="H721" s="3" t="n">
        <v>42</v>
      </c>
      <c r="I721" s="2" t="n">
        <v>6</v>
      </c>
      <c r="J721" s="3">
        <f>IFERROR(E721/H721,0)</f>
        <v/>
      </c>
      <c r="K721" s="10">
        <f>E721/'По разделам'!$B$21</f>
        <v/>
      </c>
      <c r="L721" s="4">
        <f>L720+K721</f>
        <v/>
      </c>
      <c r="M721" s="2" t="inlineStr">
        <is>
          <t>05435</t>
        </is>
      </c>
      <c r="N721" s="2" t="inlineStr">
        <is>
          <t>https://app.redstat.kz/niche/05435?event_date=2026-08-01</t>
        </is>
      </c>
      <c r="O721" s="2" t="inlineStr">
        <is>
          <t>https://kaspi.kz/shop/c/water%20leak%20detection%20systems/</t>
        </is>
      </c>
    </row>
    <row r="722">
      <c r="A722" s="2" t="n">
        <v>721</v>
      </c>
      <c r="B722" s="2" t="inlineStr">
        <is>
          <t>Аккумуляторы и зарядные устройства для фото- и видеокамер</t>
        </is>
      </c>
      <c r="C722" s="2" t="inlineStr">
        <is>
          <t>ТВ, Аудио, Видео</t>
        </is>
      </c>
      <c r="D722" s="2" t="inlineStr">
        <is>
          <t>ТВ, Аудио, Видео → Фото- и видеокамеры → Аккумуляторы и зарядные устройства для фото- и видеокамер</t>
        </is>
      </c>
      <c r="E722" s="3" t="n">
        <v>17248126</v>
      </c>
      <c r="F722" s="3" t="n">
        <v>1358</v>
      </c>
      <c r="G722" s="3">
        <f>IFERROR(E722/F722,0)</f>
        <v/>
      </c>
      <c r="H722" s="3" t="n">
        <v>343</v>
      </c>
      <c r="I722" s="2" t="n">
        <v>54</v>
      </c>
      <c r="J722" s="3">
        <f>IFERROR(E722/H722,0)</f>
        <v/>
      </c>
      <c r="K722" s="10">
        <f>E722/'По разделам'!$B$21</f>
        <v/>
      </c>
      <c r="L722" s="4">
        <f>L721+K722</f>
        <v/>
      </c>
      <c r="M722" s="2" t="inlineStr">
        <is>
          <t>02157</t>
        </is>
      </c>
      <c r="N722" s="2" t="inlineStr">
        <is>
          <t>https://app.redstat.kz/niche/02157?event_date=2026-08-01</t>
        </is>
      </c>
      <c r="O722" s="2" t="inlineStr">
        <is>
          <t>https://kaspi.kz/shop/c/batteries%20and%20chargers%20for%20cameras%20and%20camcorders/</t>
        </is>
      </c>
    </row>
    <row r="723">
      <c r="A723" s="2" t="n">
        <v>722</v>
      </c>
      <c r="B723" s="2" t="inlineStr">
        <is>
          <t>Женские комбинезоны</t>
        </is>
      </c>
      <c r="C723" s="2" t="inlineStr">
        <is>
          <t>Одежда</t>
        </is>
      </c>
      <c r="D723" s="2" t="inlineStr">
        <is>
          <t>Одежда → Женщинам → Женские комбинезоны</t>
        </is>
      </c>
      <c r="E723" s="3" t="n">
        <v>17179060</v>
      </c>
      <c r="F723" s="3" t="n">
        <v>1779</v>
      </c>
      <c r="G723" s="3">
        <f>IFERROR(E723/F723,0)</f>
        <v/>
      </c>
      <c r="H723" s="3" t="n">
        <v>355</v>
      </c>
      <c r="I723" s="2" t="n">
        <v>56</v>
      </c>
      <c r="J723" s="3">
        <f>IFERROR(E723/H723,0)</f>
        <v/>
      </c>
      <c r="K723" s="10">
        <f>E723/'По разделам'!$B$21</f>
        <v/>
      </c>
      <c r="L723" s="4">
        <f>L722+K723</f>
        <v/>
      </c>
      <c r="M723" s="2" t="inlineStr">
        <is>
          <t>01418</t>
        </is>
      </c>
      <c r="N723" s="2" t="inlineStr">
        <is>
          <t>https://app.redstat.kz/niche/01418?event_date=2026-08-01</t>
        </is>
      </c>
      <c r="O723" s="2" t="inlineStr">
        <is>
          <t>https://kaspi.kz/shop/c/women%20jumpsuits/</t>
        </is>
      </c>
    </row>
    <row r="724">
      <c r="A724" s="2" t="n">
        <v>723</v>
      </c>
      <c r="B724" s="2" t="inlineStr">
        <is>
          <t>Осушители воздуха</t>
        </is>
      </c>
      <c r="C724" s="2" t="inlineStr">
        <is>
          <t>Бытовая техника</t>
        </is>
      </c>
      <c r="D724" s="2" t="inlineStr">
        <is>
          <t>Бытовая техника → Климатическая техника → Осушители воздуха</t>
        </is>
      </c>
      <c r="E724" s="3" t="n">
        <v>17128429</v>
      </c>
      <c r="F724" s="3" t="n">
        <v>408</v>
      </c>
      <c r="G724" s="3">
        <f>IFERROR(E724/F724,0)</f>
        <v/>
      </c>
      <c r="H724" s="3" t="n">
        <v>47</v>
      </c>
      <c r="I724" s="2" t="n">
        <v>24</v>
      </c>
      <c r="J724" s="3">
        <f>IFERROR(E724/H724,0)</f>
        <v/>
      </c>
      <c r="K724" s="10">
        <f>E724/'По разделам'!$B$21</f>
        <v/>
      </c>
      <c r="L724" s="4">
        <f>L723+K724</f>
        <v/>
      </c>
      <c r="M724" s="2" t="inlineStr">
        <is>
          <t>01567</t>
        </is>
      </c>
      <c r="N724" s="2" t="inlineStr">
        <is>
          <t>https://app.redstat.kz/niche/01567?event_date=2026-08-01</t>
        </is>
      </c>
      <c r="O724" s="2" t="inlineStr">
        <is>
          <t>https://kaspi.kz/shop/c/dehumidifiers/</t>
        </is>
      </c>
    </row>
    <row r="725">
      <c r="A725" s="2" t="n">
        <v>724</v>
      </c>
      <c r="B725" s="2" t="inlineStr">
        <is>
          <t>Прикормки для рыбалки</t>
        </is>
      </c>
      <c r="C725" s="2" t="inlineStr">
        <is>
          <t>Спорт, туризм</t>
        </is>
      </c>
      <c r="D725" s="2" t="inlineStr">
        <is>
          <t>Спорт, туризм → Товары для рыбалки → Прикормки для рыбалки</t>
        </is>
      </c>
      <c r="E725" s="3" t="n">
        <v>17050869</v>
      </c>
      <c r="F725" s="3" t="n">
        <v>5472</v>
      </c>
      <c r="G725" s="3">
        <f>IFERROR(E725/F725,0)</f>
        <v/>
      </c>
      <c r="H725" s="3" t="n">
        <v>1469</v>
      </c>
      <c r="I725" s="2" t="n">
        <v>79</v>
      </c>
      <c r="J725" s="3">
        <f>IFERROR(E725/H725,0)</f>
        <v/>
      </c>
      <c r="K725" s="10">
        <f>E725/'По разделам'!$B$21</f>
        <v/>
      </c>
      <c r="L725" s="4">
        <f>L724+K725</f>
        <v/>
      </c>
      <c r="M725" s="2" t="inlineStr">
        <is>
          <t>04367</t>
        </is>
      </c>
      <c r="N725" s="2" t="inlineStr">
        <is>
          <t>https://app.redstat.kz/niche/04367?event_date=2026-08-01</t>
        </is>
      </c>
      <c r="O725" s="2" t="inlineStr">
        <is>
          <t>https://kaspi.kz/shop/c/feed%20for%20fishing/</t>
        </is>
      </c>
    </row>
    <row r="726">
      <c r="A726" s="2" t="n">
        <v>725</v>
      </c>
      <c r="B726" s="2" t="inlineStr">
        <is>
          <t>Системы хранения</t>
        </is>
      </c>
      <c r="C726" s="2" t="inlineStr">
        <is>
          <t>Мебель</t>
        </is>
      </c>
      <c r="D726" s="2" t="inlineStr">
        <is>
          <t>Мебель → Системы хранения, полки, этажерки → Системы хранения</t>
        </is>
      </c>
      <c r="E726" s="3" t="n">
        <v>17005076</v>
      </c>
      <c r="F726" s="3" t="n">
        <v>1699</v>
      </c>
      <c r="G726" s="3">
        <f>IFERROR(E726/F726,0)</f>
        <v/>
      </c>
      <c r="H726" s="3" t="n">
        <v>215</v>
      </c>
      <c r="I726" s="2" t="n">
        <v>31</v>
      </c>
      <c r="J726" s="3">
        <f>IFERROR(E726/H726,0)</f>
        <v/>
      </c>
      <c r="K726" s="10">
        <f>E726/'По разделам'!$B$21</f>
        <v/>
      </c>
      <c r="L726" s="4">
        <f>L725+K726</f>
        <v/>
      </c>
      <c r="M726" s="2" t="inlineStr">
        <is>
          <t>05552</t>
        </is>
      </c>
      <c r="N726" s="2" t="inlineStr">
        <is>
          <t>https://app.redstat.kz/niche/05552?event_date=2026-08-01</t>
        </is>
      </c>
      <c r="O726" s="2" t="inlineStr">
        <is>
          <t>https://kaspi.kz/shop/c/storage%20systems/</t>
        </is>
      </c>
    </row>
    <row r="727">
      <c r="A727" s="2" t="n">
        <v>726</v>
      </c>
      <c r="B727" s="2" t="inlineStr">
        <is>
          <t>Сканеры штрих-кода</t>
        </is>
      </c>
      <c r="C727" s="2" t="inlineStr">
        <is>
          <t>Компьютеры</t>
        </is>
      </c>
      <c r="D727" s="2" t="inlineStr">
        <is>
          <t>Компьютеры → Электронное оборудование для торговли → Сканеры штрих-кода</t>
        </is>
      </c>
      <c r="E727" s="3" t="n">
        <v>16851321</v>
      </c>
      <c r="F727" s="3" t="n">
        <v>757</v>
      </c>
      <c r="G727" s="3">
        <f>IFERROR(E727/F727,0)</f>
        <v/>
      </c>
      <c r="H727" s="3" t="n">
        <v>99</v>
      </c>
      <c r="I727" s="2" t="n">
        <v>32</v>
      </c>
      <c r="J727" s="3">
        <f>IFERROR(E727/H727,0)</f>
        <v/>
      </c>
      <c r="K727" s="10">
        <f>E727/'По разделам'!$B$21</f>
        <v/>
      </c>
      <c r="L727" s="4">
        <f>L726+K727</f>
        <v/>
      </c>
      <c r="M727" s="2" t="inlineStr">
        <is>
          <t>04631</t>
        </is>
      </c>
      <c r="N727" s="2" t="inlineStr">
        <is>
          <t>https://app.redstat.kz/niche/04631?event_date=2026-08-01</t>
        </is>
      </c>
      <c r="O727" s="2" t="inlineStr">
        <is>
          <t>https://kaspi.kz/shop/c/barcode%20scanners/</t>
        </is>
      </c>
    </row>
    <row r="728">
      <c r="A728" s="2" t="n">
        <v>727</v>
      </c>
      <c r="B728" s="2" t="inlineStr">
        <is>
          <t>Одежда для беременных и кормящих</t>
        </is>
      </c>
      <c r="C728" s="2" t="inlineStr">
        <is>
          <t>Одежда</t>
        </is>
      </c>
      <c r="D728" s="2" t="inlineStr">
        <is>
          <t>Одежда → Женщинам → Одежда для беременных и кормящих → Одежда для беременных и кормящих</t>
        </is>
      </c>
      <c r="E728" s="3" t="n">
        <v>16670451</v>
      </c>
      <c r="F728" s="3" t="n">
        <v>3565</v>
      </c>
      <c r="G728" s="3">
        <f>IFERROR(E728/F728,0)</f>
        <v/>
      </c>
      <c r="H728" s="3" t="n">
        <v>847</v>
      </c>
      <c r="I728" s="2" t="n">
        <v>88</v>
      </c>
      <c r="J728" s="3">
        <f>IFERROR(E728/H728,0)</f>
        <v/>
      </c>
      <c r="K728" s="10">
        <f>E728/'По разделам'!$B$21</f>
        <v/>
      </c>
      <c r="L728" s="4">
        <f>L727+K728</f>
        <v/>
      </c>
      <c r="M728" s="2" t="inlineStr">
        <is>
          <t>q3492dddf9067bc5</t>
        </is>
      </c>
      <c r="N728" s="2" t="inlineStr">
        <is>
          <t>https://app.redstat.kz/niche/q3492dddf9067bc5?event_date=2026-08-01</t>
        </is>
      </c>
      <c r="O728" s="2" t="inlineStr"/>
    </row>
    <row r="729">
      <c r="A729" s="2" t="n">
        <v>728</v>
      </c>
      <c r="B729" s="2" t="inlineStr">
        <is>
          <t>Масла и эфирные масла</t>
        </is>
      </c>
      <c r="C729" s="2" t="inlineStr">
        <is>
          <t>Красота и здоровье</t>
        </is>
      </c>
      <c r="D729" s="2" t="inlineStr">
        <is>
          <t>Красота и здоровье → Товары для ароматерапии → Масла и эфирные масла</t>
        </is>
      </c>
      <c r="E729" s="3" t="n">
        <v>16669517</v>
      </c>
      <c r="F729" s="3" t="n">
        <v>7452</v>
      </c>
      <c r="G729" s="3">
        <f>IFERROR(E729/F729,0)</f>
        <v/>
      </c>
      <c r="H729" s="3" t="n">
        <v>522</v>
      </c>
      <c r="I729" s="2" t="n">
        <v>60</v>
      </c>
      <c r="J729" s="3">
        <f>IFERROR(E729/H729,0)</f>
        <v/>
      </c>
      <c r="K729" s="10">
        <f>E729/'По разделам'!$B$21</f>
        <v/>
      </c>
      <c r="L729" s="4">
        <f>L728+K729</f>
        <v/>
      </c>
      <c r="M729" s="2" t="inlineStr">
        <is>
          <t>02296</t>
        </is>
      </c>
      <c r="N729" s="2" t="inlineStr">
        <is>
          <t>https://app.redstat.kz/niche/02296?event_date=2026-08-01</t>
        </is>
      </c>
      <c r="O729" s="2" t="inlineStr">
        <is>
          <t>https://kaspi.kz/shop/c/aromatherapy%20and%20essential%20oils/</t>
        </is>
      </c>
    </row>
    <row r="730">
      <c r="A730" s="2" t="n">
        <v>729</v>
      </c>
      <c r="B730" s="2" t="inlineStr">
        <is>
          <t>Расходные средства для перманентного макияжа и тату</t>
        </is>
      </c>
      <c r="C730" s="2" t="inlineStr">
        <is>
          <t>Красота и здоровье</t>
        </is>
      </c>
      <c r="D730" s="2" t="inlineStr">
        <is>
          <t>Красота и здоровье → Товары для тату и перманентного макияжа → Расходные средства для перманентного макияжа и тату</t>
        </is>
      </c>
      <c r="E730" s="3" t="n">
        <v>16663293</v>
      </c>
      <c r="F730" s="3" t="n">
        <v>2092</v>
      </c>
      <c r="G730" s="3">
        <f>IFERROR(E730/F730,0)</f>
        <v/>
      </c>
      <c r="H730" s="3" t="n">
        <v>191</v>
      </c>
      <c r="I730" s="2" t="n">
        <v>43</v>
      </c>
      <c r="J730" s="3">
        <f>IFERROR(E730/H730,0)</f>
        <v/>
      </c>
      <c r="K730" s="10">
        <f>E730/'По разделам'!$B$21</f>
        <v/>
      </c>
      <c r="L730" s="4">
        <f>L729+K730</f>
        <v/>
      </c>
      <c r="M730" s="2" t="inlineStr">
        <is>
          <t>04359</t>
        </is>
      </c>
      <c r="N730" s="2" t="inlineStr">
        <is>
          <t>https://app.redstat.kz/niche/04359?event_date=2026-08-01</t>
        </is>
      </c>
      <c r="O730" s="2" t="inlineStr">
        <is>
          <t>https://kaspi.kz/shop/c/consumables%20for%20permanent%20makeup/</t>
        </is>
      </c>
    </row>
    <row r="731">
      <c r="A731" s="2" t="n">
        <v>730</v>
      </c>
      <c r="B731" s="2" t="inlineStr">
        <is>
          <t>Защитные тенты-чехлы</t>
        </is>
      </c>
      <c r="C731" s="2" t="inlineStr">
        <is>
          <t>Автотовары</t>
        </is>
      </c>
      <c r="D731" s="2" t="inlineStr">
        <is>
          <t>Автотовары → Автоаксессуары → Защитные тенты-чехлы</t>
        </is>
      </c>
      <c r="E731" s="3" t="n">
        <v>16614430</v>
      </c>
      <c r="F731" s="3" t="n">
        <v>2187</v>
      </c>
      <c r="G731" s="3">
        <f>IFERROR(E731/F731,0)</f>
        <v/>
      </c>
      <c r="H731" s="3" t="n">
        <v>222</v>
      </c>
      <c r="I731" s="2" t="n">
        <v>56</v>
      </c>
      <c r="J731" s="3">
        <f>IFERROR(E731/H731,0)</f>
        <v/>
      </c>
      <c r="K731" s="10">
        <f>E731/'По разделам'!$B$21</f>
        <v/>
      </c>
      <c r="L731" s="4">
        <f>L730+K731</f>
        <v/>
      </c>
      <c r="M731" s="2" t="inlineStr">
        <is>
          <t>01322</t>
        </is>
      </c>
      <c r="N731" s="2" t="inlineStr">
        <is>
          <t>https://app.redstat.kz/niche/01322?event_date=2026-08-01</t>
        </is>
      </c>
      <c r="O731" s="2" t="inlineStr">
        <is>
          <t>https://kaspi.kz/shop/c/protective%20tents-covers/</t>
        </is>
      </c>
    </row>
    <row r="732">
      <c r="A732" s="2" t="n">
        <v>731</v>
      </c>
      <c r="B732" s="2" t="inlineStr">
        <is>
          <t>Лакомства для собак</t>
        </is>
      </c>
      <c r="C732" s="2" t="inlineStr">
        <is>
          <t>Товары для животных</t>
        </is>
      </c>
      <c r="D732" s="2" t="inlineStr">
        <is>
          <t>Товары для животных → Для собак → Лакомства для собак</t>
        </is>
      </c>
      <c r="E732" s="3" t="n">
        <v>16583929</v>
      </c>
      <c r="F732" s="3" t="n">
        <v>5359</v>
      </c>
      <c r="G732" s="3">
        <f>IFERROR(E732/F732,0)</f>
        <v/>
      </c>
      <c r="H732" s="3" t="n">
        <v>591</v>
      </c>
      <c r="I732" s="2" t="n">
        <v>64</v>
      </c>
      <c r="J732" s="3">
        <f>IFERROR(E732/H732,0)</f>
        <v/>
      </c>
      <c r="K732" s="10">
        <f>E732/'По разделам'!$B$21</f>
        <v/>
      </c>
      <c r="L732" s="4">
        <f>L731+K732</f>
        <v/>
      </c>
      <c r="M732" s="2" t="inlineStr">
        <is>
          <t>01483</t>
        </is>
      </c>
      <c r="N732" s="2" t="inlineStr">
        <is>
          <t>https://app.redstat.kz/niche/01483?event_date=2026-08-01</t>
        </is>
      </c>
      <c r="O732" s="2" t="inlineStr">
        <is>
          <t>https://kaspi.kz/shop/c/dog%20snacks/</t>
        </is>
      </c>
    </row>
    <row r="733">
      <c r="A733" s="2" t="n">
        <v>732</v>
      </c>
      <c r="B733" s="2" t="inlineStr">
        <is>
          <t>Прочие аксессуары для автомобиля</t>
        </is>
      </c>
      <c r="C733" s="2" t="inlineStr">
        <is>
          <t>Автотовары</t>
        </is>
      </c>
      <c r="D733" s="2" t="inlineStr">
        <is>
          <t>Автотовары → Автоаксессуары → Прочие аксессуары для автомобиля</t>
        </is>
      </c>
      <c r="E733" s="3" t="n">
        <v>16481230</v>
      </c>
      <c r="F733" s="3" t="n">
        <v>8069</v>
      </c>
      <c r="G733" s="3">
        <f>IFERROR(E733/F733,0)</f>
        <v/>
      </c>
      <c r="H733" s="3" t="n">
        <v>578</v>
      </c>
      <c r="I733" s="2" t="n">
        <v>95</v>
      </c>
      <c r="J733" s="3">
        <f>IFERROR(E733/H733,0)</f>
        <v/>
      </c>
      <c r="K733" s="10">
        <f>E733/'По разделам'!$B$21</f>
        <v/>
      </c>
      <c r="L733" s="4">
        <f>L732+K733</f>
        <v/>
      </c>
      <c r="M733" s="2" t="inlineStr">
        <is>
          <t>07014</t>
        </is>
      </c>
      <c r="N733" s="2" t="inlineStr">
        <is>
          <t>https://app.redstat.kz/niche/07014?event_date=2026-08-01</t>
        </is>
      </c>
      <c r="O733" s="2" t="inlineStr">
        <is>
          <t>https://kaspi.kz/shop/c/other%20car%20accessories/</t>
        </is>
      </c>
    </row>
    <row r="734">
      <c r="A734" s="2" t="n">
        <v>733</v>
      </c>
      <c r="B734" s="2" t="inlineStr">
        <is>
          <t>Аксессуары для дронов и квадрокоптеров</t>
        </is>
      </c>
      <c r="C734" s="2" t="inlineStr">
        <is>
          <t>ТВ, Аудио, Видео</t>
        </is>
      </c>
      <c r="D734" s="2" t="inlineStr">
        <is>
          <t>ТВ, Аудио, Видео → Развлечения → Аксессуары для дронов и квадрокоптеров</t>
        </is>
      </c>
      <c r="E734" s="3" t="n">
        <v>16355321</v>
      </c>
      <c r="F734" s="3" t="n">
        <v>446</v>
      </c>
      <c r="G734" s="3">
        <f>IFERROR(E734/F734,0)</f>
        <v/>
      </c>
      <c r="H734" s="3" t="n">
        <v>156</v>
      </c>
      <c r="I734" s="2" t="n">
        <v>29</v>
      </c>
      <c r="J734" s="3">
        <f>IFERROR(E734/H734,0)</f>
        <v/>
      </c>
      <c r="K734" s="10">
        <f>E734/'По разделам'!$B$21</f>
        <v/>
      </c>
      <c r="L734" s="4">
        <f>L733+K734</f>
        <v/>
      </c>
      <c r="M734" s="2" t="inlineStr">
        <is>
          <t>03385</t>
        </is>
      </c>
      <c r="N734" s="2" t="inlineStr">
        <is>
          <t>https://app.redstat.kz/niche/03385?event_date=2026-08-01</t>
        </is>
      </c>
      <c r="O734" s="2" t="inlineStr">
        <is>
          <t>https://kaspi.kz/shop/c/drones%20and%20quadcopters%20accessories/</t>
        </is>
      </c>
    </row>
    <row r="735">
      <c r="A735" s="2" t="n">
        <v>734</v>
      </c>
      <c r="B735" s="2" t="inlineStr">
        <is>
          <t>Присадки и промывки для автомобилей</t>
        </is>
      </c>
      <c r="C735" s="2" t="inlineStr">
        <is>
          <t>Автотовары</t>
        </is>
      </c>
      <c r="D735" s="2" t="inlineStr">
        <is>
          <t>Автотовары → Масла и технические жидкости → Присадки и промывки для автомобилей</t>
        </is>
      </c>
      <c r="E735" s="3" t="n">
        <v>16308265</v>
      </c>
      <c r="F735" s="3" t="n">
        <v>1979</v>
      </c>
      <c r="G735" s="3">
        <f>IFERROR(E735/F735,0)</f>
        <v/>
      </c>
      <c r="H735" s="3" t="n">
        <v>214</v>
      </c>
      <c r="I735" s="2" t="n">
        <v>48</v>
      </c>
      <c r="J735" s="3">
        <f>IFERROR(E735/H735,0)</f>
        <v/>
      </c>
      <c r="K735" s="10">
        <f>E735/'По разделам'!$B$21</f>
        <v/>
      </c>
      <c r="L735" s="4">
        <f>L734+K735</f>
        <v/>
      </c>
      <c r="M735" s="2" t="inlineStr">
        <is>
          <t>02227</t>
        </is>
      </c>
      <c r="N735" s="2" t="inlineStr">
        <is>
          <t>https://app.redstat.kz/niche/02227?event_date=2026-08-01</t>
        </is>
      </c>
      <c r="O735" s="2" t="inlineStr">
        <is>
          <t>https://kaspi.kz/shop/c/additives%20and%20flushing%20for%20cars/</t>
        </is>
      </c>
    </row>
    <row r="736">
      <c r="A736" s="2" t="n">
        <v>735</v>
      </c>
      <c r="B736" s="2" t="inlineStr">
        <is>
          <t>Маски и трубки для подводного плавания</t>
        </is>
      </c>
      <c r="C736" s="2" t="inlineStr">
        <is>
          <t>Спорт, туризм</t>
        </is>
      </c>
      <c r="D736" s="2" t="inlineStr">
        <is>
          <t>Спорт, туризм → Водный спорт → Маски и трубки для подводного плавания</t>
        </is>
      </c>
      <c r="E736" s="3" t="n">
        <v>16180593</v>
      </c>
      <c r="F736" s="3" t="n">
        <v>2414</v>
      </c>
      <c r="G736" s="3">
        <f>IFERROR(E736/F736,0)</f>
        <v/>
      </c>
      <c r="H736" s="3" t="n">
        <v>302</v>
      </c>
      <c r="I736" s="2" t="n">
        <v>45</v>
      </c>
      <c r="J736" s="3">
        <f>IFERROR(E736/H736,0)</f>
        <v/>
      </c>
      <c r="K736" s="10">
        <f>E736/'По разделам'!$B$21</f>
        <v/>
      </c>
      <c r="L736" s="4">
        <f>L735+K736</f>
        <v/>
      </c>
      <c r="M736" s="2" t="inlineStr">
        <is>
          <t>01188</t>
        </is>
      </c>
      <c r="N736" s="2" t="inlineStr">
        <is>
          <t>https://app.redstat.kz/niche/01188?event_date=2026-08-01</t>
        </is>
      </c>
      <c r="O736" s="2" t="inlineStr">
        <is>
          <t>https://kaspi.kz/shop/c/diving%20masks%20and%20snorkels/</t>
        </is>
      </c>
    </row>
    <row r="737">
      <c r="A737" s="2" t="n">
        <v>736</v>
      </c>
      <c r="B737" s="2" t="inlineStr">
        <is>
          <t>Усилители интернет-сигнала</t>
        </is>
      </c>
      <c r="C737" s="2" t="inlineStr">
        <is>
          <t>Компьютеры</t>
        </is>
      </c>
      <c r="D737" s="2" t="inlineStr">
        <is>
          <t>Компьютеры → Сетевое оборудование → Усилители интернет-сигнала</t>
        </is>
      </c>
      <c r="E737" s="3" t="n">
        <v>16073702</v>
      </c>
      <c r="F737" s="3" t="n">
        <v>1342</v>
      </c>
      <c r="G737" s="3">
        <f>IFERROR(E737/F737,0)</f>
        <v/>
      </c>
      <c r="H737" s="3" t="n">
        <v>104</v>
      </c>
      <c r="I737" s="2" t="n">
        <v>19</v>
      </c>
      <c r="J737" s="3">
        <f>IFERROR(E737/H737,0)</f>
        <v/>
      </c>
      <c r="K737" s="10">
        <f>E737/'По разделам'!$B$21</f>
        <v/>
      </c>
      <c r="L737" s="4">
        <f>L736+K737</f>
        <v/>
      </c>
      <c r="M737" s="2" t="inlineStr">
        <is>
          <t>03573</t>
        </is>
      </c>
      <c r="N737" s="2" t="inlineStr">
        <is>
          <t>https://app.redstat.kz/niche/03573?event_date=2026-08-01</t>
        </is>
      </c>
      <c r="O737" s="2" t="inlineStr">
        <is>
          <t>https://kaspi.kz/shop/c/internet%20signal%20boosters/</t>
        </is>
      </c>
    </row>
    <row r="738">
      <c r="A738" s="2" t="n">
        <v>737</v>
      </c>
      <c r="B738" s="2" t="inlineStr">
        <is>
          <t>Окна, подоконники и аксессуары</t>
        </is>
      </c>
      <c r="C738" s="2" t="inlineStr">
        <is>
          <t>Строительство, ремонт</t>
        </is>
      </c>
      <c r="D738" s="2" t="inlineStr">
        <is>
          <t>Строительство, ремонт → Двери, окна, лестницы → Окна, подоконники и аксессуары → Окна, подоконники и аксессуары</t>
        </is>
      </c>
      <c r="E738" s="3" t="n">
        <v>15998618</v>
      </c>
      <c r="F738" s="3" t="n">
        <v>3022</v>
      </c>
      <c r="G738" s="3">
        <f>IFERROR(E738/F738,0)</f>
        <v/>
      </c>
      <c r="H738" s="3" t="n">
        <v>289</v>
      </c>
      <c r="I738" s="2" t="n">
        <v>58</v>
      </c>
      <c r="J738" s="3">
        <f>IFERROR(E738/H738,0)</f>
        <v/>
      </c>
      <c r="K738" s="10">
        <f>E738/'По разделам'!$B$21</f>
        <v/>
      </c>
      <c r="L738" s="4">
        <f>L737+K738</f>
        <v/>
      </c>
      <c r="M738" s="2" t="inlineStr">
        <is>
          <t>q6b8410510501bb7</t>
        </is>
      </c>
      <c r="N738" s="2" t="inlineStr">
        <is>
          <t>https://app.redstat.kz/niche/q6b8410510501bb7?event_date=2026-08-01</t>
        </is>
      </c>
      <c r="O738" s="2" t="inlineStr"/>
    </row>
    <row r="739">
      <c r="A739" s="2" t="n">
        <v>738</v>
      </c>
      <c r="B739" s="2" t="inlineStr">
        <is>
          <t>Автомобильные фильтры</t>
        </is>
      </c>
      <c r="C739" s="2" t="inlineStr">
        <is>
          <t>Автотовары</t>
        </is>
      </c>
      <c r="D739" s="2" t="inlineStr">
        <is>
          <t>Автотовары → Автозапчасти → Автомобильные фильтры</t>
        </is>
      </c>
      <c r="E739" s="3" t="n">
        <v>15973222</v>
      </c>
      <c r="F739" s="3" t="n">
        <v>4493</v>
      </c>
      <c r="G739" s="3">
        <f>IFERROR(E739/F739,0)</f>
        <v/>
      </c>
      <c r="H739" s="3" t="n">
        <v>876</v>
      </c>
      <c r="I739" s="2" t="n">
        <v>149</v>
      </c>
      <c r="J739" s="3">
        <f>IFERROR(E739/H739,0)</f>
        <v/>
      </c>
      <c r="K739" s="10">
        <f>E739/'По разделам'!$B$21</f>
        <v/>
      </c>
      <c r="L739" s="4">
        <f>L738+K739</f>
        <v/>
      </c>
      <c r="M739" s="2" t="inlineStr">
        <is>
          <t>03292</t>
        </is>
      </c>
      <c r="N739" s="2" t="inlineStr">
        <is>
          <t>https://app.redstat.kz/niche/03292?event_date=2026-08-01</t>
        </is>
      </c>
      <c r="O739" s="2" t="inlineStr">
        <is>
          <t>https://kaspi.kz/shop/c/car%20filters/</t>
        </is>
      </c>
    </row>
    <row r="740">
      <c r="A740" s="2" t="n">
        <v>739</v>
      </c>
      <c r="B740" s="2" t="inlineStr">
        <is>
          <t>Брелоки и ключницы</t>
        </is>
      </c>
      <c r="C740" s="2" t="inlineStr">
        <is>
          <t>Аксессуары</t>
        </is>
      </c>
      <c r="D740" s="2" t="inlineStr">
        <is>
          <t>Аксессуары → Зонты, брелоки и портсигары → Брелоки и ключницы</t>
        </is>
      </c>
      <c r="E740" s="3" t="n">
        <v>15960181</v>
      </c>
      <c r="F740" s="3" t="n">
        <v>20580</v>
      </c>
      <c r="G740" s="3">
        <f>IFERROR(E740/F740,0)</f>
        <v/>
      </c>
      <c r="H740" s="3" t="n">
        <v>954</v>
      </c>
      <c r="I740" s="2" t="n">
        <v>102</v>
      </c>
      <c r="J740" s="3">
        <f>IFERROR(E740/H740,0)</f>
        <v/>
      </c>
      <c r="K740" s="10">
        <f>E740/'По разделам'!$B$21</f>
        <v/>
      </c>
      <c r="L740" s="4">
        <f>L739+K740</f>
        <v/>
      </c>
      <c r="M740" s="2" t="inlineStr">
        <is>
          <t>00934</t>
        </is>
      </c>
      <c r="N740" s="2" t="inlineStr">
        <is>
          <t>https://app.redstat.kz/niche/00934?event_date=2026-08-01</t>
        </is>
      </c>
      <c r="O740" s="2" t="inlineStr">
        <is>
          <t>https://kaspi.kz/shop/c/key%20wallets%20and%20keychains/</t>
        </is>
      </c>
    </row>
    <row r="741">
      <c r="A741" s="2" t="n">
        <v>740</v>
      </c>
      <c r="B741" s="2" t="inlineStr">
        <is>
          <t>Мужская треккинговая обувь</t>
        </is>
      </c>
      <c r="C741" s="2" t="inlineStr">
        <is>
          <t>Обувь</t>
        </is>
      </c>
      <c r="D741" s="2" t="inlineStr">
        <is>
          <t>Обувь → Мужская обувь → Мужская треккинговая обувь</t>
        </is>
      </c>
      <c r="E741" s="3" t="n">
        <v>15880016</v>
      </c>
      <c r="F741" s="3" t="n">
        <v>405</v>
      </c>
      <c r="G741" s="3">
        <f>IFERROR(E741/F741,0)</f>
        <v/>
      </c>
      <c r="H741" s="3" t="n">
        <v>338</v>
      </c>
      <c r="I741" s="2" t="n">
        <v>48</v>
      </c>
      <c r="J741" s="3">
        <f>IFERROR(E741/H741,0)</f>
        <v/>
      </c>
      <c r="K741" s="10">
        <f>E741/'По разделам'!$B$21</f>
        <v/>
      </c>
      <c r="L741" s="4">
        <f>L740+K741</f>
        <v/>
      </c>
      <c r="M741" s="2" t="inlineStr">
        <is>
          <t>01348</t>
        </is>
      </c>
      <c r="N741" s="2" t="inlineStr">
        <is>
          <t>https://app.redstat.kz/niche/01348?event_date=2026-08-01</t>
        </is>
      </c>
      <c r="O741" s="2" t="inlineStr">
        <is>
          <t>https://kaspi.kz/shop/c/men%20hiking%20shoes/</t>
        </is>
      </c>
    </row>
    <row r="742">
      <c r="A742" s="2" t="n">
        <v>741</v>
      </c>
      <c r="B742" s="2" t="inlineStr">
        <is>
          <t>Помпы для воды</t>
        </is>
      </c>
      <c r="C742" s="2" t="inlineStr">
        <is>
          <t>Бытовая техника</t>
        </is>
      </c>
      <c r="D742" s="2" t="inlineStr">
        <is>
          <t>Бытовая техника → Мелкая техника для кухни → Помпы для воды</t>
        </is>
      </c>
      <c r="E742" s="3" t="n">
        <v>15860222</v>
      </c>
      <c r="F742" s="3" t="n">
        <v>5786</v>
      </c>
      <c r="G742" s="3">
        <f>IFERROR(E742/F742,0)</f>
        <v/>
      </c>
      <c r="H742" s="3" t="n">
        <v>227</v>
      </c>
      <c r="I742" s="2" t="n">
        <v>66</v>
      </c>
      <c r="J742" s="3">
        <f>IFERROR(E742/H742,0)</f>
        <v/>
      </c>
      <c r="K742" s="10">
        <f>E742/'По разделам'!$B$21</f>
        <v/>
      </c>
      <c r="L742" s="4">
        <f>L741+K742</f>
        <v/>
      </c>
      <c r="M742" s="2" t="inlineStr">
        <is>
          <t>04954</t>
        </is>
      </c>
      <c r="N742" s="2" t="inlineStr">
        <is>
          <t>https://app.redstat.kz/niche/04954?event_date=2026-08-01</t>
        </is>
      </c>
      <c r="O742" s="2" t="inlineStr">
        <is>
          <t>https://kaspi.kz/shop/c/pumps%20for%20water/</t>
        </is>
      </c>
    </row>
    <row r="743">
      <c r="A743" s="2" t="n">
        <v>742</v>
      </c>
      <c r="B743" s="2" t="inlineStr">
        <is>
          <t>Доильные аппараты</t>
        </is>
      </c>
      <c r="C743" s="2" t="inlineStr">
        <is>
          <t>Товары для животных</t>
        </is>
      </c>
      <c r="D743" s="2" t="inlineStr">
        <is>
          <t>Товары для животных → Для сельскохозяйственных животных → Доильные аппараты</t>
        </is>
      </c>
      <c r="E743" s="3" t="n">
        <v>15691679</v>
      </c>
      <c r="F743" s="3" t="n">
        <v>104</v>
      </c>
      <c r="G743" s="3">
        <f>IFERROR(E743/F743,0)</f>
        <v/>
      </c>
      <c r="H743" s="3" t="n">
        <v>36</v>
      </c>
      <c r="I743" s="2" t="n">
        <v>12</v>
      </c>
      <c r="J743" s="3">
        <f>IFERROR(E743/H743,0)</f>
        <v/>
      </c>
      <c r="K743" s="10">
        <f>E743/'По разделам'!$B$21</f>
        <v/>
      </c>
      <c r="L743" s="4">
        <f>L742+K743</f>
        <v/>
      </c>
      <c r="M743" s="2" t="inlineStr">
        <is>
          <t>03125</t>
        </is>
      </c>
      <c r="N743" s="2" t="inlineStr">
        <is>
          <t>https://app.redstat.kz/niche/03125?event_date=2026-08-01</t>
        </is>
      </c>
      <c r="O743" s="2" t="inlineStr">
        <is>
          <t>https://kaspi.kz/shop/c/milking%20machines/</t>
        </is>
      </c>
    </row>
    <row r="744">
      <c r="A744" s="2" t="n">
        <v>743</v>
      </c>
      <c r="B744" s="2" t="inlineStr">
        <is>
          <t>Штанги</t>
        </is>
      </c>
      <c r="C744" s="2" t="inlineStr">
        <is>
          <t>Спорт, туризм</t>
        </is>
      </c>
      <c r="D744" s="2" t="inlineStr">
        <is>
          <t>Спорт, туризм → Тренажеры → Штанги</t>
        </is>
      </c>
      <c r="E744" s="3" t="n">
        <v>15607682</v>
      </c>
      <c r="F744" s="3" t="n">
        <v>586</v>
      </c>
      <c r="G744" s="3">
        <f>IFERROR(E744/F744,0)</f>
        <v/>
      </c>
      <c r="H744" s="3" t="n">
        <v>111</v>
      </c>
      <c r="I744" s="2" t="n">
        <v>23</v>
      </c>
      <c r="J744" s="3">
        <f>IFERROR(E744/H744,0)</f>
        <v/>
      </c>
      <c r="K744" s="10">
        <f>E744/'По разделам'!$B$21</f>
        <v/>
      </c>
      <c r="L744" s="4">
        <f>L743+K744</f>
        <v/>
      </c>
      <c r="M744" s="2" t="inlineStr">
        <is>
          <t>00900</t>
        </is>
      </c>
      <c r="N744" s="2" t="inlineStr">
        <is>
          <t>https://app.redstat.kz/niche/00900?event_date=2026-08-01</t>
        </is>
      </c>
      <c r="O744" s="2" t="inlineStr">
        <is>
          <t>https://kaspi.kz/shop/c/barbells/</t>
        </is>
      </c>
    </row>
    <row r="745">
      <c r="A745" s="2" t="n">
        <v>744</v>
      </c>
      <c r="B745" s="2" t="inlineStr">
        <is>
          <t>Пожарное оборудование</t>
        </is>
      </c>
      <c r="C745" s="2" t="inlineStr">
        <is>
          <t>Строительство, ремонт</t>
        </is>
      </c>
      <c r="D745" s="2" t="inlineStr">
        <is>
          <t>Строительство, ремонт → Системы безопасности → Пожарное оборудование → Пожарное оборудование</t>
        </is>
      </c>
      <c r="E745" s="3" t="n">
        <v>15549020</v>
      </c>
      <c r="F745" s="3" t="n">
        <v>1966</v>
      </c>
      <c r="G745" s="3">
        <f>IFERROR(E745/F745,0)</f>
        <v/>
      </c>
      <c r="H745" s="3" t="n">
        <v>127</v>
      </c>
      <c r="I745" s="2" t="n">
        <v>29</v>
      </c>
      <c r="J745" s="3">
        <f>IFERROR(E745/H745,0)</f>
        <v/>
      </c>
      <c r="K745" s="10">
        <f>E745/'По разделам'!$B$21</f>
        <v/>
      </c>
      <c r="L745" s="4">
        <f>L744+K745</f>
        <v/>
      </c>
      <c r="M745" s="2" t="inlineStr">
        <is>
          <t>qf748683f28ff67d</t>
        </is>
      </c>
      <c r="N745" s="2" t="inlineStr">
        <is>
          <t>https://app.redstat.kz/niche/qf748683f28ff67d?event_date=2026-08-01</t>
        </is>
      </c>
      <c r="O745" s="2" t="inlineStr"/>
    </row>
    <row r="746">
      <c r="A746" s="2" t="n">
        <v>745</v>
      </c>
      <c r="B746" s="2" t="inlineStr">
        <is>
          <t>Спортивные тейпы</t>
        </is>
      </c>
      <c r="C746" s="2" t="inlineStr">
        <is>
          <t>Спорт, туризм</t>
        </is>
      </c>
      <c r="D746" s="2" t="inlineStr">
        <is>
          <t>Спорт, туризм → Бег и ходьба → Спортивные тейпы</t>
        </is>
      </c>
      <c r="E746" s="3" t="n">
        <v>15489498</v>
      </c>
      <c r="F746" s="3" t="n">
        <v>6023</v>
      </c>
      <c r="G746" s="3">
        <f>IFERROR(E746/F746,0)</f>
        <v/>
      </c>
      <c r="H746" s="3" t="n">
        <v>353</v>
      </c>
      <c r="I746" s="2" t="n">
        <v>58</v>
      </c>
      <c r="J746" s="3">
        <f>IFERROR(E746/H746,0)</f>
        <v/>
      </c>
      <c r="K746" s="10">
        <f>E746/'По разделам'!$B$21</f>
        <v/>
      </c>
      <c r="L746" s="4">
        <f>L745+K746</f>
        <v/>
      </c>
      <c r="M746" s="2" t="inlineStr">
        <is>
          <t>01790</t>
        </is>
      </c>
      <c r="N746" s="2" t="inlineStr">
        <is>
          <t>https://app.redstat.kz/niche/01790?event_date=2026-08-01</t>
        </is>
      </c>
      <c r="O746" s="2" t="inlineStr">
        <is>
          <t>https://kaspi.kz/shop/search/?text=%D0%A1%D0%BF%D0%BE%D1%80%D1%82%D0%B8%D0%B2%D0%BD%D1%8B%D0%B5%20%D1%82%D0%B5%D0%B9%D0%BF%D1%8B</t>
        </is>
      </c>
    </row>
    <row r="747">
      <c r="A747" s="2" t="n">
        <v>746</v>
      </c>
      <c r="B747" s="2" t="inlineStr">
        <is>
          <t>Товары для окрашивания</t>
        </is>
      </c>
      <c r="C747" s="2" t="inlineStr">
        <is>
          <t>Красота и здоровье</t>
        </is>
      </c>
      <c r="D747" s="2" t="inlineStr">
        <is>
          <t>Красота и здоровье → Косметика и аксессуары для бровей и ресниц → Товары для окрашивания</t>
        </is>
      </c>
      <c r="E747" s="3" t="n">
        <v>15439036</v>
      </c>
      <c r="F747" s="3" t="n">
        <v>3978</v>
      </c>
      <c r="G747" s="3">
        <f>IFERROR(E747/F747,0)</f>
        <v/>
      </c>
      <c r="H747" s="3" t="n">
        <v>299</v>
      </c>
      <c r="I747" s="2" t="n">
        <v>39</v>
      </c>
      <c r="J747" s="3">
        <f>IFERROR(E747/H747,0)</f>
        <v/>
      </c>
      <c r="K747" s="10">
        <f>E747/'По разделам'!$B$21</f>
        <v/>
      </c>
      <c r="L747" s="4">
        <f>L746+K747</f>
        <v/>
      </c>
      <c r="M747" s="2" t="inlineStr">
        <is>
          <t>06666</t>
        </is>
      </c>
      <c r="N747" s="2" t="inlineStr">
        <is>
          <t>https://app.redstat.kz/niche/06666?event_date=2026-08-01</t>
        </is>
      </c>
      <c r="O747" s="2" t="inlineStr">
        <is>
          <t>https://kaspi.kz/shop/c/eyebrow%20tinting%20products/</t>
        </is>
      </c>
    </row>
    <row r="748">
      <c r="A748" s="2" t="n">
        <v>747</v>
      </c>
      <c r="B748" s="2" t="inlineStr">
        <is>
          <t>Детские качели для дома и улицы</t>
        </is>
      </c>
      <c r="C748" s="2" t="inlineStr">
        <is>
          <t>Детские товары</t>
        </is>
      </c>
      <c r="D748" s="2" t="inlineStr">
        <is>
          <t>Детские товары → Игровая площадка → Детские качели для дома и улицы</t>
        </is>
      </c>
      <c r="E748" s="3" t="n">
        <v>15279383</v>
      </c>
      <c r="F748" s="3" t="n">
        <v>746</v>
      </c>
      <c r="G748" s="3">
        <f>IFERROR(E748/F748,0)</f>
        <v/>
      </c>
      <c r="H748" s="3" t="n">
        <v>117</v>
      </c>
      <c r="I748" s="2" t="n">
        <v>39</v>
      </c>
      <c r="J748" s="3">
        <f>IFERROR(E748/H748,0)</f>
        <v/>
      </c>
      <c r="K748" s="10">
        <f>E748/'По разделам'!$B$21</f>
        <v/>
      </c>
      <c r="L748" s="4">
        <f>L747+K748</f>
        <v/>
      </c>
      <c r="M748" s="2" t="inlineStr">
        <is>
          <t>06191</t>
        </is>
      </c>
      <c r="N748" s="2" t="inlineStr">
        <is>
          <t>https://app.redstat.kz/niche/06191?event_date=2026-08-01</t>
        </is>
      </c>
      <c r="O748" s="2" t="inlineStr">
        <is>
          <t>https://kaspi.kz/shop/c/baby%20swing/</t>
        </is>
      </c>
    </row>
    <row r="749">
      <c r="A749" s="2" t="n">
        <v>748</v>
      </c>
      <c r="B749" s="2" t="inlineStr">
        <is>
          <t>Строительные эмали</t>
        </is>
      </c>
      <c r="C749" s="2" t="inlineStr">
        <is>
          <t>Строительство, ремонт</t>
        </is>
      </c>
      <c r="D749" s="2" t="inlineStr">
        <is>
          <t>Строительство, ремонт → Лакокрасочные материалы → Строительные эмали</t>
        </is>
      </c>
      <c r="E749" s="3" t="n">
        <v>15256042</v>
      </c>
      <c r="F749" s="3" t="n">
        <v>1659</v>
      </c>
      <c r="G749" s="3">
        <f>IFERROR(E749/F749,0)</f>
        <v/>
      </c>
      <c r="H749" s="3" t="n">
        <v>332</v>
      </c>
      <c r="I749" s="2" t="n">
        <v>57</v>
      </c>
      <c r="J749" s="3">
        <f>IFERROR(E749/H749,0)</f>
        <v/>
      </c>
      <c r="K749" s="10">
        <f>E749/'По разделам'!$B$21</f>
        <v/>
      </c>
      <c r="L749" s="4">
        <f>L748+K749</f>
        <v/>
      </c>
      <c r="M749" s="2" t="inlineStr">
        <is>
          <t>01274</t>
        </is>
      </c>
      <c r="N749" s="2" t="inlineStr">
        <is>
          <t>https://app.redstat.kz/niche/01274?event_date=2026-08-01</t>
        </is>
      </c>
      <c r="O749" s="2" t="inlineStr">
        <is>
          <t>https://kaspi.kz/shop/c/enamels/</t>
        </is>
      </c>
    </row>
    <row r="750">
      <c r="A750" s="2" t="n">
        <v>749</v>
      </c>
      <c r="B750" s="2" t="inlineStr">
        <is>
          <t>Скрабы и пилинги для кожи головы</t>
        </is>
      </c>
      <c r="C750" s="2" t="inlineStr">
        <is>
          <t>Красота и здоровье</t>
        </is>
      </c>
      <c r="D750" s="2" t="inlineStr">
        <is>
          <t>Красота и здоровье → Уход за волосами → Скрабы и пилинги для кожи головы</t>
        </is>
      </c>
      <c r="E750" s="3" t="n">
        <v>15255346</v>
      </c>
      <c r="F750" s="3" t="n">
        <v>4868</v>
      </c>
      <c r="G750" s="3">
        <f>IFERROR(E750/F750,0)</f>
        <v/>
      </c>
      <c r="H750" s="3" t="n">
        <v>105</v>
      </c>
      <c r="I750" s="2" t="n">
        <v>63</v>
      </c>
      <c r="J750" s="3">
        <f>IFERROR(E750/H750,0)</f>
        <v/>
      </c>
      <c r="K750" s="10">
        <f>E750/'По разделам'!$B$21</f>
        <v/>
      </c>
      <c r="L750" s="4">
        <f>L749+K750</f>
        <v/>
      </c>
      <c r="M750" s="2" t="inlineStr">
        <is>
          <t>05118</t>
        </is>
      </c>
      <c r="N750" s="2" t="inlineStr">
        <is>
          <t>https://app.redstat.kz/niche/05118?event_date=2026-08-01</t>
        </is>
      </c>
      <c r="O750" s="2" t="inlineStr">
        <is>
          <t>https://kaspi.kz/shop/c/scrubs%20and%20peels%20for%20hair/</t>
        </is>
      </c>
    </row>
    <row r="751">
      <c r="A751" s="2" t="n">
        <v>750</v>
      </c>
      <c r="B751" s="2" t="inlineStr">
        <is>
          <t>Электрические щиты и комплектующие</t>
        </is>
      </c>
      <c r="C751" s="2" t="inlineStr">
        <is>
          <t>Строительство, ремонт</t>
        </is>
      </c>
      <c r="D751" s="2" t="inlineStr">
        <is>
          <t>Строительство, ремонт → Электрика → Электрические щиты и комплектующие → Электрические щиты и комплектующие</t>
        </is>
      </c>
      <c r="E751" s="3" t="n">
        <v>15196651</v>
      </c>
      <c r="F751" s="3" t="n">
        <v>1600</v>
      </c>
      <c r="G751" s="3">
        <f>IFERROR(E751/F751,0)</f>
        <v/>
      </c>
      <c r="H751" s="3" t="n">
        <v>318</v>
      </c>
      <c r="I751" s="2" t="n">
        <v>48</v>
      </c>
      <c r="J751" s="3">
        <f>IFERROR(E751/H751,0)</f>
        <v/>
      </c>
      <c r="K751" s="10">
        <f>E751/'По разделам'!$B$21</f>
        <v/>
      </c>
      <c r="L751" s="4">
        <f>L750+K751</f>
        <v/>
      </c>
      <c r="M751" s="2" t="inlineStr">
        <is>
          <t>qe6bd62a55d7d75b</t>
        </is>
      </c>
      <c r="N751" s="2" t="inlineStr">
        <is>
          <t>https://app.redstat.kz/niche/qe6bd62a55d7d75b?event_date=2026-08-01</t>
        </is>
      </c>
      <c r="O751" s="2" t="inlineStr"/>
    </row>
    <row r="752">
      <c r="A752" s="2" t="n">
        <v>751</v>
      </c>
      <c r="B752" s="2" t="inlineStr">
        <is>
          <t>Строительные блоки</t>
        </is>
      </c>
      <c r="C752" s="2" t="inlineStr">
        <is>
          <t>Строительство, ремонт</t>
        </is>
      </c>
      <c r="D752" s="2" t="inlineStr">
        <is>
          <t>Строительство, ремонт → Строительные материалы → Строительные блоки</t>
        </is>
      </c>
      <c r="E752" s="3" t="n">
        <v>15153463</v>
      </c>
      <c r="F752" s="3" t="n">
        <v>92</v>
      </c>
      <c r="G752" s="3">
        <f>IFERROR(E752/F752,0)</f>
        <v/>
      </c>
      <c r="H752" s="3" t="n">
        <v>36</v>
      </c>
      <c r="I752" s="2" t="n">
        <v>14</v>
      </c>
      <c r="J752" s="3">
        <f>IFERROR(E752/H752,0)</f>
        <v/>
      </c>
      <c r="K752" s="10">
        <f>E752/'По разделам'!$B$21</f>
        <v/>
      </c>
      <c r="L752" s="4">
        <f>L751+K752</f>
        <v/>
      </c>
      <c r="M752" s="2" t="inlineStr">
        <is>
          <t>02558</t>
        </is>
      </c>
      <c r="N752" s="2" t="inlineStr">
        <is>
          <t>https://app.redstat.kz/niche/02558?event_date=2026-08-01</t>
        </is>
      </c>
      <c r="O752" s="2" t="inlineStr">
        <is>
          <t>https://kaspi.kz/shop/c/building%20blocks/</t>
        </is>
      </c>
    </row>
    <row r="753">
      <c r="A753" s="2" t="n">
        <v>752</v>
      </c>
      <c r="B753" s="2" t="inlineStr">
        <is>
          <t>Служебно-информационные таблички, наклейки, табло</t>
        </is>
      </c>
      <c r="C753" s="2" t="inlineStr">
        <is>
          <t>Канцелярские товары</t>
        </is>
      </c>
      <c r="D753" s="2" t="inlineStr">
        <is>
          <t>Канцелярские товары → Торговые и рекламные принадлежности → Служебно-информационные таблички, наклейки, табло</t>
        </is>
      </c>
      <c r="E753" s="3" t="n">
        <v>15119378</v>
      </c>
      <c r="F753" s="3" t="n">
        <v>3188</v>
      </c>
      <c r="G753" s="3">
        <f>IFERROR(E753/F753,0)</f>
        <v/>
      </c>
      <c r="H753" s="3" t="n">
        <v>639</v>
      </c>
      <c r="I753" s="2" t="n">
        <v>39</v>
      </c>
      <c r="J753" s="3">
        <f>IFERROR(E753/H753,0)</f>
        <v/>
      </c>
      <c r="K753" s="10">
        <f>E753/'По разделам'!$B$21</f>
        <v/>
      </c>
      <c r="L753" s="4">
        <f>L752+K753</f>
        <v/>
      </c>
      <c r="M753" s="2" t="inlineStr">
        <is>
          <t>03736</t>
        </is>
      </c>
      <c r="N753" s="2" t="inlineStr">
        <is>
          <t>https://app.redstat.kz/niche/03736?event_date=2026-08-01</t>
        </is>
      </c>
      <c r="O753" s="2" t="inlineStr">
        <is>
          <t>https://kaspi.kz/shop/c/service%20and%20information%20stickers/</t>
        </is>
      </c>
    </row>
    <row r="754">
      <c r="A754" s="2" t="n">
        <v>753</v>
      </c>
      <c r="B754" s="2" t="inlineStr">
        <is>
          <t>Автомобильные лебедки</t>
        </is>
      </c>
      <c r="C754" s="2" t="inlineStr">
        <is>
          <t>Автотовары</t>
        </is>
      </c>
      <c r="D754" s="2" t="inlineStr">
        <is>
          <t>Автотовары → Автомобильное оборудование → Автомобильные лебедки</t>
        </is>
      </c>
      <c r="E754" s="3" t="n">
        <v>15065334</v>
      </c>
      <c r="F754" s="3" t="n">
        <v>190</v>
      </c>
      <c r="G754" s="3">
        <f>IFERROR(E754/F754,0)</f>
        <v/>
      </c>
      <c r="H754" s="3" t="n">
        <v>67</v>
      </c>
      <c r="I754" s="2" t="n">
        <v>30</v>
      </c>
      <c r="J754" s="3">
        <f>IFERROR(E754/H754,0)</f>
        <v/>
      </c>
      <c r="K754" s="10">
        <f>E754/'По разделам'!$B$21</f>
        <v/>
      </c>
      <c r="L754" s="4">
        <f>L753+K754</f>
        <v/>
      </c>
      <c r="M754" s="2" t="inlineStr">
        <is>
          <t>01020</t>
        </is>
      </c>
      <c r="N754" s="2" t="inlineStr">
        <is>
          <t>https://app.redstat.kz/niche/01020?event_date=2026-08-01</t>
        </is>
      </c>
      <c r="O754" s="2" t="inlineStr">
        <is>
          <t>https://kaspi.kz/shop/c/car%20winches/</t>
        </is>
      </c>
    </row>
    <row r="755">
      <c r="A755" s="2" t="n">
        <v>754</v>
      </c>
      <c r="B755" s="2" t="inlineStr">
        <is>
          <t>Вышивальные машины</t>
        </is>
      </c>
      <c r="C755" s="2" t="inlineStr">
        <is>
          <t>Бытовая техника</t>
        </is>
      </c>
      <c r="D755" s="2" t="inlineStr">
        <is>
          <t>Бытовая техника → Малая техника для дома → Вышивальные машины</t>
        </is>
      </c>
      <c r="E755" s="3" t="n">
        <v>15021625</v>
      </c>
      <c r="F755" s="3" t="n">
        <v>17</v>
      </c>
      <c r="G755" s="3">
        <f>IFERROR(E755/F755,0)</f>
        <v/>
      </c>
      <c r="H755" s="3" t="n">
        <v>5</v>
      </c>
      <c r="I755" s="2" t="n">
        <v>2</v>
      </c>
      <c r="J755" s="3">
        <f>IFERROR(E755/H755,0)</f>
        <v/>
      </c>
      <c r="K755" s="10">
        <f>E755/'По разделам'!$B$21</f>
        <v/>
      </c>
      <c r="L755" s="4">
        <f>L754+K755</f>
        <v/>
      </c>
      <c r="M755" s="2" t="inlineStr">
        <is>
          <t>01382</t>
        </is>
      </c>
      <c r="N755" s="2" t="inlineStr">
        <is>
          <t>https://app.redstat.kz/niche/01382?event_date=2026-08-01</t>
        </is>
      </c>
      <c r="O755" s="2" t="inlineStr">
        <is>
          <t>https://kaspi.kz/shop/c/embroidery%20machines/</t>
        </is>
      </c>
    </row>
    <row r="756">
      <c r="A756" s="2" t="n">
        <v>755</v>
      </c>
      <c r="B756" s="2" t="inlineStr">
        <is>
          <t>Коньки и аксессуары</t>
        </is>
      </c>
      <c r="C756" s="2" t="inlineStr">
        <is>
          <t>Спорт, туризм</t>
        </is>
      </c>
      <c r="D756" s="2" t="inlineStr">
        <is>
          <t>Спорт, туризм → Зимний спорт → Коньки и аксессуары → Коньки и аксессуары</t>
        </is>
      </c>
      <c r="E756" s="3" t="n">
        <v>15012172</v>
      </c>
      <c r="F756" s="3" t="n">
        <v>207</v>
      </c>
      <c r="G756" s="3">
        <f>IFERROR(E756/F756,0)</f>
        <v/>
      </c>
      <c r="H756" s="3" t="n">
        <v>162</v>
      </c>
      <c r="I756" s="2" t="n">
        <v>29</v>
      </c>
      <c r="J756" s="3">
        <f>IFERROR(E756/H756,0)</f>
        <v/>
      </c>
      <c r="K756" s="10">
        <f>E756/'По разделам'!$B$21</f>
        <v/>
      </c>
      <c r="L756" s="4">
        <f>L755+K756</f>
        <v/>
      </c>
      <c r="M756" s="2" t="inlineStr">
        <is>
          <t>qc261be13f0b5ec7</t>
        </is>
      </c>
      <c r="N756" s="2" t="inlineStr">
        <is>
          <t>https://app.redstat.kz/niche/qc261be13f0b5ec7?event_date=2026-08-01</t>
        </is>
      </c>
      <c r="O756" s="2" t="inlineStr"/>
    </row>
    <row r="757">
      <c r="A757" s="2" t="n">
        <v>756</v>
      </c>
      <c r="B757" s="2" t="inlineStr">
        <is>
          <t>Ключи и трещотки</t>
        </is>
      </c>
      <c r="C757" s="2" t="inlineStr">
        <is>
          <t>Строительство, ремонт</t>
        </is>
      </c>
      <c r="D757" s="2" t="inlineStr">
        <is>
          <t>Строительство, ремонт → Ручные инструменты → Ключи и трещотки → Ключи и трещотки</t>
        </is>
      </c>
      <c r="E757" s="3" t="n">
        <v>14941456</v>
      </c>
      <c r="F757" s="3" t="n">
        <v>1593</v>
      </c>
      <c r="G757" s="3">
        <f>IFERROR(E757/F757,0)</f>
        <v/>
      </c>
      <c r="H757" s="3" t="n">
        <v>312</v>
      </c>
      <c r="I757" s="2" t="n">
        <v>91</v>
      </c>
      <c r="J757" s="3">
        <f>IFERROR(E757/H757,0)</f>
        <v/>
      </c>
      <c r="K757" s="10">
        <f>E757/'По разделам'!$B$21</f>
        <v/>
      </c>
      <c r="L757" s="4">
        <f>L756+K757</f>
        <v/>
      </c>
      <c r="M757" s="2" t="inlineStr">
        <is>
          <t>q8f5f11875b8b370</t>
        </is>
      </c>
      <c r="N757" s="2" t="inlineStr">
        <is>
          <t>https://app.redstat.kz/niche/q8f5f11875b8b370?event_date=2026-08-01</t>
        </is>
      </c>
      <c r="O757" s="2" t="inlineStr"/>
    </row>
    <row r="758">
      <c r="A758" s="2" t="n">
        <v>757</v>
      </c>
      <c r="B758" s="2" t="inlineStr">
        <is>
          <t>Размягчители и кератолитики</t>
        </is>
      </c>
      <c r="C758" s="2" t="inlineStr">
        <is>
          <t>Красота и здоровье</t>
        </is>
      </c>
      <c r="D758" s="2" t="inlineStr">
        <is>
          <t>Красота и здоровье → Для маникюра и педикюра → Размягчители и кератолитики</t>
        </is>
      </c>
      <c r="E758" s="3" t="n">
        <v>14841582</v>
      </c>
      <c r="F758" s="3" t="n">
        <v>7010</v>
      </c>
      <c r="G758" s="3">
        <f>IFERROR(E758/F758,0)</f>
        <v/>
      </c>
      <c r="H758" s="3" t="n">
        <v>136</v>
      </c>
      <c r="I758" s="2" t="n">
        <v>36</v>
      </c>
      <c r="J758" s="3">
        <f>IFERROR(E758/H758,0)</f>
        <v/>
      </c>
      <c r="K758" s="10">
        <f>E758/'По разделам'!$B$21</f>
        <v/>
      </c>
      <c r="L758" s="4">
        <f>L757+K758</f>
        <v/>
      </c>
      <c r="M758" s="2" t="inlineStr">
        <is>
          <t>q456cc98c53b5d95</t>
        </is>
      </c>
      <c r="N758" s="2" t="inlineStr">
        <is>
          <t>https://app.redstat.kz/niche/q456cc98c53b5d95?event_date=2026-08-01</t>
        </is>
      </c>
      <c r="O758" s="2" t="inlineStr"/>
    </row>
    <row r="759">
      <c r="A759" s="2" t="n">
        <v>758</v>
      </c>
      <c r="B759" s="2" t="inlineStr">
        <is>
          <t>Автоподъемники</t>
        </is>
      </c>
      <c r="C759" s="2" t="inlineStr">
        <is>
          <t>Автотовары</t>
        </is>
      </c>
      <c r="D759" s="2" t="inlineStr">
        <is>
          <t>Автотовары → Автосервисное оборудование → Автоподъемники</t>
        </is>
      </c>
      <c r="E759" s="3" t="n">
        <v>14820900</v>
      </c>
      <c r="F759" s="3" t="n">
        <v>18</v>
      </c>
      <c r="G759" s="3">
        <f>IFERROR(E759/F759,0)</f>
        <v/>
      </c>
      <c r="H759" s="3" t="n">
        <v>9</v>
      </c>
      <c r="I759" s="2" t="n">
        <v>5</v>
      </c>
      <c r="J759" s="3">
        <f>IFERROR(E759/H759,0)</f>
        <v/>
      </c>
      <c r="K759" s="10">
        <f>E759/'По разделам'!$B$21</f>
        <v/>
      </c>
      <c r="L759" s="4">
        <f>L758+K759</f>
        <v/>
      </c>
      <c r="M759" s="2" t="inlineStr">
        <is>
          <t>03058</t>
        </is>
      </c>
      <c r="N759" s="2" t="inlineStr">
        <is>
          <t>https://app.redstat.kz/niche/03058?event_date=2026-08-01</t>
        </is>
      </c>
      <c r="O759" s="2" t="inlineStr">
        <is>
          <t>https://kaspi.kz/shop/c/car%20lifts/</t>
        </is>
      </c>
    </row>
    <row r="760">
      <c r="A760" s="2" t="n">
        <v>759</v>
      </c>
      <c r="B760" s="2" t="inlineStr">
        <is>
          <t>Аксессуары для микрофонов и акустики</t>
        </is>
      </c>
      <c r="C760" s="2" t="inlineStr">
        <is>
          <t>ТВ, Аудио, Видео</t>
        </is>
      </c>
      <c r="D760" s="2" t="inlineStr">
        <is>
          <t>ТВ, Аудио, Видео → Аудиотехника → Аксессуары для микрофонов и акустики → Аксессуары для микрофонов и акустики</t>
        </is>
      </c>
      <c r="E760" s="3" t="n">
        <v>14794708</v>
      </c>
      <c r="F760" s="3" t="n">
        <v>1388</v>
      </c>
      <c r="G760" s="3">
        <f>IFERROR(E760/F760,0)</f>
        <v/>
      </c>
      <c r="H760" s="3" t="n">
        <v>244</v>
      </c>
      <c r="I760" s="2" t="n">
        <v>68</v>
      </c>
      <c r="J760" s="3">
        <f>IFERROR(E760/H760,0)</f>
        <v/>
      </c>
      <c r="K760" s="10">
        <f>E760/'По разделам'!$B$21</f>
        <v/>
      </c>
      <c r="L760" s="4">
        <f>L759+K760</f>
        <v/>
      </c>
      <c r="M760" s="2" t="inlineStr">
        <is>
          <t>qa7798f2bcc81926</t>
        </is>
      </c>
      <c r="N760" s="2" t="inlineStr">
        <is>
          <t>https://app.redstat.kz/niche/qa7798f2bcc81926?event_date=2026-08-01</t>
        </is>
      </c>
      <c r="O760" s="2" t="inlineStr"/>
    </row>
    <row r="761">
      <c r="A761" s="2" t="n">
        <v>760</v>
      </c>
      <c r="B761" s="2" t="inlineStr">
        <is>
          <t>Канализация</t>
        </is>
      </c>
      <c r="C761" s="2" t="inlineStr">
        <is>
          <t>Строительство, ремонт</t>
        </is>
      </c>
      <c r="D761" s="2" t="inlineStr">
        <is>
          <t>Строительство, ремонт → Водоснабжение → Канализация → Канализация</t>
        </is>
      </c>
      <c r="E761" s="3" t="n">
        <v>14741995</v>
      </c>
      <c r="F761" s="3" t="n">
        <v>635</v>
      </c>
      <c r="G761" s="3">
        <f>IFERROR(E761/F761,0)</f>
        <v/>
      </c>
      <c r="H761" s="3" t="n">
        <v>79</v>
      </c>
      <c r="I761" s="2" t="n">
        <v>13</v>
      </c>
      <c r="J761" s="3">
        <f>IFERROR(E761/H761,0)</f>
        <v/>
      </c>
      <c r="K761" s="10">
        <f>E761/'По разделам'!$B$21</f>
        <v/>
      </c>
      <c r="L761" s="4">
        <f>L760+K761</f>
        <v/>
      </c>
      <c r="M761" s="2" t="inlineStr">
        <is>
          <t>q7a244e855db02e6</t>
        </is>
      </c>
      <c r="N761" s="2" t="inlineStr">
        <is>
          <t>https://app.redstat.kz/niche/q7a244e855db02e6?event_date=2026-08-01</t>
        </is>
      </c>
      <c r="O761" s="2" t="inlineStr"/>
    </row>
    <row r="762">
      <c r="A762" s="2" t="n">
        <v>761</v>
      </c>
      <c r="B762" s="2" t="inlineStr">
        <is>
          <t>Автомобильные GPS-трекеры</t>
        </is>
      </c>
      <c r="C762" s="2" t="inlineStr">
        <is>
          <t>Автотовары</t>
        </is>
      </c>
      <c r="D762" s="2" t="inlineStr">
        <is>
          <t>Автотовары → Автоэлектроника → Автомобильные GPS-трекеры</t>
        </is>
      </c>
      <c r="E762" s="3" t="n">
        <v>14655521</v>
      </c>
      <c r="F762" s="3" t="n">
        <v>602</v>
      </c>
      <c r="G762" s="3">
        <f>IFERROR(E762/F762,0)</f>
        <v/>
      </c>
      <c r="H762" s="3" t="n">
        <v>73</v>
      </c>
      <c r="I762" s="2" t="n">
        <v>17</v>
      </c>
      <c r="J762" s="3">
        <f>IFERROR(E762/H762,0)</f>
        <v/>
      </c>
      <c r="K762" s="10">
        <f>E762/'По разделам'!$B$21</f>
        <v/>
      </c>
      <c r="L762" s="4">
        <f>L761+K762</f>
        <v/>
      </c>
      <c r="M762" s="2" t="inlineStr">
        <is>
          <t>02292</t>
        </is>
      </c>
      <c r="N762" s="2" t="inlineStr">
        <is>
          <t>https://app.redstat.kz/niche/02292?event_date=2026-08-01</t>
        </is>
      </c>
      <c r="O762" s="2" t="inlineStr">
        <is>
          <t>https://kaspi.kz/shop/search/?text=%D0%90%D0%B2%D1%82%D0%BE%D0%BC%D0%BE%D0%B1%D0%B8%D0%BB%D1%8C%D0%BD%D1%8B%D0%B5%20GPS-%D1%82%D1%80%D0%B5%D0%BA%D0%B5%D1%80%D1%8B</t>
        </is>
      </c>
    </row>
    <row r="763">
      <c r="A763" s="2" t="n">
        <v>762</v>
      </c>
      <c r="B763" s="2" t="inlineStr">
        <is>
          <t>Комплекты одежды для малышей</t>
        </is>
      </c>
      <c r="C763" s="2" t="inlineStr">
        <is>
          <t>Одежда</t>
        </is>
      </c>
      <c r="D763" s="2" t="inlineStr">
        <is>
          <t>Одежда → Одежда для малышей → Комплекты одежды для малышей</t>
        </is>
      </c>
      <c r="E763" s="3" t="n">
        <v>14638551</v>
      </c>
      <c r="F763" s="3" t="n">
        <v>2511</v>
      </c>
      <c r="G763" s="3">
        <f>IFERROR(E763/F763,0)</f>
        <v/>
      </c>
      <c r="H763" s="3" t="n">
        <v>646</v>
      </c>
      <c r="I763" s="2" t="n">
        <v>82</v>
      </c>
      <c r="J763" s="3">
        <f>IFERROR(E763/H763,0)</f>
        <v/>
      </c>
      <c r="K763" s="10">
        <f>E763/'По разделам'!$B$21</f>
        <v/>
      </c>
      <c r="L763" s="4">
        <f>L762+K763</f>
        <v/>
      </c>
      <c r="M763" s="2" t="inlineStr">
        <is>
          <t>04008</t>
        </is>
      </c>
      <c r="N763" s="2" t="inlineStr">
        <is>
          <t>https://app.redstat.kz/niche/04008?event_date=2026-08-01</t>
        </is>
      </c>
      <c r="O763" s="2" t="inlineStr">
        <is>
          <t>https://kaspi.kz/shop/c/newborn%20babies%20clothing%20sets/</t>
        </is>
      </c>
    </row>
    <row r="764">
      <c r="A764" s="2" t="n">
        <v>763</v>
      </c>
      <c r="B764" s="2" t="inlineStr">
        <is>
          <t>Броши ювелирные</t>
        </is>
      </c>
      <c r="C764" s="2" t="inlineStr">
        <is>
          <t>Украшения</t>
        </is>
      </c>
      <c r="D764" s="2" t="inlineStr">
        <is>
          <t>Украшения → Броши → Броши ювелирные</t>
        </is>
      </c>
      <c r="E764" s="3" t="n">
        <v>14617879</v>
      </c>
      <c r="F764" s="3" t="n">
        <v>428</v>
      </c>
      <c r="G764" s="3">
        <f>IFERROR(E764/F764,0)</f>
        <v/>
      </c>
      <c r="H764" s="3" t="n">
        <v>239</v>
      </c>
      <c r="I764" s="2" t="n">
        <v>59</v>
      </c>
      <c r="J764" s="3">
        <f>IFERROR(E764/H764,0)</f>
        <v/>
      </c>
      <c r="K764" s="10">
        <f>E764/'По разделам'!$B$21</f>
        <v/>
      </c>
      <c r="L764" s="4">
        <f>L763+K764</f>
        <v/>
      </c>
      <c r="M764" s="2" t="inlineStr">
        <is>
          <t>00770</t>
        </is>
      </c>
      <c r="N764" s="2" t="inlineStr">
        <is>
          <t>https://app.redstat.kz/niche/00770?event_date=2026-08-01</t>
        </is>
      </c>
      <c r="O764" s="2" t="inlineStr">
        <is>
          <t>https://kaspi.kz/shop/c/brooches/</t>
        </is>
      </c>
    </row>
    <row r="765">
      <c r="A765" s="2" t="n">
        <v>764</v>
      </c>
      <c r="B765" s="2" t="inlineStr">
        <is>
          <t>Средства для ухода за животными</t>
        </is>
      </c>
      <c r="C765" s="2" t="inlineStr">
        <is>
          <t>Товары для животных</t>
        </is>
      </c>
      <c r="D765" s="2" t="inlineStr">
        <is>
          <t>Товары для животных → Гигиена и уход за животными → Средства для ухода за животными</t>
        </is>
      </c>
      <c r="E765" s="3" t="n">
        <v>14586611</v>
      </c>
      <c r="F765" s="3" t="n">
        <v>3997</v>
      </c>
      <c r="G765" s="3">
        <f>IFERROR(E765/F765,0)</f>
        <v/>
      </c>
      <c r="H765" s="3" t="n">
        <v>443</v>
      </c>
      <c r="I765" s="2" t="n">
        <v>96</v>
      </c>
      <c r="J765" s="3">
        <f>IFERROR(E765/H765,0)</f>
        <v/>
      </c>
      <c r="K765" s="10">
        <f>E765/'По разделам'!$B$21</f>
        <v/>
      </c>
      <c r="L765" s="4">
        <f>L764+K765</f>
        <v/>
      </c>
      <c r="M765" s="2" t="inlineStr">
        <is>
          <t>05674</t>
        </is>
      </c>
      <c r="N765" s="2" t="inlineStr">
        <is>
          <t>https://app.redstat.kz/niche/05674?event_date=2026-08-01</t>
        </is>
      </c>
      <c r="O765" s="2" t="inlineStr">
        <is>
          <t>https://kaspi.kz/shop/c/shampoos%20and%20conditioners%20for%20animals/</t>
        </is>
      </c>
    </row>
    <row r="766">
      <c r="A766" s="2" t="n">
        <v>765</v>
      </c>
      <c r="B766" s="2" t="inlineStr">
        <is>
          <t>Женские национальные костюмы</t>
        </is>
      </c>
      <c r="C766" s="2" t="inlineStr">
        <is>
          <t>Одежда</t>
        </is>
      </c>
      <c r="D766" s="2" t="inlineStr">
        <is>
          <t>Одежда → Женщинам → Женские национальные костюмы</t>
        </is>
      </c>
      <c r="E766" s="3" t="n">
        <v>14582818</v>
      </c>
      <c r="F766" s="3" t="n">
        <v>851</v>
      </c>
      <c r="G766" s="3">
        <f>IFERROR(E766/F766,0)</f>
        <v/>
      </c>
      <c r="H766" s="3" t="n">
        <v>525</v>
      </c>
      <c r="I766" s="2" t="n">
        <v>27</v>
      </c>
      <c r="J766" s="3">
        <f>IFERROR(E766/H766,0)</f>
        <v/>
      </c>
      <c r="K766" s="10">
        <f>E766/'По разделам'!$B$21</f>
        <v/>
      </c>
      <c r="L766" s="4">
        <f>L765+K766</f>
        <v/>
      </c>
      <c r="M766" s="2" t="inlineStr">
        <is>
          <t>07162</t>
        </is>
      </c>
      <c r="N766" s="2" t="inlineStr">
        <is>
          <t>https://app.redstat.kz/niche/07162?event_date=2026-08-01</t>
        </is>
      </c>
      <c r="O766" s="2" t="inlineStr">
        <is>
          <t>https://kaspi.kz/shop/c/women%20national%20costumes/</t>
        </is>
      </c>
    </row>
    <row r="767">
      <c r="A767" s="2" t="n">
        <v>766</v>
      </c>
      <c r="B767" s="2" t="inlineStr">
        <is>
          <t>Лестницы и комплектующие</t>
        </is>
      </c>
      <c r="C767" s="2" t="inlineStr">
        <is>
          <t>Строительство, ремонт</t>
        </is>
      </c>
      <c r="D767" s="2" t="inlineStr">
        <is>
          <t>Строительство, ремонт → Двери, окна, лестницы → Лестницы и комплектующие → Лестницы и комплектующие</t>
        </is>
      </c>
      <c r="E767" s="3" t="n">
        <v>14492020</v>
      </c>
      <c r="F767" s="3" t="n">
        <v>134</v>
      </c>
      <c r="G767" s="3">
        <f>IFERROR(E767/F767,0)</f>
        <v/>
      </c>
      <c r="H767" s="3" t="n">
        <v>52</v>
      </c>
      <c r="I767" s="2" t="n">
        <v>9</v>
      </c>
      <c r="J767" s="3">
        <f>IFERROR(E767/H767,0)</f>
        <v/>
      </c>
      <c r="K767" s="10">
        <f>E767/'По разделам'!$B$21</f>
        <v/>
      </c>
      <c r="L767" s="4">
        <f>L766+K767</f>
        <v/>
      </c>
      <c r="M767" s="2" t="inlineStr">
        <is>
          <t>qe8168e15d57c00a</t>
        </is>
      </c>
      <c r="N767" s="2" t="inlineStr">
        <is>
          <t>https://app.redstat.kz/niche/qe8168e15d57c00a?event_date=2026-08-01</t>
        </is>
      </c>
      <c r="O767" s="2" t="inlineStr"/>
    </row>
    <row r="768">
      <c r="A768" s="2" t="n">
        <v>767</v>
      </c>
      <c r="B768" s="2" t="inlineStr">
        <is>
          <t>Средства до и после бритья</t>
        </is>
      </c>
      <c r="C768" s="2" t="inlineStr">
        <is>
          <t>Красота и здоровье</t>
        </is>
      </c>
      <c r="D768" s="2" t="inlineStr">
        <is>
          <t>Красота и здоровье → Товары для бритья → Средства до и после бритья</t>
        </is>
      </c>
      <c r="E768" s="3" t="n">
        <v>14425474</v>
      </c>
      <c r="F768" s="3" t="n">
        <v>4102</v>
      </c>
      <c r="G768" s="3">
        <f>IFERROR(E768/F768,0)</f>
        <v/>
      </c>
      <c r="H768" s="3" t="n">
        <v>434</v>
      </c>
      <c r="I768" s="2" t="n">
        <v>91</v>
      </c>
      <c r="J768" s="3">
        <f>IFERROR(E768/H768,0)</f>
        <v/>
      </c>
      <c r="K768" s="10">
        <f>E768/'По разделам'!$B$21</f>
        <v/>
      </c>
      <c r="L768" s="4">
        <f>L767+K768</f>
        <v/>
      </c>
      <c r="M768" s="2" t="inlineStr">
        <is>
          <t>01764</t>
        </is>
      </c>
      <c r="N768" s="2" t="inlineStr">
        <is>
          <t>https://app.redstat.kz/niche/01764?event_date=2026-08-01</t>
        </is>
      </c>
      <c r="O768" s="2" t="inlineStr">
        <is>
          <t>https://kaspi.kz/shop/c/mens%20shaving%20products/</t>
        </is>
      </c>
    </row>
    <row r="769">
      <c r="A769" s="2" t="n">
        <v>768</v>
      </c>
      <c r="B769" s="2" t="inlineStr">
        <is>
          <t>Мужские мокасины и топсайдеры</t>
        </is>
      </c>
      <c r="C769" s="2" t="inlineStr">
        <is>
          <t>Обувь</t>
        </is>
      </c>
      <c r="D769" s="2" t="inlineStr">
        <is>
          <t>Обувь → Мужская обувь → Мужские мокасины и топсайдеры</t>
        </is>
      </c>
      <c r="E769" s="3" t="n">
        <v>14418785</v>
      </c>
      <c r="F769" s="3" t="n">
        <v>620</v>
      </c>
      <c r="G769" s="3">
        <f>IFERROR(E769/F769,0)</f>
        <v/>
      </c>
      <c r="H769" s="3" t="n">
        <v>448</v>
      </c>
      <c r="I769" s="2" t="n">
        <v>99</v>
      </c>
      <c r="J769" s="3">
        <f>IFERROR(E769/H769,0)</f>
        <v/>
      </c>
      <c r="K769" s="10">
        <f>E769/'По разделам'!$B$21</f>
        <v/>
      </c>
      <c r="L769" s="4">
        <f>L768+K769</f>
        <v/>
      </c>
      <c r="M769" s="2" t="inlineStr">
        <is>
          <t>03961</t>
        </is>
      </c>
      <c r="N769" s="2" t="inlineStr">
        <is>
          <t>https://app.redstat.kz/niche/03961?event_date=2026-08-01</t>
        </is>
      </c>
      <c r="O769" s="2" t="inlineStr">
        <is>
          <t>https://kaspi.kz/shop/c/men%20moccasins/</t>
        </is>
      </c>
    </row>
    <row r="770">
      <c r="A770" s="2" t="n">
        <v>769</v>
      </c>
      <c r="B770" s="2" t="inlineStr">
        <is>
          <t>Споты и трековые светильники</t>
        </is>
      </c>
      <c r="C770" s="2" t="inlineStr">
        <is>
          <t>Товары для дома и дачи</t>
        </is>
      </c>
      <c r="D770" s="2" t="inlineStr">
        <is>
          <t>Товары для дома и дачи → Освещение → Споты и трековые светильники</t>
        </is>
      </c>
      <c r="E770" s="3" t="n">
        <v>14403794</v>
      </c>
      <c r="F770" s="3" t="n">
        <v>1491</v>
      </c>
      <c r="G770" s="3">
        <f>IFERROR(E770/F770,0)</f>
        <v/>
      </c>
      <c r="H770" s="3" t="n">
        <v>383</v>
      </c>
      <c r="I770" s="2" t="n">
        <v>78</v>
      </c>
      <c r="J770" s="3">
        <f>IFERROR(E770/H770,0)</f>
        <v/>
      </c>
      <c r="K770" s="10">
        <f>E770/'По разделам'!$B$21</f>
        <v/>
      </c>
      <c r="L770" s="4">
        <f>L769+K770</f>
        <v/>
      </c>
      <c r="M770" s="2" t="inlineStr">
        <is>
          <t>03719</t>
        </is>
      </c>
      <c r="N770" s="2" t="inlineStr">
        <is>
          <t>https://app.redstat.kz/niche/03719?event_date=2026-08-01</t>
        </is>
      </c>
      <c r="O770" s="2" t="inlineStr">
        <is>
          <t>https://kaspi.kz/shop/c/spots%20and%20track%20systems/</t>
        </is>
      </c>
    </row>
    <row r="771">
      <c r="A771" s="2" t="n">
        <v>770</v>
      </c>
      <c r="B771" s="2" t="inlineStr">
        <is>
          <t>Насадки для электрических зубных щеток и ирригаторов</t>
        </is>
      </c>
      <c r="C771" s="2" t="inlineStr">
        <is>
          <t>Красота и здоровье</t>
        </is>
      </c>
      <c r="D771" s="2" t="inlineStr">
        <is>
          <t>Красота и здоровье → Уход за полостью рта → Насадки для электрических зубных щеток и ирригаторов</t>
        </is>
      </c>
      <c r="E771" s="3" t="n">
        <v>14362122</v>
      </c>
      <c r="F771" s="3" t="n">
        <v>1896</v>
      </c>
      <c r="G771" s="3">
        <f>IFERROR(E771/F771,0)</f>
        <v/>
      </c>
      <c r="H771" s="3" t="n">
        <v>188</v>
      </c>
      <c r="I771" s="2" t="n">
        <v>28</v>
      </c>
      <c r="J771" s="3">
        <f>IFERROR(E771/H771,0)</f>
        <v/>
      </c>
      <c r="K771" s="10">
        <f>E771/'По разделам'!$B$21</f>
        <v/>
      </c>
      <c r="L771" s="4">
        <f>L770+K771</f>
        <v/>
      </c>
      <c r="M771" s="2" t="inlineStr">
        <is>
          <t>04573</t>
        </is>
      </c>
      <c r="N771" s="2" t="inlineStr">
        <is>
          <t>https://app.redstat.kz/niche/04573?event_date=2026-08-01</t>
        </is>
      </c>
      <c r="O771" s="2" t="inlineStr">
        <is>
          <t>https://kaspi.kz/shop/c/replacement%20toothbrush%20heads/</t>
        </is>
      </c>
    </row>
    <row r="772">
      <c r="A772" s="2" t="n">
        <v>771</v>
      </c>
      <c r="B772" s="2" t="inlineStr">
        <is>
          <t>Гребные тренажеры</t>
        </is>
      </c>
      <c r="C772" s="2" t="inlineStr">
        <is>
          <t>Спорт, туризм</t>
        </is>
      </c>
      <c r="D772" s="2" t="inlineStr">
        <is>
          <t>Спорт, туризм → Тренажеры → Гребные тренажеры</t>
        </is>
      </c>
      <c r="E772" s="3" t="n">
        <v>14266572</v>
      </c>
      <c r="F772" s="3" t="n">
        <v>73</v>
      </c>
      <c r="G772" s="3">
        <f>IFERROR(E772/F772,0)</f>
        <v/>
      </c>
      <c r="H772" s="3" t="n">
        <v>17</v>
      </c>
      <c r="I772" s="2" t="n">
        <v>10</v>
      </c>
      <c r="J772" s="3">
        <f>IFERROR(E772/H772,0)</f>
        <v/>
      </c>
      <c r="K772" s="10">
        <f>E772/'По разделам'!$B$21</f>
        <v/>
      </c>
      <c r="L772" s="4">
        <f>L771+K772</f>
        <v/>
      </c>
      <c r="M772" s="2" t="inlineStr">
        <is>
          <t>00868</t>
        </is>
      </c>
      <c r="N772" s="2" t="inlineStr">
        <is>
          <t>https://app.redstat.kz/niche/00868?event_date=2026-08-01</t>
        </is>
      </c>
      <c r="O772" s="2" t="inlineStr">
        <is>
          <t>https://kaspi.kz/shop/c/rowing%20machines/</t>
        </is>
      </c>
    </row>
    <row r="773">
      <c r="A773" s="2" t="n">
        <v>772</v>
      </c>
      <c r="B773" s="2" t="inlineStr">
        <is>
          <t>Женские ботильоны</t>
        </is>
      </c>
      <c r="C773" s="2" t="inlineStr">
        <is>
          <t>Обувь</t>
        </is>
      </c>
      <c r="D773" s="2" t="inlineStr">
        <is>
          <t>Обувь → Женская обувь → Женские ботильоны</t>
        </is>
      </c>
      <c r="E773" s="3" t="n">
        <v>14161348</v>
      </c>
      <c r="F773" s="3" t="n">
        <v>434</v>
      </c>
      <c r="G773" s="3">
        <f>IFERROR(E773/F773,0)</f>
        <v/>
      </c>
      <c r="H773" s="3" t="n">
        <v>338</v>
      </c>
      <c r="I773" s="2" t="n">
        <v>102</v>
      </c>
      <c r="J773" s="3">
        <f>IFERROR(E773/H773,0)</f>
        <v/>
      </c>
      <c r="K773" s="10">
        <f>E773/'По разделам'!$B$21</f>
        <v/>
      </c>
      <c r="L773" s="4">
        <f>L772+K773</f>
        <v/>
      </c>
      <c r="M773" s="2" t="inlineStr">
        <is>
          <t>00810</t>
        </is>
      </c>
      <c r="N773" s="2" t="inlineStr">
        <is>
          <t>https://app.redstat.kz/niche/00810?event_date=2026-08-01</t>
        </is>
      </c>
      <c r="O773" s="2" t="inlineStr">
        <is>
          <t>https://kaspi.kz/shop/c/women%20ankle%20boots/</t>
        </is>
      </c>
    </row>
    <row r="774">
      <c r="A774" s="2" t="n">
        <v>773</v>
      </c>
      <c r="B774" s="2" t="inlineStr">
        <is>
          <t>Штукатурные и малярные инструменты</t>
        </is>
      </c>
      <c r="C774" s="2" t="inlineStr">
        <is>
          <t>Строительство, ремонт</t>
        </is>
      </c>
      <c r="D774" s="2" t="inlineStr">
        <is>
          <t>Строительство, ремонт → Ручные инструменты → Штукатурные и малярные инструменты → Штукатурные и малярные инструменты</t>
        </is>
      </c>
      <c r="E774" s="3" t="n">
        <v>14113550</v>
      </c>
      <c r="F774" s="3" t="n">
        <v>6846</v>
      </c>
      <c r="G774" s="3">
        <f>IFERROR(E774/F774,0)</f>
        <v/>
      </c>
      <c r="H774" s="3" t="n">
        <v>683</v>
      </c>
      <c r="I774" s="2" t="n">
        <v>98</v>
      </c>
      <c r="J774" s="3">
        <f>IFERROR(E774/H774,0)</f>
        <v/>
      </c>
      <c r="K774" s="10">
        <f>E774/'По разделам'!$B$21</f>
        <v/>
      </c>
      <c r="L774" s="4">
        <f>L773+K774</f>
        <v/>
      </c>
      <c r="M774" s="2" t="inlineStr">
        <is>
          <t>qbbee2cbc7b65909</t>
        </is>
      </c>
      <c r="N774" s="2" t="inlineStr">
        <is>
          <t>https://app.redstat.kz/niche/qbbee2cbc7b65909?event_date=2026-08-01</t>
        </is>
      </c>
      <c r="O774" s="2" t="inlineStr"/>
    </row>
    <row r="775">
      <c r="A775" s="2" t="n">
        <v>774</v>
      </c>
      <c r="B775" s="2" t="inlineStr">
        <is>
          <t>Спортивные маты</t>
        </is>
      </c>
      <c r="C775" s="2" t="inlineStr">
        <is>
          <t>Спорт, туризм</t>
        </is>
      </c>
      <c r="D775" s="2" t="inlineStr">
        <is>
          <t>Спорт, туризм → Товары для фитнеса → Спортивные маты</t>
        </is>
      </c>
      <c r="E775" s="3" t="n">
        <v>13980725</v>
      </c>
      <c r="F775" s="3" t="n">
        <v>508</v>
      </c>
      <c r="G775" s="3">
        <f>IFERROR(E775/F775,0)</f>
        <v/>
      </c>
      <c r="H775" s="3" t="n">
        <v>85</v>
      </c>
      <c r="I775" s="2" t="n">
        <v>24</v>
      </c>
      <c r="J775" s="3">
        <f>IFERROR(E775/H775,0)</f>
        <v/>
      </c>
      <c r="K775" s="10">
        <f>E775/'По разделам'!$B$21</f>
        <v/>
      </c>
      <c r="L775" s="4">
        <f>L774+K775</f>
        <v/>
      </c>
      <c r="M775" s="2" t="inlineStr">
        <is>
          <t>04984</t>
        </is>
      </c>
      <c r="N775" s="2" t="inlineStr">
        <is>
          <t>https://app.redstat.kz/niche/04984?event_date=2026-08-01</t>
        </is>
      </c>
      <c r="O775" s="2" t="inlineStr">
        <is>
          <t>https://kaspi.kz/shop/c/sports%20mats/</t>
        </is>
      </c>
    </row>
    <row r="776">
      <c r="A776" s="2" t="n">
        <v>775</v>
      </c>
      <c r="B776" s="2" t="inlineStr">
        <is>
          <t>Усилители сотового сигнала</t>
        </is>
      </c>
      <c r="C776" s="2" t="inlineStr">
        <is>
          <t>Компьютеры</t>
        </is>
      </c>
      <c r="D776" s="2" t="inlineStr">
        <is>
          <t>Компьютеры → Сетевое оборудование → Усилители сотового сигнала</t>
        </is>
      </c>
      <c r="E776" s="3" t="n">
        <v>13974049</v>
      </c>
      <c r="F776" s="3" t="n">
        <v>508</v>
      </c>
      <c r="G776" s="3">
        <f>IFERROR(E776/F776,0)</f>
        <v/>
      </c>
      <c r="H776" s="3" t="n">
        <v>65</v>
      </c>
      <c r="I776" s="2" t="n">
        <v>20</v>
      </c>
      <c r="J776" s="3">
        <f>IFERROR(E776/H776,0)</f>
        <v/>
      </c>
      <c r="K776" s="10">
        <f>E776/'По разделам'!$B$21</f>
        <v/>
      </c>
      <c r="L776" s="4">
        <f>L775+K776</f>
        <v/>
      </c>
      <c r="M776" s="2" t="inlineStr">
        <is>
          <t>03040</t>
        </is>
      </c>
      <c r="N776" s="2" t="inlineStr">
        <is>
          <t>https://app.redstat.kz/niche/03040?event_date=2026-08-01</t>
        </is>
      </c>
      <c r="O776" s="2" t="inlineStr">
        <is>
          <t>https://kaspi.kz/shop/c/cellular%20signal%20boosters/</t>
        </is>
      </c>
    </row>
    <row r="777">
      <c r="A777" s="2" t="n">
        <v>776</v>
      </c>
      <c r="B777" s="2" t="inlineStr">
        <is>
          <t>Вольеры и будки</t>
        </is>
      </c>
      <c r="C777" s="2" t="inlineStr">
        <is>
          <t>Товары для животных</t>
        </is>
      </c>
      <c r="D777" s="2" t="inlineStr">
        <is>
          <t>Товары для животных → Для собак → Вольеры и будки</t>
        </is>
      </c>
      <c r="E777" s="3" t="n">
        <v>13939426</v>
      </c>
      <c r="F777" s="3" t="n">
        <v>496</v>
      </c>
      <c r="G777" s="3">
        <f>IFERROR(E777/F777,0)</f>
        <v/>
      </c>
      <c r="H777" s="3" t="n">
        <v>100</v>
      </c>
      <c r="I777" s="2" t="n">
        <v>13</v>
      </c>
      <c r="J777" s="3">
        <f>IFERROR(E777/H777,0)</f>
        <v/>
      </c>
      <c r="K777" s="10">
        <f>E777/'По разделам'!$B$21</f>
        <v/>
      </c>
      <c r="L777" s="4">
        <f>L776+K777</f>
        <v/>
      </c>
      <c r="M777" s="2" t="inlineStr">
        <is>
          <t>03102</t>
        </is>
      </c>
      <c r="N777" s="2" t="inlineStr">
        <is>
          <t>https://app.redstat.kz/niche/03102?event_date=2026-08-01</t>
        </is>
      </c>
      <c r="O777" s="2" t="inlineStr">
        <is>
          <t>https://kaspi.kz/shop/c/pet%20playpens%20and%20houses/</t>
        </is>
      </c>
    </row>
    <row r="778">
      <c r="A778" s="2" t="n">
        <v>777</v>
      </c>
      <c r="B778" s="2" t="inlineStr">
        <is>
          <t>Детские каши</t>
        </is>
      </c>
      <c r="C778" s="2" t="inlineStr">
        <is>
          <t>Детские товары</t>
        </is>
      </c>
      <c r="D778" s="2" t="inlineStr">
        <is>
          <t>Детские товары → Детское питание → Детские каши</t>
        </is>
      </c>
      <c r="E778" s="3" t="n">
        <v>13931052</v>
      </c>
      <c r="F778" s="3" t="n">
        <v>4388</v>
      </c>
      <c r="G778" s="3">
        <f>IFERROR(E778/F778,0)</f>
        <v/>
      </c>
      <c r="H778" s="3" t="n">
        <v>274</v>
      </c>
      <c r="I778" s="2" t="n">
        <v>20</v>
      </c>
      <c r="J778" s="3">
        <f>IFERROR(E778/H778,0)</f>
        <v/>
      </c>
      <c r="K778" s="10">
        <f>E778/'По разделам'!$B$21</f>
        <v/>
      </c>
      <c r="L778" s="4">
        <f>L777+K778</f>
        <v/>
      </c>
      <c r="M778" s="2" t="inlineStr">
        <is>
          <t>00609</t>
        </is>
      </c>
      <c r="N778" s="2" t="inlineStr">
        <is>
          <t>https://app.redstat.kz/niche/00609?event_date=2026-08-01</t>
        </is>
      </c>
      <c r="O778" s="2" t="inlineStr">
        <is>
          <t>https://kaspi.kz/shop/c/baby%20cereals/</t>
        </is>
      </c>
    </row>
    <row r="779">
      <c r="A779" s="2" t="n">
        <v>778</v>
      </c>
      <c r="B779" s="2" t="inlineStr">
        <is>
          <t>Электронные переводчики</t>
        </is>
      </c>
      <c r="C779" s="2" t="inlineStr">
        <is>
          <t>Телефоны и гаджеты</t>
        </is>
      </c>
      <c r="D779" s="2" t="inlineStr">
        <is>
          <t>Телефоны и гаджеты → Гаджеты → Электронные переводчики</t>
        </is>
      </c>
      <c r="E779" s="3" t="n">
        <v>13904508</v>
      </c>
      <c r="F779" s="3" t="n">
        <v>281</v>
      </c>
      <c r="G779" s="3">
        <f>IFERROR(E779/F779,0)</f>
        <v/>
      </c>
      <c r="H779" s="3" t="n">
        <v>39</v>
      </c>
      <c r="I779" s="2" t="n">
        <v>6</v>
      </c>
      <c r="J779" s="3">
        <f>IFERROR(E779/H779,0)</f>
        <v/>
      </c>
      <c r="K779" s="10">
        <f>E779/'По разделам'!$B$21</f>
        <v/>
      </c>
      <c r="L779" s="4">
        <f>L778+K779</f>
        <v/>
      </c>
      <c r="M779" s="2" t="inlineStr">
        <is>
          <t>06227</t>
        </is>
      </c>
      <c r="N779" s="2" t="inlineStr">
        <is>
          <t>https://app.redstat.kz/niche/06227?event_date=2026-08-01</t>
        </is>
      </c>
      <c r="O779" s="2" t="inlineStr">
        <is>
          <t>https://kaspi.kz/shop/c/electronic%20translators/</t>
        </is>
      </c>
    </row>
    <row r="780">
      <c r="A780" s="2" t="n">
        <v>779</v>
      </c>
      <c r="B780" s="2" t="inlineStr">
        <is>
          <t>Москитные сетки</t>
        </is>
      </c>
      <c r="C780" s="2" t="inlineStr">
        <is>
          <t>Строительство, ремонт</t>
        </is>
      </c>
      <c r="D780" s="2" t="inlineStr">
        <is>
          <t>Строительство, ремонт → Двери, окна, лестницы → Москитные сетки</t>
        </is>
      </c>
      <c r="E780" s="3" t="n">
        <v>13889879</v>
      </c>
      <c r="F780" s="3" t="n">
        <v>3357</v>
      </c>
      <c r="G780" s="3">
        <f>IFERROR(E780/F780,0)</f>
        <v/>
      </c>
      <c r="H780" s="3" t="n">
        <v>207</v>
      </c>
      <c r="I780" s="2" t="n">
        <v>26</v>
      </c>
      <c r="J780" s="3">
        <f>IFERROR(E780/H780,0)</f>
        <v/>
      </c>
      <c r="K780" s="10">
        <f>E780/'По разделам'!$B$21</f>
        <v/>
      </c>
      <c r="L780" s="4">
        <f>L779+K780</f>
        <v/>
      </c>
      <c r="M780" s="2" t="inlineStr">
        <is>
          <t>05850</t>
        </is>
      </c>
      <c r="N780" s="2" t="inlineStr">
        <is>
          <t>https://app.redstat.kz/niche/05850?event_date=2026-08-01</t>
        </is>
      </c>
      <c r="O780" s="2" t="inlineStr">
        <is>
          <t>https://kaspi.kz/shop/c/mosquito%20nets/</t>
        </is>
      </c>
    </row>
    <row r="781">
      <c r="A781" s="2" t="n">
        <v>780</v>
      </c>
      <c r="B781" s="2" t="inlineStr">
        <is>
          <t>Системы охлаждения для смартфонов</t>
        </is>
      </c>
      <c r="C781" s="2" t="inlineStr">
        <is>
          <t>Телефоны и гаджеты</t>
        </is>
      </c>
      <c r="D781" s="2" t="inlineStr">
        <is>
          <t>Телефоны и гаджеты → Аксессуары для телефонов → Системы охлаждения для смартфонов</t>
        </is>
      </c>
      <c r="E781" s="3" t="n">
        <v>13841310</v>
      </c>
      <c r="F781" s="3" t="n">
        <v>2945</v>
      </c>
      <c r="G781" s="3">
        <f>IFERROR(E781/F781,0)</f>
        <v/>
      </c>
      <c r="H781" s="3" t="n">
        <v>123</v>
      </c>
      <c r="I781" s="2" t="n">
        <v>38</v>
      </c>
      <c r="J781" s="3">
        <f>IFERROR(E781/H781,0)</f>
        <v/>
      </c>
      <c r="K781" s="10">
        <f>E781/'По разделам'!$B$21</f>
        <v/>
      </c>
      <c r="L781" s="4">
        <f>L780+K781</f>
        <v/>
      </c>
      <c r="M781" s="2" t="inlineStr">
        <is>
          <t>05230</t>
        </is>
      </c>
      <c r="N781" s="2" t="inlineStr">
        <is>
          <t>https://app.redstat.kz/niche/05230?event_date=2026-08-01</t>
        </is>
      </c>
      <c r="O781" s="2" t="inlineStr">
        <is>
          <t>https://kaspi.kz/shop/c/cooling%20systems%20for%20smartphones/</t>
        </is>
      </c>
    </row>
    <row r="782">
      <c r="A782" s="2" t="n">
        <v>781</v>
      </c>
      <c r="B782" s="2" t="inlineStr">
        <is>
          <t>Отопление и кондиционирование</t>
        </is>
      </c>
      <c r="C782" s="2" t="inlineStr">
        <is>
          <t>Автотовары</t>
        </is>
      </c>
      <c r="D782" s="2" t="inlineStr">
        <is>
          <t>Автотовары → Автозапчасти → Отопление и кондиционирование → Отопление и кондиционирование</t>
        </is>
      </c>
      <c r="E782" s="3" t="n">
        <v>13839773</v>
      </c>
      <c r="F782" s="3" t="n">
        <v>186</v>
      </c>
      <c r="G782" s="3">
        <f>IFERROR(E782/F782,0)</f>
        <v/>
      </c>
      <c r="H782" s="3" t="n">
        <v>135</v>
      </c>
      <c r="I782" s="2" t="n">
        <v>48</v>
      </c>
      <c r="J782" s="3">
        <f>IFERROR(E782/H782,0)</f>
        <v/>
      </c>
      <c r="K782" s="10">
        <f>E782/'По разделам'!$B$21</f>
        <v/>
      </c>
      <c r="L782" s="4">
        <f>L781+K782</f>
        <v/>
      </c>
      <c r="M782" s="2" t="inlineStr">
        <is>
          <t>q65ce010311367b9</t>
        </is>
      </c>
      <c r="N782" s="2" t="inlineStr">
        <is>
          <t>https://app.redstat.kz/niche/q65ce010311367b9?event_date=2026-08-01</t>
        </is>
      </c>
      <c r="O782" s="2" t="inlineStr"/>
    </row>
    <row r="783">
      <c r="A783" s="2" t="n">
        <v>782</v>
      </c>
      <c r="B783" s="2" t="inlineStr">
        <is>
          <t>Стенды для тестирования и промывки форсунок</t>
        </is>
      </c>
      <c r="C783" s="2" t="inlineStr">
        <is>
          <t>Автотовары</t>
        </is>
      </c>
      <c r="D783" s="2" t="inlineStr">
        <is>
          <t>Автотовары → Автосервисное оборудование → Стенды для тестирования и промывки форсунок</t>
        </is>
      </c>
      <c r="E783" s="3" t="n">
        <v>13681856</v>
      </c>
      <c r="F783" s="3" t="n">
        <v>75</v>
      </c>
      <c r="G783" s="3">
        <f>IFERROR(E783/F783,0)</f>
        <v/>
      </c>
      <c r="H783" s="3" t="n">
        <v>25</v>
      </c>
      <c r="I783" s="2" t="n">
        <v>13</v>
      </c>
      <c r="J783" s="3">
        <f>IFERROR(E783/H783,0)</f>
        <v/>
      </c>
      <c r="K783" s="10">
        <f>E783/'По разделам'!$B$21</f>
        <v/>
      </c>
      <c r="L783" s="4">
        <f>L782+K783</f>
        <v/>
      </c>
      <c r="M783" s="2" t="inlineStr">
        <is>
          <t>03605</t>
        </is>
      </c>
      <c r="N783" s="2" t="inlineStr">
        <is>
          <t>https://app.redstat.kz/niche/03605?event_date=2026-08-01</t>
        </is>
      </c>
      <c r="O783" s="2" t="inlineStr">
        <is>
          <t>https://kaspi.kz/shop/c/stands%20for%20testing%20and%20flushing%20injectors/</t>
        </is>
      </c>
    </row>
    <row r="784">
      <c r="A784" s="2" t="n">
        <v>783</v>
      </c>
      <c r="B784" s="2" t="inlineStr">
        <is>
          <t>Шармы ювелирные</t>
        </is>
      </c>
      <c r="C784" s="2" t="inlineStr">
        <is>
          <t>Украшения</t>
        </is>
      </c>
      <c r="D784" s="2" t="inlineStr">
        <is>
          <t>Украшения → Подвески и шармы → Шармы ювелирные</t>
        </is>
      </c>
      <c r="E784" s="3" t="n">
        <v>13651921</v>
      </c>
      <c r="F784" s="3" t="n">
        <v>723</v>
      </c>
      <c r="G784" s="3">
        <f>IFERROR(E784/F784,0)</f>
        <v/>
      </c>
      <c r="H784" s="3" t="n">
        <v>322</v>
      </c>
      <c r="I784" s="2" t="n">
        <v>8</v>
      </c>
      <c r="J784" s="3">
        <f>IFERROR(E784/H784,0)</f>
        <v/>
      </c>
      <c r="K784" s="10">
        <f>E784/'По разделам'!$B$21</f>
        <v/>
      </c>
      <c r="L784" s="4">
        <f>L783+K784</f>
        <v/>
      </c>
      <c r="M784" s="2" t="inlineStr">
        <is>
          <t>00848</t>
        </is>
      </c>
      <c r="N784" s="2" t="inlineStr">
        <is>
          <t>https://app.redstat.kz/niche/00848?event_date=2026-08-01</t>
        </is>
      </c>
      <c r="O784" s="2" t="inlineStr">
        <is>
          <t>https://kaspi.kz/shop/c/charms/</t>
        </is>
      </c>
    </row>
    <row r="785">
      <c r="A785" s="2" t="n">
        <v>784</v>
      </c>
      <c r="B785" s="2" t="inlineStr">
        <is>
          <t>Автомобильные органайзеры и сумки</t>
        </is>
      </c>
      <c r="C785" s="2" t="inlineStr">
        <is>
          <t>Автотовары</t>
        </is>
      </c>
      <c r="D785" s="2" t="inlineStr">
        <is>
          <t>Автотовары → Автоаксессуары → Автомобильные органайзеры и сумки</t>
        </is>
      </c>
      <c r="E785" s="3" t="n">
        <v>13582937</v>
      </c>
      <c r="F785" s="3" t="n">
        <v>2329</v>
      </c>
      <c r="G785" s="3">
        <f>IFERROR(E785/F785,0)</f>
        <v/>
      </c>
      <c r="H785" s="3" t="n">
        <v>201</v>
      </c>
      <c r="I785" s="2" t="n">
        <v>79</v>
      </c>
      <c r="J785" s="3">
        <f>IFERROR(E785/H785,0)</f>
        <v/>
      </c>
      <c r="K785" s="10">
        <f>E785/'По разделам'!$B$21</f>
        <v/>
      </c>
      <c r="L785" s="4">
        <f>L784+K785</f>
        <v/>
      </c>
      <c r="M785" s="2" t="inlineStr">
        <is>
          <t>01102</t>
        </is>
      </c>
      <c r="N785" s="2" t="inlineStr">
        <is>
          <t>https://app.redstat.kz/niche/01102?event_date=2026-08-01</t>
        </is>
      </c>
      <c r="O785" s="2" t="inlineStr">
        <is>
          <t>https://kaspi.kz/shop/c/car%20organizers%20and%20bags/</t>
        </is>
      </c>
    </row>
    <row r="786">
      <c r="A786" s="2" t="n">
        <v>785</v>
      </c>
      <c r="B786" s="2" t="inlineStr">
        <is>
          <t>Ластики</t>
        </is>
      </c>
      <c r="C786" s="2" t="inlineStr">
        <is>
          <t>Канцелярские товары</t>
        </is>
      </c>
      <c r="D786" s="2" t="inlineStr">
        <is>
          <t>Канцелярские товары → Письменные принадлежности → Ластики</t>
        </is>
      </c>
      <c r="E786" s="3" t="n">
        <v>13577371</v>
      </c>
      <c r="F786" s="3" t="n">
        <v>51885</v>
      </c>
      <c r="G786" s="3">
        <f>IFERROR(E786/F786,0)</f>
        <v/>
      </c>
      <c r="H786" s="3" t="n">
        <v>718</v>
      </c>
      <c r="I786" s="2" t="n">
        <v>70</v>
      </c>
      <c r="J786" s="3">
        <f>IFERROR(E786/H786,0)</f>
        <v/>
      </c>
      <c r="K786" s="10">
        <f>E786/'По разделам'!$B$21</f>
        <v/>
      </c>
      <c r="L786" s="4">
        <f>L785+K786</f>
        <v/>
      </c>
      <c r="M786" s="2" t="inlineStr">
        <is>
          <t>04290</t>
        </is>
      </c>
      <c r="N786" s="2" t="inlineStr">
        <is>
          <t>https://app.redstat.kz/niche/04290?event_date=2026-08-01</t>
        </is>
      </c>
      <c r="O786" s="2" t="inlineStr">
        <is>
          <t>https://kaspi.kz/shop/c/pencil%20erasers/</t>
        </is>
      </c>
    </row>
    <row r="787">
      <c r="A787" s="2" t="n">
        <v>786</v>
      </c>
      <c r="B787" s="2" t="inlineStr">
        <is>
          <t>Спецэффекты и шоу-техника</t>
        </is>
      </c>
      <c r="C787" s="2" t="inlineStr">
        <is>
          <t>ТВ, Аудио, Видео</t>
        </is>
      </c>
      <c r="D787" s="2" t="inlineStr">
        <is>
          <t>ТВ, Аудио, Видео → Сценическое оборудование → Спецэффекты и шоу-техника → Спецэффекты и шоу-техника</t>
        </is>
      </c>
      <c r="E787" s="3" t="n">
        <v>13565541</v>
      </c>
      <c r="F787" s="3" t="n">
        <v>674</v>
      </c>
      <c r="G787" s="3">
        <f>IFERROR(E787/F787,0)</f>
        <v/>
      </c>
      <c r="H787" s="3" t="n">
        <v>75</v>
      </c>
      <c r="I787" s="2" t="n">
        <v>24</v>
      </c>
      <c r="J787" s="3">
        <f>IFERROR(E787/H787,0)</f>
        <v/>
      </c>
      <c r="K787" s="10">
        <f>E787/'По разделам'!$B$21</f>
        <v/>
      </c>
      <c r="L787" s="4">
        <f>L786+K787</f>
        <v/>
      </c>
      <c r="M787" s="2" t="inlineStr">
        <is>
          <t>qe75e590da58ad75</t>
        </is>
      </c>
      <c r="N787" s="2" t="inlineStr">
        <is>
          <t>https://app.redstat.kz/niche/qe75e590da58ad75?event_date=2026-08-01</t>
        </is>
      </c>
      <c r="O787" s="2" t="inlineStr"/>
    </row>
    <row r="788">
      <c r="A788" s="2" t="n">
        <v>787</v>
      </c>
      <c r="B788" s="2" t="inlineStr">
        <is>
          <t>Посуда и сувениры из драгоценных металлов</t>
        </is>
      </c>
      <c r="C788" s="2" t="inlineStr">
        <is>
          <t>Украшения</t>
        </is>
      </c>
      <c r="D788" s="2" t="inlineStr">
        <is>
          <t>Украшения → Посуда и сувениры из драгоценных металлов</t>
        </is>
      </c>
      <c r="E788" s="3" t="n">
        <v>13470516</v>
      </c>
      <c r="F788" s="3" t="n">
        <v>205</v>
      </c>
      <c r="G788" s="3">
        <f>IFERROR(E788/F788,0)</f>
        <v/>
      </c>
      <c r="H788" s="3" t="n">
        <v>112</v>
      </c>
      <c r="I788" s="2" t="n">
        <v>17</v>
      </c>
      <c r="J788" s="3">
        <f>IFERROR(E788/H788,0)</f>
        <v/>
      </c>
      <c r="K788" s="10">
        <f>E788/'По разделам'!$B$21</f>
        <v/>
      </c>
      <c r="L788" s="4">
        <f>L787+K788</f>
        <v/>
      </c>
      <c r="M788" s="2" t="inlineStr">
        <is>
          <t>02131</t>
        </is>
      </c>
      <c r="N788" s="2" t="inlineStr">
        <is>
          <t>https://app.redstat.kz/niche/02131?event_date=2026-08-01</t>
        </is>
      </c>
      <c r="O788" s="2" t="inlineStr">
        <is>
          <t>https://kaspi.kz/shop/c/precious%20metal%20souvenirs/</t>
        </is>
      </c>
    </row>
    <row r="789">
      <c r="A789" s="2" t="n">
        <v>788</v>
      </c>
      <c r="B789" s="2" t="inlineStr">
        <is>
          <t>Защита бамперов и порогов</t>
        </is>
      </c>
      <c r="C789" s="2" t="inlineStr">
        <is>
          <t>Автотовары</t>
        </is>
      </c>
      <c r="D789" s="2" t="inlineStr">
        <is>
          <t>Автотовары → Защита и внешний тюнинг → Защита бамперов и порогов</t>
        </is>
      </c>
      <c r="E789" s="3" t="n">
        <v>13369759</v>
      </c>
      <c r="F789" s="3" t="n">
        <v>298</v>
      </c>
      <c r="G789" s="3">
        <f>IFERROR(E789/F789,0)</f>
        <v/>
      </c>
      <c r="H789" s="3" t="n">
        <v>119</v>
      </c>
      <c r="I789" s="2" t="n">
        <v>30</v>
      </c>
      <c r="J789" s="3">
        <f>IFERROR(E789/H789,0)</f>
        <v/>
      </c>
      <c r="K789" s="10">
        <f>E789/'По разделам'!$B$21</f>
        <v/>
      </c>
      <c r="L789" s="4">
        <f>L788+K789</f>
        <v/>
      </c>
      <c r="M789" s="2" t="inlineStr">
        <is>
          <t>01607</t>
        </is>
      </c>
      <c r="N789" s="2" t="inlineStr">
        <is>
          <t>https://app.redstat.kz/niche/01607?event_date=2026-08-01</t>
        </is>
      </c>
      <c r="O789" s="2" t="inlineStr">
        <is>
          <t>https://kaspi.kz/shop/c/bumpers%20and%20sills%20protection/</t>
        </is>
      </c>
    </row>
    <row r="790">
      <c r="A790" s="2" t="n">
        <v>789</v>
      </c>
      <c r="B790" s="2" t="inlineStr">
        <is>
          <t>Паровые шкафы</t>
        </is>
      </c>
      <c r="C790" s="2" t="inlineStr">
        <is>
          <t>Бытовая техника</t>
        </is>
      </c>
      <c r="D790" s="2" t="inlineStr">
        <is>
          <t>Бытовая техника → Крупная техника для дома → Паровые шкафы</t>
        </is>
      </c>
      <c r="E790" s="3" t="n">
        <v>13364270</v>
      </c>
      <c r="F790" s="3" t="n">
        <v>31</v>
      </c>
      <c r="G790" s="3">
        <f>IFERROR(E790/F790,0)</f>
        <v/>
      </c>
      <c r="H790" s="3" t="n">
        <v>9</v>
      </c>
      <c r="I790" s="2" t="n">
        <v>4</v>
      </c>
      <c r="J790" s="3">
        <f>IFERROR(E790/H790,0)</f>
        <v/>
      </c>
      <c r="K790" s="10">
        <f>E790/'По разделам'!$B$21</f>
        <v/>
      </c>
      <c r="L790" s="4">
        <f>L789+K790</f>
        <v/>
      </c>
      <c r="M790" s="2" t="inlineStr">
        <is>
          <t>01745</t>
        </is>
      </c>
      <c r="N790" s="2" t="inlineStr">
        <is>
          <t>https://app.redstat.kz/niche/01745?event_date=2026-08-01</t>
        </is>
      </c>
      <c r="O790" s="2" t="inlineStr">
        <is>
          <t>https://kaspi.kz/shop/c/steam%20clothing%20care%20system/</t>
        </is>
      </c>
    </row>
    <row r="791">
      <c r="A791" s="2" t="n">
        <v>790</v>
      </c>
      <c r="B791" s="2" t="inlineStr">
        <is>
          <t>Столики для ноутбуков</t>
        </is>
      </c>
      <c r="C791" s="2" t="inlineStr">
        <is>
          <t>Мебель</t>
        </is>
      </c>
      <c r="D791" s="2" t="inlineStr">
        <is>
          <t>Мебель → Офис и кабинет → Столики для ноутбуков</t>
        </is>
      </c>
      <c r="E791" s="3" t="n">
        <v>13352793</v>
      </c>
      <c r="F791" s="3" t="n">
        <v>1880</v>
      </c>
      <c r="G791" s="3">
        <f>IFERROR(E791/F791,0)</f>
        <v/>
      </c>
      <c r="H791" s="3" t="n">
        <v>141</v>
      </c>
      <c r="I791" s="2" t="n">
        <v>43</v>
      </c>
      <c r="J791" s="3">
        <f>IFERROR(E791/H791,0)</f>
        <v/>
      </c>
      <c r="K791" s="10">
        <f>E791/'По разделам'!$B$21</f>
        <v/>
      </c>
      <c r="L791" s="4">
        <f>L790+K791</f>
        <v/>
      </c>
      <c r="M791" s="2" t="inlineStr">
        <is>
          <t>07149</t>
        </is>
      </c>
      <c r="N791" s="2" t="inlineStr">
        <is>
          <t>https://app.redstat.kz/niche/07149?event_date=2026-08-01</t>
        </is>
      </c>
      <c r="O791" s="2" t="inlineStr">
        <is>
          <t>https://kaspi.kz/shop/c/laptop%20tables/</t>
        </is>
      </c>
    </row>
    <row r="792">
      <c r="A792" s="2" t="n">
        <v>791</v>
      </c>
      <c r="B792" s="2" t="inlineStr">
        <is>
          <t>Обувь для спорта для мальчиков</t>
        </is>
      </c>
      <c r="C792" s="2" t="inlineStr">
        <is>
          <t>Обувь</t>
        </is>
      </c>
      <c r="D792" s="2" t="inlineStr">
        <is>
          <t>Обувь → Обувь для мальчиков → Обувь для спорта для мальчиков</t>
        </is>
      </c>
      <c r="E792" s="3" t="n">
        <v>13341460</v>
      </c>
      <c r="F792" s="3" t="n">
        <v>769</v>
      </c>
      <c r="G792" s="3">
        <f>IFERROR(E792/F792,0)</f>
        <v/>
      </c>
      <c r="H792" s="3" t="n">
        <v>532</v>
      </c>
      <c r="I792" s="2" t="n">
        <v>43</v>
      </c>
      <c r="J792" s="3">
        <f>IFERROR(E792/H792,0)</f>
        <v/>
      </c>
      <c r="K792" s="10">
        <f>E792/'По разделам'!$B$21</f>
        <v/>
      </c>
      <c r="L792" s="4">
        <f>L791+K792</f>
        <v/>
      </c>
      <c r="M792" s="2" t="inlineStr">
        <is>
          <t>05544</t>
        </is>
      </c>
      <c r="N792" s="2" t="inlineStr">
        <is>
          <t>https://app.redstat.kz/niche/05544?event_date=2026-08-01</t>
        </is>
      </c>
      <c r="O792" s="2" t="inlineStr">
        <is>
          <t>https://kaspi.kz/shop/c/boy%20athletic%20shoes/</t>
        </is>
      </c>
    </row>
    <row r="793">
      <c r="A793" s="2" t="n">
        <v>792</v>
      </c>
      <c r="B793" s="2" t="inlineStr">
        <is>
          <t>Ножницы парикмахерские</t>
        </is>
      </c>
      <c r="C793" s="2" t="inlineStr">
        <is>
          <t>Красота и здоровье</t>
        </is>
      </c>
      <c r="D793" s="2" t="inlineStr">
        <is>
          <t>Красота и здоровье → Инструменты для укладки, ухода и наращивания волос → Ножницы парикмахерские</t>
        </is>
      </c>
      <c r="E793" s="3" t="n">
        <v>13267131</v>
      </c>
      <c r="F793" s="3" t="n">
        <v>1453</v>
      </c>
      <c r="G793" s="3">
        <f>IFERROR(E793/F793,0)</f>
        <v/>
      </c>
      <c r="H793" s="3" t="n">
        <v>272</v>
      </c>
      <c r="I793" s="2" t="n">
        <v>46</v>
      </c>
      <c r="J793" s="3">
        <f>IFERROR(E793/H793,0)</f>
        <v/>
      </c>
      <c r="K793" s="10">
        <f>E793/'По разделам'!$B$21</f>
        <v/>
      </c>
      <c r="L793" s="4">
        <f>L792+K793</f>
        <v/>
      </c>
      <c r="M793" s="2" t="inlineStr">
        <is>
          <t>02801</t>
        </is>
      </c>
      <c r="N793" s="2" t="inlineStr">
        <is>
          <t>https://app.redstat.kz/niche/02801?event_date=2026-08-01</t>
        </is>
      </c>
      <c r="O793" s="2" t="inlineStr">
        <is>
          <t>https://kaspi.kz/shop/c/hair%20cutting%20shears/</t>
        </is>
      </c>
    </row>
    <row r="794">
      <c r="A794" s="2" t="n">
        <v>793</v>
      </c>
      <c r="B794" s="2" t="inlineStr">
        <is>
          <t>Пресс-клещи</t>
        </is>
      </c>
      <c r="C794" s="2" t="inlineStr">
        <is>
          <t>Строительство, ремонт</t>
        </is>
      </c>
      <c r="D794" s="2" t="inlineStr">
        <is>
          <t>Строительство, ремонт → Ручные инструменты → Пресс-клещи</t>
        </is>
      </c>
      <c r="E794" s="3" t="n">
        <v>13227736</v>
      </c>
      <c r="F794" s="3" t="n">
        <v>306</v>
      </c>
      <c r="G794" s="3">
        <f>IFERROR(E794/F794,0)</f>
        <v/>
      </c>
      <c r="H794" s="3" t="n">
        <v>78</v>
      </c>
      <c r="I794" s="2" t="n">
        <v>24</v>
      </c>
      <c r="J794" s="3">
        <f>IFERROR(E794/H794,0)</f>
        <v/>
      </c>
      <c r="K794" s="10">
        <f>E794/'По разделам'!$B$21</f>
        <v/>
      </c>
      <c r="L794" s="4">
        <f>L793+K794</f>
        <v/>
      </c>
      <c r="M794" s="2" t="inlineStr">
        <is>
          <t>07068</t>
        </is>
      </c>
      <c r="N794" s="2" t="inlineStr">
        <is>
          <t>https://app.redstat.kz/niche/07068?event_date=2026-08-01</t>
        </is>
      </c>
      <c r="O794" s="2" t="inlineStr">
        <is>
          <t>https://kaspi.kz/shop/c/press%20tongs/</t>
        </is>
      </c>
    </row>
    <row r="795">
      <c r="A795" s="2" t="n">
        <v>794</v>
      </c>
      <c r="B795" s="2" t="inlineStr">
        <is>
          <t>Шахматы</t>
        </is>
      </c>
      <c r="C795" s="2" t="inlineStr">
        <is>
          <t>Досуг, книги</t>
        </is>
      </c>
      <c r="D795" s="2" t="inlineStr">
        <is>
          <t>Досуг, книги → Игры для компаний → Шахматы → Шахматы</t>
        </is>
      </c>
      <c r="E795" s="3" t="n">
        <v>13217218</v>
      </c>
      <c r="F795" s="3" t="n">
        <v>1272</v>
      </c>
      <c r="G795" s="3">
        <f>IFERROR(E795/F795,0)</f>
        <v/>
      </c>
      <c r="H795" s="3" t="n">
        <v>233</v>
      </c>
      <c r="I795" s="2" t="n">
        <v>50</v>
      </c>
      <c r="J795" s="3">
        <f>IFERROR(E795/H795,0)</f>
        <v/>
      </c>
      <c r="K795" s="10">
        <f>E795/'По разделам'!$B$21</f>
        <v/>
      </c>
      <c r="L795" s="4">
        <f>L794+K795</f>
        <v/>
      </c>
      <c r="M795" s="2" t="inlineStr">
        <is>
          <t>qd30ebc54c977d1b</t>
        </is>
      </c>
      <c r="N795" s="2" t="inlineStr">
        <is>
          <t>https://app.redstat.kz/niche/qd30ebc54c977d1b?event_date=2026-08-01</t>
        </is>
      </c>
      <c r="O795" s="2" t="inlineStr"/>
    </row>
    <row r="796">
      <c r="A796" s="2" t="n">
        <v>795</v>
      </c>
      <c r="B796" s="2" t="inlineStr">
        <is>
          <t>Столярные инструменты</t>
        </is>
      </c>
      <c r="C796" s="2" t="inlineStr">
        <is>
          <t>Строительство, ремонт</t>
        </is>
      </c>
      <c r="D796" s="2" t="inlineStr">
        <is>
          <t>Строительство, ремонт → Ручные инструменты → Столярные инструменты → Столярные инструменты</t>
        </is>
      </c>
      <c r="E796" s="3" t="n">
        <v>13206274</v>
      </c>
      <c r="F796" s="3" t="n">
        <v>568</v>
      </c>
      <c r="G796" s="3">
        <f>IFERROR(E796/F796,0)</f>
        <v/>
      </c>
      <c r="H796" s="3" t="n">
        <v>141</v>
      </c>
      <c r="I796" s="2" t="n">
        <v>50</v>
      </c>
      <c r="J796" s="3">
        <f>IFERROR(E796/H796,0)</f>
        <v/>
      </c>
      <c r="K796" s="10">
        <f>E796/'По разделам'!$B$21</f>
        <v/>
      </c>
      <c r="L796" s="4">
        <f>L795+K796</f>
        <v/>
      </c>
      <c r="M796" s="2" t="inlineStr">
        <is>
          <t>q570950052f63467</t>
        </is>
      </c>
      <c r="N796" s="2" t="inlineStr">
        <is>
          <t>https://app.redstat.kz/niche/q570950052f63467?event_date=2026-08-01</t>
        </is>
      </c>
      <c r="O796" s="2" t="inlineStr"/>
    </row>
    <row r="797">
      <c r="A797" s="2" t="n">
        <v>796</v>
      </c>
      <c r="B797" s="2" t="inlineStr">
        <is>
          <t>Атомайзеры и флаконы</t>
        </is>
      </c>
      <c r="C797" s="2" t="inlineStr">
        <is>
          <t>Красота и здоровье</t>
        </is>
      </c>
      <c r="D797" s="2" t="inlineStr">
        <is>
          <t>Красота и здоровье → Аксессуары для красоты → Атомайзеры и флаконы</t>
        </is>
      </c>
      <c r="E797" s="3" t="n">
        <v>13176400</v>
      </c>
      <c r="F797" s="3" t="n">
        <v>10196</v>
      </c>
      <c r="G797" s="3">
        <f>IFERROR(E797/F797,0)</f>
        <v/>
      </c>
      <c r="H797" s="3" t="n">
        <v>512</v>
      </c>
      <c r="I797" s="2" t="n">
        <v>78</v>
      </c>
      <c r="J797" s="3">
        <f>IFERROR(E797/H797,0)</f>
        <v/>
      </c>
      <c r="K797" s="10">
        <f>E797/'По разделам'!$B$21</f>
        <v/>
      </c>
      <c r="L797" s="4">
        <f>L796+K797</f>
        <v/>
      </c>
      <c r="M797" s="2" t="inlineStr">
        <is>
          <t>06079</t>
        </is>
      </c>
      <c r="N797" s="2" t="inlineStr">
        <is>
          <t>https://app.redstat.kz/niche/06079?event_date=2026-08-01</t>
        </is>
      </c>
      <c r="O797" s="2" t="inlineStr">
        <is>
          <t>https://kaspi.kz/shop/c/atomizers/</t>
        </is>
      </c>
    </row>
    <row r="798">
      <c r="A798" s="2" t="n">
        <v>797</v>
      </c>
      <c r="B798" s="2" t="inlineStr">
        <is>
          <t>Тату-машинки и аксессуары</t>
        </is>
      </c>
      <c r="C798" s="2" t="inlineStr">
        <is>
          <t>Красота и здоровье</t>
        </is>
      </c>
      <c r="D798" s="2" t="inlineStr">
        <is>
          <t>Красота и здоровье → Товары для тату и перманентного макияжа → Тату-машинки и аксессуары</t>
        </is>
      </c>
      <c r="E798" s="3" t="n">
        <v>13142030</v>
      </c>
      <c r="F798" s="3" t="n">
        <v>218</v>
      </c>
      <c r="G798" s="3">
        <f>IFERROR(E798/F798,0)</f>
        <v/>
      </c>
      <c r="H798" s="3" t="n">
        <v>76</v>
      </c>
      <c r="I798" s="2" t="n">
        <v>22</v>
      </c>
      <c r="J798" s="3">
        <f>IFERROR(E798/H798,0)</f>
        <v/>
      </c>
      <c r="K798" s="10">
        <f>E798/'По разделам'!$B$21</f>
        <v/>
      </c>
      <c r="L798" s="4">
        <f>L797+K798</f>
        <v/>
      </c>
      <c r="M798" s="2" t="inlineStr">
        <is>
          <t>02632</t>
        </is>
      </c>
      <c r="N798" s="2" t="inlineStr">
        <is>
          <t>https://app.redstat.kz/niche/02632?event_date=2026-08-01</t>
        </is>
      </c>
      <c r="O798" s="2" t="inlineStr">
        <is>
          <t>https://kaspi.kz/shop/c/tattoo%20machines/</t>
        </is>
      </c>
    </row>
    <row r="799">
      <c r="A799" s="2" t="n">
        <v>798</v>
      </c>
      <c r="B799" s="2" t="inlineStr">
        <is>
          <t>Коллекционирование и моделирование</t>
        </is>
      </c>
      <c r="C799" s="2" t="inlineStr">
        <is>
          <t>Досуг, книги</t>
        </is>
      </c>
      <c r="D799" s="2" t="inlineStr">
        <is>
          <t>Досуг, книги → Хобби и творчество → Коллекционирование и моделирование → Коллекционирование и моделирование</t>
        </is>
      </c>
      <c r="E799" s="3" t="n">
        <v>13116690</v>
      </c>
      <c r="F799" s="3" t="n">
        <v>2055</v>
      </c>
      <c r="G799" s="3">
        <f>IFERROR(E799/F799,0)</f>
        <v/>
      </c>
      <c r="H799" s="3" t="n">
        <v>598</v>
      </c>
      <c r="I799" s="2" t="n">
        <v>65</v>
      </c>
      <c r="J799" s="3">
        <f>IFERROR(E799/H799,0)</f>
        <v/>
      </c>
      <c r="K799" s="10">
        <f>E799/'По разделам'!$B$21</f>
        <v/>
      </c>
      <c r="L799" s="4">
        <f>L798+K799</f>
        <v/>
      </c>
      <c r="M799" s="2" t="inlineStr">
        <is>
          <t>q38a2c6a63abcb02</t>
        </is>
      </c>
      <c r="N799" s="2" t="inlineStr">
        <is>
          <t>https://app.redstat.kz/niche/q38a2c6a63abcb02?event_date=2026-08-01</t>
        </is>
      </c>
      <c r="O799" s="2" t="inlineStr"/>
    </row>
    <row r="800">
      <c r="A800" s="2" t="n">
        <v>799</v>
      </c>
      <c r="B800" s="2" t="inlineStr">
        <is>
          <t>Штампы и печати</t>
        </is>
      </c>
      <c r="C800" s="2" t="inlineStr">
        <is>
          <t>Канцелярские товары</t>
        </is>
      </c>
      <c r="D800" s="2" t="inlineStr">
        <is>
          <t>Канцелярские товары → Штемпельные принадлежности → Штампы и печати</t>
        </is>
      </c>
      <c r="E800" s="3" t="n">
        <v>13113292</v>
      </c>
      <c r="F800" s="3" t="n">
        <v>2947</v>
      </c>
      <c r="G800" s="3">
        <f>IFERROR(E800/F800,0)</f>
        <v/>
      </c>
      <c r="H800" s="3" t="n">
        <v>185</v>
      </c>
      <c r="I800" s="2" t="n">
        <v>19</v>
      </c>
      <c r="J800" s="3">
        <f>IFERROR(E800/H800,0)</f>
        <v/>
      </c>
      <c r="K800" s="10">
        <f>E800/'По разделам'!$B$21</f>
        <v/>
      </c>
      <c r="L800" s="4">
        <f>L799+K800</f>
        <v/>
      </c>
      <c r="M800" s="2" t="inlineStr">
        <is>
          <t>04285</t>
        </is>
      </c>
      <c r="N800" s="2" t="inlineStr">
        <is>
          <t>https://app.redstat.kz/niche/04285?event_date=2026-08-01</t>
        </is>
      </c>
      <c r="O800" s="2" t="inlineStr">
        <is>
          <t>https://kaspi.kz/shop/c/rubber%20stamps%20and%20company%20seals/</t>
        </is>
      </c>
    </row>
    <row r="801">
      <c r="A801" s="2" t="n">
        <v>800</v>
      </c>
      <c r="B801" s="2" t="inlineStr">
        <is>
          <t>Чехлы для чемоданов</t>
        </is>
      </c>
      <c r="C801" s="2" t="inlineStr">
        <is>
          <t>Аксессуары</t>
        </is>
      </c>
      <c r="D801" s="2" t="inlineStr">
        <is>
          <t>Аксессуары → Сумки, чемоданы, кошельки → Чехлы для чемоданов</t>
        </is>
      </c>
      <c r="E801" s="3" t="n">
        <v>13107225</v>
      </c>
      <c r="F801" s="3" t="n">
        <v>4166</v>
      </c>
      <c r="G801" s="3">
        <f>IFERROR(E801/F801,0)</f>
        <v/>
      </c>
      <c r="H801" s="3" t="n">
        <v>297</v>
      </c>
      <c r="I801" s="2" t="n">
        <v>31</v>
      </c>
      <c r="J801" s="3">
        <f>IFERROR(E801/H801,0)</f>
        <v/>
      </c>
      <c r="K801" s="10">
        <f>E801/'По разделам'!$B$21</f>
        <v/>
      </c>
      <c r="L801" s="4">
        <f>L800+K801</f>
        <v/>
      </c>
      <c r="M801" s="2" t="inlineStr">
        <is>
          <t>02049</t>
        </is>
      </c>
      <c r="N801" s="2" t="inlineStr">
        <is>
          <t>https://app.redstat.kz/niche/02049?event_date=2026-08-01</t>
        </is>
      </c>
      <c r="O801" s="2" t="inlineStr">
        <is>
          <t>https://kaspi.kz/shop/c/suitcase%20covers/</t>
        </is>
      </c>
    </row>
    <row r="802">
      <c r="A802" s="2" t="n">
        <v>801</v>
      </c>
      <c r="B802" s="2" t="inlineStr">
        <is>
          <t>Корректирующие средства для текста</t>
        </is>
      </c>
      <c r="C802" s="2" t="inlineStr">
        <is>
          <t>Канцелярские товары</t>
        </is>
      </c>
      <c r="D802" s="2" t="inlineStr">
        <is>
          <t>Канцелярские товары → Письменные принадлежности → Корректирующие средства для текста</t>
        </is>
      </c>
      <c r="E802" s="3" t="n">
        <v>13087574</v>
      </c>
      <c r="F802" s="3" t="n">
        <v>33268</v>
      </c>
      <c r="G802" s="3">
        <f>IFERROR(E802/F802,0)</f>
        <v/>
      </c>
      <c r="H802" s="3" t="n">
        <v>271</v>
      </c>
      <c r="I802" s="2" t="n">
        <v>38</v>
      </c>
      <c r="J802" s="3">
        <f>IFERROR(E802/H802,0)</f>
        <v/>
      </c>
      <c r="K802" s="10">
        <f>E802/'По разделам'!$B$21</f>
        <v/>
      </c>
      <c r="L802" s="4">
        <f>L801+K802</f>
        <v/>
      </c>
      <c r="M802" s="2" t="inlineStr">
        <is>
          <t>04289</t>
        </is>
      </c>
      <c r="N802" s="2" t="inlineStr">
        <is>
          <t>https://app.redstat.kz/niche/04289?event_date=2026-08-01</t>
        </is>
      </c>
      <c r="O802" s="2" t="inlineStr">
        <is>
          <t>https://kaspi.kz/shop/c/correction%20materials/</t>
        </is>
      </c>
    </row>
    <row r="803">
      <c r="A803" s="2" t="n">
        <v>802</v>
      </c>
      <c r="B803" s="2" t="inlineStr">
        <is>
          <t>Аксессуары и запчасти для самокатов</t>
        </is>
      </c>
      <c r="C803" s="2" t="inlineStr">
        <is>
          <t>Спорт, туризм</t>
        </is>
      </c>
      <c r="D803" s="2" t="inlineStr">
        <is>
          <t>Спорт, туризм → Самокаты, гироскутеры, моноколеса → Аксессуары и запчасти для самокатов</t>
        </is>
      </c>
      <c r="E803" s="3" t="n">
        <v>13013125</v>
      </c>
      <c r="F803" s="3" t="n">
        <v>2170</v>
      </c>
      <c r="G803" s="3">
        <f>IFERROR(E803/F803,0)</f>
        <v/>
      </c>
      <c r="H803" s="3" t="n">
        <v>363</v>
      </c>
      <c r="I803" s="2" t="n">
        <v>50</v>
      </c>
      <c r="J803" s="3">
        <f>IFERROR(E803/H803,0)</f>
        <v/>
      </c>
      <c r="K803" s="10">
        <f>E803/'По разделам'!$B$21</f>
        <v/>
      </c>
      <c r="L803" s="4">
        <f>L802+K803</f>
        <v/>
      </c>
      <c r="M803" s="2" t="inlineStr">
        <is>
          <t>04122</t>
        </is>
      </c>
      <c r="N803" s="2" t="inlineStr">
        <is>
          <t>https://app.redstat.kz/niche/04122?event_date=2026-08-01</t>
        </is>
      </c>
      <c r="O803" s="2" t="inlineStr">
        <is>
          <t>https://kaspi.kz/shop/c/accessories%20and%20spare%20parts%20for%20scooters/</t>
        </is>
      </c>
    </row>
    <row r="804">
      <c r="A804" s="2" t="n">
        <v>803</v>
      </c>
      <c r="B804" s="2" t="inlineStr">
        <is>
          <t>Аксессуары для экшн камер</t>
        </is>
      </c>
      <c r="C804" s="2" t="inlineStr">
        <is>
          <t>ТВ, Аудио, Видео</t>
        </is>
      </c>
      <c r="D804" s="2" t="inlineStr">
        <is>
          <t>ТВ, Аудио, Видео → Фото- и видеокамеры → Аксессуары для экшн камер</t>
        </is>
      </c>
      <c r="E804" s="3" t="n">
        <v>12948703</v>
      </c>
      <c r="F804" s="3" t="n">
        <v>1529</v>
      </c>
      <c r="G804" s="3">
        <f>IFERROR(E804/F804,0)</f>
        <v/>
      </c>
      <c r="H804" s="3" t="n">
        <v>313</v>
      </c>
      <c r="I804" s="2" t="n">
        <v>36</v>
      </c>
      <c r="J804" s="3">
        <f>IFERROR(E804/H804,0)</f>
        <v/>
      </c>
      <c r="K804" s="10">
        <f>E804/'По разделам'!$B$21</f>
        <v/>
      </c>
      <c r="L804" s="4">
        <f>L803+K804</f>
        <v/>
      </c>
      <c r="M804" s="2" t="inlineStr">
        <is>
          <t>01598</t>
        </is>
      </c>
      <c r="N804" s="2" t="inlineStr">
        <is>
          <t>https://app.redstat.kz/niche/01598?event_date=2026-08-01</t>
        </is>
      </c>
      <c r="O804" s="2" t="inlineStr">
        <is>
          <t>https://kaspi.kz/shop/c/action%20camera%20accessories/</t>
        </is>
      </c>
    </row>
    <row r="805">
      <c r="A805" s="2" t="n">
        <v>804</v>
      </c>
      <c r="B805" s="2" t="inlineStr">
        <is>
          <t>Подставки для книг</t>
        </is>
      </c>
      <c r="C805" s="2" t="inlineStr">
        <is>
          <t>Канцелярские товары</t>
        </is>
      </c>
      <c r="D805" s="2" t="inlineStr">
        <is>
          <t>Канцелярские товары → Офисные принадлежности → Подставки для книг</t>
        </is>
      </c>
      <c r="E805" s="3" t="n">
        <v>12937950</v>
      </c>
      <c r="F805" s="3" t="n">
        <v>6962</v>
      </c>
      <c r="G805" s="3">
        <f>IFERROR(E805/F805,0)</f>
        <v/>
      </c>
      <c r="H805" s="3" t="n">
        <v>399</v>
      </c>
      <c r="I805" s="2" t="n">
        <v>49</v>
      </c>
      <c r="J805" s="3">
        <f>IFERROR(E805/H805,0)</f>
        <v/>
      </c>
      <c r="K805" s="10">
        <f>E805/'По разделам'!$B$21</f>
        <v/>
      </c>
      <c r="L805" s="4">
        <f>L804+K805</f>
        <v/>
      </c>
      <c r="M805" s="2" t="inlineStr">
        <is>
          <t>04278</t>
        </is>
      </c>
      <c r="N805" s="2" t="inlineStr">
        <is>
          <t>https://app.redstat.kz/niche/04278?event_date=2026-08-01</t>
        </is>
      </c>
      <c r="O805" s="2" t="inlineStr">
        <is>
          <t>https://kaspi.kz/shop/c/book%20stands/</t>
        </is>
      </c>
    </row>
    <row r="806">
      <c r="A806" s="2" t="n">
        <v>805</v>
      </c>
      <c r="B806" s="2" t="inlineStr">
        <is>
          <t>Охранно-пожарная сигнализация</t>
        </is>
      </c>
      <c r="C806" s="2" t="inlineStr">
        <is>
          <t>Строительство, ремонт</t>
        </is>
      </c>
      <c r="D806" s="2" t="inlineStr">
        <is>
          <t>Строительство, ремонт → Системы безопасности → Охранно-пожарная сигнализация → Охранно-пожарная сигнализация</t>
        </is>
      </c>
      <c r="E806" s="3" t="n">
        <v>12935763</v>
      </c>
      <c r="F806" s="3" t="n">
        <v>673</v>
      </c>
      <c r="G806" s="3">
        <f>IFERROR(E806/F806,0)</f>
        <v/>
      </c>
      <c r="H806" s="3" t="n">
        <v>131</v>
      </c>
      <c r="I806" s="2" t="n">
        <v>48</v>
      </c>
      <c r="J806" s="3">
        <f>IFERROR(E806/H806,0)</f>
        <v/>
      </c>
      <c r="K806" s="10">
        <f>E806/'По разделам'!$B$21</f>
        <v/>
      </c>
      <c r="L806" s="4">
        <f>L805+K806</f>
        <v/>
      </c>
      <c r="M806" s="2" t="inlineStr">
        <is>
          <t>q3d7d569ed60ed36</t>
        </is>
      </c>
      <c r="N806" s="2" t="inlineStr">
        <is>
          <t>https://app.redstat.kz/niche/q3d7d569ed60ed36?event_date=2026-08-01</t>
        </is>
      </c>
      <c r="O806" s="2" t="inlineStr"/>
    </row>
    <row r="807">
      <c r="A807" s="2" t="n">
        <v>806</v>
      </c>
      <c r="B807" s="2" t="inlineStr">
        <is>
          <t>Верхняя одежда для малышей</t>
        </is>
      </c>
      <c r="C807" s="2" t="inlineStr">
        <is>
          <t>Одежда</t>
        </is>
      </c>
      <c r="D807" s="2" t="inlineStr">
        <is>
          <t>Одежда → Одежда для малышей → Верхняя одежда для малышей</t>
        </is>
      </c>
      <c r="E807" s="3" t="n">
        <v>12881576</v>
      </c>
      <c r="F807" s="3" t="n">
        <v>885</v>
      </c>
      <c r="G807" s="3">
        <f>IFERROR(E807/F807,0)</f>
        <v/>
      </c>
      <c r="H807" s="3" t="n">
        <v>450</v>
      </c>
      <c r="I807" s="2" t="n">
        <v>65</v>
      </c>
      <c r="J807" s="3">
        <f>IFERROR(E807/H807,0)</f>
        <v/>
      </c>
      <c r="K807" s="10">
        <f>E807/'По разделам'!$B$21</f>
        <v/>
      </c>
      <c r="L807" s="4">
        <f>L806+K807</f>
        <v/>
      </c>
      <c r="M807" s="2" t="inlineStr">
        <is>
          <t>02648</t>
        </is>
      </c>
      <c r="N807" s="2" t="inlineStr">
        <is>
          <t>https://app.redstat.kz/niche/02648?event_date=2026-08-01</t>
        </is>
      </c>
      <c r="O807" s="2" t="inlineStr">
        <is>
          <t>https://kaspi.kz/shop/c/baby%20jackets/</t>
        </is>
      </c>
    </row>
    <row r="808">
      <c r="A808" s="2" t="n">
        <v>807</v>
      </c>
      <c r="B808" s="2" t="inlineStr">
        <is>
          <t>Дизайн ногтей</t>
        </is>
      </c>
      <c r="C808" s="2" t="inlineStr">
        <is>
          <t>Красота и здоровье</t>
        </is>
      </c>
      <c r="D808" s="2" t="inlineStr">
        <is>
          <t>Красота и здоровье → Для маникюра и педикюра → Дизайн ногтей → Дизайн ногтей</t>
        </is>
      </c>
      <c r="E808" s="3" t="n">
        <v>12873239</v>
      </c>
      <c r="F808" s="3" t="n">
        <v>16230</v>
      </c>
      <c r="G808" s="3">
        <f>IFERROR(E808/F808,0)</f>
        <v/>
      </c>
      <c r="H808" s="3" t="n">
        <v>566</v>
      </c>
      <c r="I808" s="2" t="n">
        <v>84</v>
      </c>
      <c r="J808" s="3">
        <f>IFERROR(E808/H808,0)</f>
        <v/>
      </c>
      <c r="K808" s="10">
        <f>E808/'По разделам'!$B$21</f>
        <v/>
      </c>
      <c r="L808" s="4">
        <f>L807+K808</f>
        <v/>
      </c>
      <c r="M808" s="2" t="inlineStr">
        <is>
          <t>q64d654e844b399d</t>
        </is>
      </c>
      <c r="N808" s="2" t="inlineStr">
        <is>
          <t>https://app.redstat.kz/niche/q64d654e844b399d?event_date=2026-08-01</t>
        </is>
      </c>
      <c r="O808" s="2" t="inlineStr"/>
    </row>
    <row r="809">
      <c r="A809" s="2" t="n">
        <v>808</v>
      </c>
      <c r="B809" s="2" t="inlineStr">
        <is>
          <t>Оборудование для аквариумов и террариумов</t>
        </is>
      </c>
      <c r="C809" s="2" t="inlineStr">
        <is>
          <t>Товары для животных</t>
        </is>
      </c>
      <c r="D809" s="2" t="inlineStr">
        <is>
          <t>Товары для животных → Для рыб и рептилий → Оборудование для аквариумов и террариумов → Оборудование для аквариумов и террариумов</t>
        </is>
      </c>
      <c r="E809" s="3" t="n">
        <v>12802956</v>
      </c>
      <c r="F809" s="3" t="n">
        <v>1555</v>
      </c>
      <c r="G809" s="3">
        <f>IFERROR(E809/F809,0)</f>
        <v/>
      </c>
      <c r="H809" s="3" t="n">
        <v>496</v>
      </c>
      <c r="I809" s="2" t="n">
        <v>74</v>
      </c>
      <c r="J809" s="3">
        <f>IFERROR(E809/H809,0)</f>
        <v/>
      </c>
      <c r="K809" s="10">
        <f>E809/'По разделам'!$B$21</f>
        <v/>
      </c>
      <c r="L809" s="4">
        <f>L808+K809</f>
        <v/>
      </c>
      <c r="M809" s="2" t="inlineStr">
        <is>
          <t>q8ac4fec6bf73e58</t>
        </is>
      </c>
      <c r="N809" s="2" t="inlineStr">
        <is>
          <t>https://app.redstat.kz/niche/q8ac4fec6bf73e58?event_date=2026-08-01</t>
        </is>
      </c>
      <c r="O809" s="2" t="inlineStr"/>
    </row>
    <row r="810">
      <c r="A810" s="2" t="n">
        <v>809</v>
      </c>
      <c r="B810" s="2" t="inlineStr">
        <is>
          <t>Освежители и нейтрализаторы запахов</t>
        </is>
      </c>
      <c r="C810" s="2" t="inlineStr">
        <is>
          <t>Товары для дома и дачи</t>
        </is>
      </c>
      <c r="D810" s="2" t="inlineStr">
        <is>
          <t>Товары для дома и дачи → Бытовая химия → Освежители и нейтрализаторы запахов → Освежители и нейтрализаторы запахов</t>
        </is>
      </c>
      <c r="E810" s="3" t="n">
        <v>12688133</v>
      </c>
      <c r="F810" s="3" t="n">
        <v>6041</v>
      </c>
      <c r="G810" s="3">
        <f>IFERROR(E810/F810,0)</f>
        <v/>
      </c>
      <c r="H810" s="3" t="n">
        <v>640</v>
      </c>
      <c r="I810" s="2" t="n">
        <v>125</v>
      </c>
      <c r="J810" s="3">
        <f>IFERROR(E810/H810,0)</f>
        <v/>
      </c>
      <c r="K810" s="10">
        <f>E810/'По разделам'!$B$21</f>
        <v/>
      </c>
      <c r="L810" s="4">
        <f>L809+K810</f>
        <v/>
      </c>
      <c r="M810" s="2" t="inlineStr">
        <is>
          <t>q86be7589adc37a6</t>
        </is>
      </c>
      <c r="N810" s="2" t="inlineStr">
        <is>
          <t>https://app.redstat.kz/niche/q86be7589adc37a6?event_date=2026-08-01</t>
        </is>
      </c>
      <c r="O810" s="2" t="inlineStr"/>
    </row>
    <row r="811">
      <c r="A811" s="2" t="n">
        <v>810</v>
      </c>
      <c r="B811" s="2" t="inlineStr">
        <is>
          <t>Канцелярские ножницы</t>
        </is>
      </c>
      <c r="C811" s="2" t="inlineStr">
        <is>
          <t>Канцелярские товары</t>
        </is>
      </c>
      <c r="D811" s="2" t="inlineStr">
        <is>
          <t>Канцелярские товары → Офисные принадлежности → Канцелярские ножницы</t>
        </is>
      </c>
      <c r="E811" s="3" t="n">
        <v>12600835</v>
      </c>
      <c r="F811" s="3" t="n">
        <v>25275</v>
      </c>
      <c r="G811" s="3">
        <f>IFERROR(E811/F811,0)</f>
        <v/>
      </c>
      <c r="H811" s="3" t="n">
        <v>507</v>
      </c>
      <c r="I811" s="2" t="n">
        <v>73</v>
      </c>
      <c r="J811" s="3">
        <f>IFERROR(E811/H811,0)</f>
        <v/>
      </c>
      <c r="K811" s="10">
        <f>E811/'По разделам'!$B$21</f>
        <v/>
      </c>
      <c r="L811" s="4">
        <f>L810+K811</f>
        <v/>
      </c>
      <c r="M811" s="2" t="inlineStr">
        <is>
          <t>04263</t>
        </is>
      </c>
      <c r="N811" s="2" t="inlineStr">
        <is>
          <t>https://app.redstat.kz/niche/04263?event_date=2026-08-01</t>
        </is>
      </c>
      <c r="O811" s="2" t="inlineStr">
        <is>
          <t>https://kaspi.kz/shop/c/office%20scissors/</t>
        </is>
      </c>
    </row>
    <row r="812">
      <c r="A812" s="2" t="n">
        <v>811</v>
      </c>
      <c r="B812" s="2" t="inlineStr">
        <is>
          <t>Цветная бумага и фольга</t>
        </is>
      </c>
      <c r="C812" s="2" t="inlineStr">
        <is>
          <t>Канцелярские товары</t>
        </is>
      </c>
      <c r="D812" s="2" t="inlineStr">
        <is>
          <t>Канцелярские товары → Школьные принадлежности → Цветная бумага и фольга</t>
        </is>
      </c>
      <c r="E812" s="3" t="n">
        <v>12498329</v>
      </c>
      <c r="F812" s="3" t="n">
        <v>22455</v>
      </c>
      <c r="G812" s="3">
        <f>IFERROR(E812/F812,0)</f>
        <v/>
      </c>
      <c r="H812" s="3" t="n">
        <v>362</v>
      </c>
      <c r="I812" s="2" t="n">
        <v>51</v>
      </c>
      <c r="J812" s="3">
        <f>IFERROR(E812/H812,0)</f>
        <v/>
      </c>
      <c r="K812" s="10">
        <f>E812/'По разделам'!$B$21</f>
        <v/>
      </c>
      <c r="L812" s="4">
        <f>L811+K812</f>
        <v/>
      </c>
      <c r="M812" s="2" t="inlineStr">
        <is>
          <t>04237</t>
        </is>
      </c>
      <c r="N812" s="2" t="inlineStr">
        <is>
          <t>https://app.redstat.kz/niche/04237?event_date=2026-08-01</t>
        </is>
      </c>
      <c r="O812" s="2" t="inlineStr">
        <is>
          <t>https://kaspi.kz/shop/c/colored%20and%20foil%20paper/</t>
        </is>
      </c>
    </row>
    <row r="813">
      <c r="A813" s="2" t="n">
        <v>812</v>
      </c>
      <c r="B813" s="2" t="inlineStr">
        <is>
          <t>Аксессуары для наушников</t>
        </is>
      </c>
      <c r="C813" s="2" t="inlineStr">
        <is>
          <t>ТВ, Аудио, Видео</t>
        </is>
      </c>
      <c r="D813" s="2" t="inlineStr">
        <is>
          <t>ТВ, Аудио, Видео → Аудиотехника → Аксессуары для наушников → Аксессуары для наушников</t>
        </is>
      </c>
      <c r="E813" s="3" t="n">
        <v>12420265</v>
      </c>
      <c r="F813" s="3" t="n">
        <v>7983</v>
      </c>
      <c r="G813" s="3">
        <f>IFERROR(E813/F813,0)</f>
        <v/>
      </c>
      <c r="H813" s="3" t="n">
        <v>918</v>
      </c>
      <c r="I813" s="2" t="n">
        <v>83</v>
      </c>
      <c r="J813" s="3">
        <f>IFERROR(E813/H813,0)</f>
        <v/>
      </c>
      <c r="K813" s="10">
        <f>E813/'По разделам'!$B$21</f>
        <v/>
      </c>
      <c r="L813" s="4">
        <f>L812+K813</f>
        <v/>
      </c>
      <c r="M813" s="2" t="inlineStr">
        <is>
          <t>qb4ebd923a1cc8a9</t>
        </is>
      </c>
      <c r="N813" s="2" t="inlineStr">
        <is>
          <t>https://app.redstat.kz/niche/qb4ebd923a1cc8a9?event_date=2026-08-01</t>
        </is>
      </c>
      <c r="O813" s="2" t="inlineStr"/>
    </row>
    <row r="814">
      <c r="A814" s="2" t="n">
        <v>813</v>
      </c>
      <c r="B814" s="2" t="inlineStr">
        <is>
          <t>Режущие плоттеры</t>
        </is>
      </c>
      <c r="C814" s="2" t="inlineStr">
        <is>
          <t>Компьютеры</t>
        </is>
      </c>
      <c r="D814" s="2" t="inlineStr">
        <is>
          <t>Компьютеры → Оргтехника и расходные материалы → Режущие плоттеры</t>
        </is>
      </c>
      <c r="E814" s="3" t="n">
        <v>12358025</v>
      </c>
      <c r="F814" s="3" t="n">
        <v>54</v>
      </c>
      <c r="G814" s="3">
        <f>IFERROR(E814/F814,0)</f>
        <v/>
      </c>
      <c r="H814" s="3" t="n">
        <v>21</v>
      </c>
      <c r="I814" s="2" t="n">
        <v>6</v>
      </c>
      <c r="J814" s="3">
        <f>IFERROR(E814/H814,0)</f>
        <v/>
      </c>
      <c r="K814" s="10">
        <f>E814/'По разделам'!$B$21</f>
        <v/>
      </c>
      <c r="L814" s="4">
        <f>L813+K814</f>
        <v/>
      </c>
      <c r="M814" s="2" t="inlineStr">
        <is>
          <t>03717</t>
        </is>
      </c>
      <c r="N814" s="2" t="inlineStr">
        <is>
          <t>https://app.redstat.kz/niche/03717?event_date=2026-08-01</t>
        </is>
      </c>
      <c r="O814" s="2" t="inlineStr">
        <is>
          <t>https://kaspi.kz/shop/c/cutting%20plotters/</t>
        </is>
      </c>
    </row>
    <row r="815">
      <c r="A815" s="2" t="n">
        <v>814</v>
      </c>
      <c r="B815" s="2" t="inlineStr">
        <is>
          <t>Маски для тела</t>
        </is>
      </c>
      <c r="C815" s="2" t="inlineStr">
        <is>
          <t>Красота и здоровье</t>
        </is>
      </c>
      <c r="D815" s="2" t="inlineStr">
        <is>
          <t>Красота и здоровье → Уход за телом → Маски для тела</t>
        </is>
      </c>
      <c r="E815" s="3" t="n">
        <v>12302888</v>
      </c>
      <c r="F815" s="3" t="n">
        <v>5439</v>
      </c>
      <c r="G815" s="3">
        <f>IFERROR(E815/F815,0)</f>
        <v/>
      </c>
      <c r="H815" s="3" t="n">
        <v>88</v>
      </c>
      <c r="I815" s="2" t="n">
        <v>41</v>
      </c>
      <c r="J815" s="3">
        <f>IFERROR(E815/H815,0)</f>
        <v/>
      </c>
      <c r="K815" s="10">
        <f>E815/'По разделам'!$B$21</f>
        <v/>
      </c>
      <c r="L815" s="4">
        <f>L814+K815</f>
        <v/>
      </c>
      <c r="M815" s="2" t="inlineStr">
        <is>
          <t>09016</t>
        </is>
      </c>
      <c r="N815" s="2" t="inlineStr">
        <is>
          <t>https://app.redstat.kz/niche/09016?event_date=2026-08-01</t>
        </is>
      </c>
      <c r="O815" s="2" t="inlineStr">
        <is>
          <t>https://kaspi.kz/shop/c/masks%20and%20body%20peels/</t>
        </is>
      </c>
    </row>
    <row r="816">
      <c r="A816" s="2" t="n">
        <v>815</v>
      </c>
      <c r="B816" s="2" t="inlineStr">
        <is>
          <t>Отбеливание зубов</t>
        </is>
      </c>
      <c r="C816" s="2" t="inlineStr">
        <is>
          <t>Красота и здоровье</t>
        </is>
      </c>
      <c r="D816" s="2" t="inlineStr">
        <is>
          <t>Красота и здоровье → Уход за полостью рта → Отбеливание зубов</t>
        </is>
      </c>
      <c r="E816" s="3" t="n">
        <v>12288169</v>
      </c>
      <c r="F816" s="3" t="n">
        <v>2306</v>
      </c>
      <c r="G816" s="3">
        <f>IFERROR(E816/F816,0)</f>
        <v/>
      </c>
      <c r="H816" s="3" t="n">
        <v>50</v>
      </c>
      <c r="I816" s="2" t="n">
        <v>16</v>
      </c>
      <c r="J816" s="3">
        <f>IFERROR(E816/H816,0)</f>
        <v/>
      </c>
      <c r="K816" s="10">
        <f>E816/'По разделам'!$B$21</f>
        <v/>
      </c>
      <c r="L816" s="4">
        <f>L815+K816</f>
        <v/>
      </c>
      <c r="M816" s="2" t="inlineStr">
        <is>
          <t>03310</t>
        </is>
      </c>
      <c r="N816" s="2" t="inlineStr">
        <is>
          <t>https://app.redstat.kz/niche/03310?event_date=2026-08-01</t>
        </is>
      </c>
      <c r="O816" s="2" t="inlineStr">
        <is>
          <t>https://kaspi.kz/shop/c/teeth%20whitening%20kits/</t>
        </is>
      </c>
    </row>
    <row r="817">
      <c r="A817" s="2" t="n">
        <v>816</v>
      </c>
      <c r="B817" s="2" t="inlineStr">
        <is>
          <t>Шумоизоляция для автомобилей</t>
        </is>
      </c>
      <c r="C817" s="2" t="inlineStr">
        <is>
          <t>Автотовары</t>
        </is>
      </c>
      <c r="D817" s="2" t="inlineStr">
        <is>
          <t>Автотовары → Защита и внешний тюнинг → Шумоизоляция для автомобилей</t>
        </is>
      </c>
      <c r="E817" s="3" t="n">
        <v>12276995</v>
      </c>
      <c r="F817" s="3" t="n">
        <v>745</v>
      </c>
      <c r="G817" s="3">
        <f>IFERROR(E817/F817,0)</f>
        <v/>
      </c>
      <c r="H817" s="3" t="n">
        <v>172</v>
      </c>
      <c r="I817" s="2" t="n">
        <v>17</v>
      </c>
      <c r="J817" s="3">
        <f>IFERROR(E817/H817,0)</f>
        <v/>
      </c>
      <c r="K817" s="10">
        <f>E817/'По разделам'!$B$21</f>
        <v/>
      </c>
      <c r="L817" s="4">
        <f>L816+K817</f>
        <v/>
      </c>
      <c r="M817" s="2" t="inlineStr">
        <is>
          <t>05683</t>
        </is>
      </c>
      <c r="N817" s="2" t="inlineStr">
        <is>
          <t>https://app.redstat.kz/niche/05683?event_date=2026-08-01</t>
        </is>
      </c>
      <c r="O817" s="2" t="inlineStr">
        <is>
          <t>https://kaspi.kz/shop/c/noise%20insulation%20for%20cars/</t>
        </is>
      </c>
    </row>
    <row r="818">
      <c r="A818" s="2" t="n">
        <v>817</v>
      </c>
      <c r="B818" s="2" t="inlineStr">
        <is>
          <t>Трубы и фитинги</t>
        </is>
      </c>
      <c r="C818" s="2" t="inlineStr">
        <is>
          <t>Строительство, ремонт</t>
        </is>
      </c>
      <c r="D818" s="2" t="inlineStr">
        <is>
          <t>Строительство, ремонт → Водоснабжение → Трубы и фитинги → Трубы и фитинги</t>
        </is>
      </c>
      <c r="E818" s="3" t="n">
        <v>12193824</v>
      </c>
      <c r="F818" s="3" t="n">
        <v>2049</v>
      </c>
      <c r="G818" s="3">
        <f>IFERROR(E818/F818,0)</f>
        <v/>
      </c>
      <c r="H818" s="3" t="n">
        <v>587</v>
      </c>
      <c r="I818" s="2" t="n">
        <v>122</v>
      </c>
      <c r="J818" s="3">
        <f>IFERROR(E818/H818,0)</f>
        <v/>
      </c>
      <c r="K818" s="10">
        <f>E818/'По разделам'!$B$21</f>
        <v/>
      </c>
      <c r="L818" s="4">
        <f>L817+K818</f>
        <v/>
      </c>
      <c r="M818" s="2" t="inlineStr">
        <is>
          <t>q52cd65ce157f6da</t>
        </is>
      </c>
      <c r="N818" s="2" t="inlineStr">
        <is>
          <t>https://app.redstat.kz/niche/q52cd65ce157f6da?event_date=2026-08-01</t>
        </is>
      </c>
      <c r="O818" s="2" t="inlineStr"/>
    </row>
    <row r="819">
      <c r="A819" s="2" t="n">
        <v>818</v>
      </c>
      <c r="B819" s="2" t="inlineStr">
        <is>
          <t>Ограничители открывания для дверей и окон</t>
        </is>
      </c>
      <c r="C819" s="2" t="inlineStr">
        <is>
          <t>Строительство, ремонт</t>
        </is>
      </c>
      <c r="D819" s="2" t="inlineStr">
        <is>
          <t>Строительство, ремонт → Двери, окна, лестницы → Ограничители открывания для дверей и окон</t>
        </is>
      </c>
      <c r="E819" s="3" t="n">
        <v>12171132</v>
      </c>
      <c r="F819" s="3" t="n">
        <v>6195</v>
      </c>
      <c r="G819" s="3">
        <f>IFERROR(E819/F819,0)</f>
        <v/>
      </c>
      <c r="H819" s="3" t="n">
        <v>275</v>
      </c>
      <c r="I819" s="2" t="n">
        <v>54</v>
      </c>
      <c r="J819" s="3">
        <f>IFERROR(E819/H819,0)</f>
        <v/>
      </c>
      <c r="K819" s="10">
        <f>E819/'По разделам'!$B$21</f>
        <v/>
      </c>
      <c r="L819" s="4">
        <f>L818+K819</f>
        <v/>
      </c>
      <c r="M819" s="2" t="inlineStr">
        <is>
          <t>04207</t>
        </is>
      </c>
      <c r="N819" s="2" t="inlineStr">
        <is>
          <t>https://app.redstat.kz/niche/04207?event_date=2026-08-01</t>
        </is>
      </c>
      <c r="O819" s="2" t="inlineStr">
        <is>
          <t>https://kaspi.kz/shop/c/limiters%20for%20doors%20and%20windows/</t>
        </is>
      </c>
    </row>
    <row r="820">
      <c r="A820" s="2" t="n">
        <v>819</v>
      </c>
      <c r="B820" s="2" t="inlineStr">
        <is>
          <t>Багажные корзины</t>
        </is>
      </c>
      <c r="C820" s="2" t="inlineStr">
        <is>
          <t>Автотовары</t>
        </is>
      </c>
      <c r="D820" s="2" t="inlineStr">
        <is>
          <t>Автотовары → Багажные системы → Багажные корзины</t>
        </is>
      </c>
      <c r="E820" s="3" t="n">
        <v>12125846</v>
      </c>
      <c r="F820" s="3" t="n">
        <v>114</v>
      </c>
      <c r="G820" s="3">
        <f>IFERROR(E820/F820,0)</f>
        <v/>
      </c>
      <c r="H820" s="3" t="n">
        <v>56</v>
      </c>
      <c r="I820" s="2" t="n">
        <v>12</v>
      </c>
      <c r="J820" s="3">
        <f>IFERROR(E820/H820,0)</f>
        <v/>
      </c>
      <c r="K820" s="10">
        <f>E820/'По разделам'!$B$21</f>
        <v/>
      </c>
      <c r="L820" s="4">
        <f>L819+K820</f>
        <v/>
      </c>
      <c r="M820" s="2" t="inlineStr">
        <is>
          <t>01307</t>
        </is>
      </c>
      <c r="N820" s="2" t="inlineStr">
        <is>
          <t>https://app.redstat.kz/niche/01307?event_date=2026-08-01</t>
        </is>
      </c>
      <c r="O820" s="2" t="inlineStr">
        <is>
          <t>https://kaspi.kz/shop/c/luggage%20baskets/</t>
        </is>
      </c>
    </row>
    <row r="821">
      <c r="A821" s="2" t="n">
        <v>820</v>
      </c>
      <c r="B821" s="2" t="inlineStr">
        <is>
          <t>Газовые баллоны и принадлежности</t>
        </is>
      </c>
      <c r="C821" s="2" t="inlineStr">
        <is>
          <t>Строительство, ремонт</t>
        </is>
      </c>
      <c r="D821" s="2" t="inlineStr">
        <is>
          <t>Строительство, ремонт → Системы отопления → Газовые баллоны и принадлежности → Газовые баллоны и принадлежности</t>
        </is>
      </c>
      <c r="E821" s="3" t="n">
        <v>12113244</v>
      </c>
      <c r="F821" s="3" t="n">
        <v>380</v>
      </c>
      <c r="G821" s="3">
        <f>IFERROR(E821/F821,0)</f>
        <v/>
      </c>
      <c r="H821" s="3" t="n">
        <v>79</v>
      </c>
      <c r="I821" s="2" t="n">
        <v>21</v>
      </c>
      <c r="J821" s="3">
        <f>IFERROR(E821/H821,0)</f>
        <v/>
      </c>
      <c r="K821" s="10">
        <f>E821/'По разделам'!$B$21</f>
        <v/>
      </c>
      <c r="L821" s="4">
        <f>L820+K821</f>
        <v/>
      </c>
      <c r="M821" s="2" t="inlineStr">
        <is>
          <t>q676702dae34e357</t>
        </is>
      </c>
      <c r="N821" s="2" t="inlineStr">
        <is>
          <t>https://app.redstat.kz/niche/q676702dae34e357?event_date=2026-08-01</t>
        </is>
      </c>
      <c r="O821" s="2" t="inlineStr"/>
    </row>
    <row r="822">
      <c r="A822" s="2" t="n">
        <v>821</v>
      </c>
      <c r="B822" s="2" t="inlineStr">
        <is>
          <t>Купальники, комбинезоны и рейтинговые платья</t>
        </is>
      </c>
      <c r="C822" s="2" t="inlineStr">
        <is>
          <t>Спорт, туризм</t>
        </is>
      </c>
      <c r="D822" s="2" t="inlineStr">
        <is>
          <t>Спорт, туризм → Художественная гимнастика и танцы → Купальники, комбинезоны и рейтинговые платья</t>
        </is>
      </c>
      <c r="E822" s="3" t="n">
        <v>12056902</v>
      </c>
      <c r="F822" s="3" t="n">
        <v>2325</v>
      </c>
      <c r="G822" s="3">
        <f>IFERROR(E822/F822,0)</f>
        <v/>
      </c>
      <c r="H822" s="3" t="n">
        <v>598</v>
      </c>
      <c r="I822" s="2" t="n">
        <v>38</v>
      </c>
      <c r="J822" s="3">
        <f>IFERROR(E822/H822,0)</f>
        <v/>
      </c>
      <c r="K822" s="10">
        <f>E822/'По разделам'!$B$21</f>
        <v/>
      </c>
      <c r="L822" s="4">
        <f>L821+K822</f>
        <v/>
      </c>
      <c r="M822" s="2" t="inlineStr">
        <is>
          <t>04397</t>
        </is>
      </c>
      <c r="N822" s="2" t="inlineStr">
        <is>
          <t>https://app.redstat.kz/niche/04397?event_date=2026-08-01</t>
        </is>
      </c>
      <c r="O822" s="2" t="inlineStr">
        <is>
          <t>https://kaspi.kz/shop/c/leotards%20for%20rhythmic%20gymnastics%20and%20dance/</t>
        </is>
      </c>
    </row>
    <row r="823">
      <c r="A823" s="2" t="n">
        <v>822</v>
      </c>
      <c r="B823" s="2" t="inlineStr">
        <is>
          <t>Цифровое и спутниковое ТВ</t>
        </is>
      </c>
      <c r="C823" s="2" t="inlineStr">
        <is>
          <t>ТВ, Аудио, Видео</t>
        </is>
      </c>
      <c r="D823" s="2" t="inlineStr">
        <is>
          <t>ТВ, Аудио, Видео → Видеотехника → Цифровое и спутниковое ТВ</t>
        </is>
      </c>
      <c r="E823" s="3" t="n">
        <v>12019499</v>
      </c>
      <c r="F823" s="3" t="n">
        <v>1475</v>
      </c>
      <c r="G823" s="3">
        <f>IFERROR(E823/F823,0)</f>
        <v/>
      </c>
      <c r="H823" s="3" t="n">
        <v>120</v>
      </c>
      <c r="I823" s="2" t="n">
        <v>38</v>
      </c>
      <c r="J823" s="3">
        <f>IFERROR(E823/H823,0)</f>
        <v/>
      </c>
      <c r="K823" s="10">
        <f>E823/'По разделам'!$B$21</f>
        <v/>
      </c>
      <c r="L823" s="4">
        <f>L822+K823</f>
        <v/>
      </c>
      <c r="M823" s="2" t="inlineStr">
        <is>
          <t>01093</t>
        </is>
      </c>
      <c r="N823" s="2" t="inlineStr">
        <is>
          <t>https://app.redstat.kz/niche/01093?event_date=2026-08-01</t>
        </is>
      </c>
      <c r="O823" s="2" t="inlineStr">
        <is>
          <t>https://kaspi.kz/shop/c/satellite%20tv/</t>
        </is>
      </c>
    </row>
    <row r="824">
      <c r="A824" s="2" t="n">
        <v>823</v>
      </c>
      <c r="B824" s="2" t="inlineStr">
        <is>
          <t>Автомобильные шторки и зонты</t>
        </is>
      </c>
      <c r="C824" s="2" t="inlineStr">
        <is>
          <t>Автотовары</t>
        </is>
      </c>
      <c r="D824" s="2" t="inlineStr">
        <is>
          <t>Автотовары → Автоаксессуары → Автомобильные шторки и зонты</t>
        </is>
      </c>
      <c r="E824" s="3" t="n">
        <v>11888487</v>
      </c>
      <c r="F824" s="3" t="n">
        <v>3231</v>
      </c>
      <c r="G824" s="3">
        <f>IFERROR(E824/F824,0)</f>
        <v/>
      </c>
      <c r="H824" s="3" t="n">
        <v>282</v>
      </c>
      <c r="I824" s="2" t="n">
        <v>50</v>
      </c>
      <c r="J824" s="3">
        <f>IFERROR(E824/H824,0)</f>
        <v/>
      </c>
      <c r="K824" s="10">
        <f>E824/'По разделам'!$B$21</f>
        <v/>
      </c>
      <c r="L824" s="4">
        <f>L823+K824</f>
        <v/>
      </c>
      <c r="M824" s="2" t="inlineStr">
        <is>
          <t>02186</t>
        </is>
      </c>
      <c r="N824" s="2" t="inlineStr">
        <is>
          <t>https://app.redstat.kz/niche/02186?event_date=2026-08-01</t>
        </is>
      </c>
      <c r="O824" s="2" t="inlineStr">
        <is>
          <t>https://kaspi.kz/shop/c/car%20curtains/</t>
        </is>
      </c>
    </row>
    <row r="825">
      <c r="A825" s="2" t="n">
        <v>824</v>
      </c>
      <c r="B825" s="2" t="inlineStr">
        <is>
          <t>Водоотведение и системы дренажа</t>
        </is>
      </c>
      <c r="C825" s="2" t="inlineStr">
        <is>
          <t>Строительство, ремонт</t>
        </is>
      </c>
      <c r="D825" s="2" t="inlineStr">
        <is>
          <t>Строительство, ремонт → Кровля, фасад, ворота → Водоотведение и системы дренажа → Водоотведение и системы дренажа</t>
        </is>
      </c>
      <c r="E825" s="3" t="n">
        <v>11857022</v>
      </c>
      <c r="F825" s="3" t="n">
        <v>318</v>
      </c>
      <c r="G825" s="3">
        <f>IFERROR(E825/F825,0)</f>
        <v/>
      </c>
      <c r="H825" s="3" t="n">
        <v>84</v>
      </c>
      <c r="I825" s="2" t="n">
        <v>18</v>
      </c>
      <c r="J825" s="3">
        <f>IFERROR(E825/H825,0)</f>
        <v/>
      </c>
      <c r="K825" s="10">
        <f>E825/'По разделам'!$B$21</f>
        <v/>
      </c>
      <c r="L825" s="4">
        <f>L824+K825</f>
        <v/>
      </c>
      <c r="M825" s="2" t="inlineStr">
        <is>
          <t>q750076e98fa4f78</t>
        </is>
      </c>
      <c r="N825" s="2" t="inlineStr">
        <is>
          <t>https://app.redstat.kz/niche/q750076e98fa4f78?event_date=2026-08-01</t>
        </is>
      </c>
      <c r="O825" s="2" t="inlineStr"/>
    </row>
    <row r="826">
      <c r="A826" s="2" t="n">
        <v>825</v>
      </c>
      <c r="B826" s="2" t="inlineStr">
        <is>
          <t>Аксессуары и тренажеры для спортивных игр</t>
        </is>
      </c>
      <c r="C826" s="2" t="inlineStr">
        <is>
          <t>Спорт, туризм</t>
        </is>
      </c>
      <c r="D826" s="2" t="inlineStr">
        <is>
          <t>Спорт, туризм → Командные виды спорта → Аксессуары и тренажеры для спортивных игр</t>
        </is>
      </c>
      <c r="E826" s="3" t="n">
        <v>11852818</v>
      </c>
      <c r="F826" s="3" t="n">
        <v>2713</v>
      </c>
      <c r="G826" s="3">
        <f>IFERROR(E826/F826,0)</f>
        <v/>
      </c>
      <c r="H826" s="3" t="n">
        <v>430</v>
      </c>
      <c r="I826" s="2" t="n">
        <v>80</v>
      </c>
      <c r="J826" s="3">
        <f>IFERROR(E826/H826,0)</f>
        <v/>
      </c>
      <c r="K826" s="10">
        <f>E826/'По разделам'!$B$21</f>
        <v/>
      </c>
      <c r="L826" s="4">
        <f>L825+K826</f>
        <v/>
      </c>
      <c r="M826" s="2" t="inlineStr">
        <is>
          <t>03763</t>
        </is>
      </c>
      <c r="N826" s="2" t="inlineStr">
        <is>
          <t>https://app.redstat.kz/niche/03763?event_date=2026-08-01</t>
        </is>
      </c>
      <c r="O826" s="2" t="inlineStr">
        <is>
          <t>https://kaspi.kz/shop/c/accessories%20for%20sports%20games/</t>
        </is>
      </c>
    </row>
    <row r="827">
      <c r="A827" s="2" t="n">
        <v>826</v>
      </c>
      <c r="B827" s="2" t="inlineStr">
        <is>
          <t>Комбинезоны и слипы для малышей</t>
        </is>
      </c>
      <c r="C827" s="2" t="inlineStr">
        <is>
          <t>Одежда</t>
        </is>
      </c>
      <c r="D827" s="2" t="inlineStr">
        <is>
          <t>Одежда → Одежда для малышей → Комбинезоны и слипы для малышей</t>
        </is>
      </c>
      <c r="E827" s="3" t="n">
        <v>11734982</v>
      </c>
      <c r="F827" s="3" t="n">
        <v>1845</v>
      </c>
      <c r="G827" s="3">
        <f>IFERROR(E827/F827,0)</f>
        <v/>
      </c>
      <c r="H827" s="3" t="n">
        <v>551</v>
      </c>
      <c r="I827" s="2" t="n">
        <v>71</v>
      </c>
      <c r="J827" s="3">
        <f>IFERROR(E827/H827,0)</f>
        <v/>
      </c>
      <c r="K827" s="10">
        <f>E827/'По разделам'!$B$21</f>
        <v/>
      </c>
      <c r="L827" s="4">
        <f>L826+K827</f>
        <v/>
      </c>
      <c r="M827" s="2" t="inlineStr">
        <is>
          <t>00940</t>
        </is>
      </c>
      <c r="N827" s="2" t="inlineStr">
        <is>
          <t>https://app.redstat.kz/niche/00940?event_date=2026-08-01</t>
        </is>
      </c>
      <c r="O827" s="2" t="inlineStr">
        <is>
          <t>https://kaspi.kz/shop/c/baby%20jumpsuits%20and%20sleepsuits/</t>
        </is>
      </c>
    </row>
    <row r="828">
      <c r="A828" s="2" t="n">
        <v>827</v>
      </c>
      <c r="B828" s="2" t="inlineStr">
        <is>
          <t>Уход за бородой и усами</t>
        </is>
      </c>
      <c r="C828" s="2" t="inlineStr">
        <is>
          <t>Красота и здоровье</t>
        </is>
      </c>
      <c r="D828" s="2" t="inlineStr">
        <is>
          <t>Красота и здоровье → Уход за волосами → Уход за бородой и усами</t>
        </is>
      </c>
      <c r="E828" s="3" t="n">
        <v>11721761</v>
      </c>
      <c r="F828" s="3" t="n">
        <v>1701</v>
      </c>
      <c r="G828" s="3">
        <f>IFERROR(E828/F828,0)</f>
        <v/>
      </c>
      <c r="H828" s="3" t="n">
        <v>141</v>
      </c>
      <c r="I828" s="2" t="n">
        <v>57</v>
      </c>
      <c r="J828" s="3">
        <f>IFERROR(E828/H828,0)</f>
        <v/>
      </c>
      <c r="K828" s="10">
        <f>E828/'По разделам'!$B$21</f>
        <v/>
      </c>
      <c r="L828" s="4">
        <f>L827+K828</f>
        <v/>
      </c>
      <c r="M828" s="2" t="inlineStr">
        <is>
          <t>02270</t>
        </is>
      </c>
      <c r="N828" s="2" t="inlineStr">
        <is>
          <t>https://app.redstat.kz/niche/02270?event_date=2026-08-01</t>
        </is>
      </c>
      <c r="O828" s="2" t="inlineStr">
        <is>
          <t>https://kaspi.kz/shop/c/men%20beard%20and%20mustache%20care/</t>
        </is>
      </c>
    </row>
    <row r="829">
      <c r="A829" s="2" t="n">
        <v>828</v>
      </c>
      <c r="B829" s="2" t="inlineStr">
        <is>
          <t>Аэрозольные краски</t>
        </is>
      </c>
      <c r="C829" s="2" t="inlineStr">
        <is>
          <t>Строительство, ремонт</t>
        </is>
      </c>
      <c r="D829" s="2" t="inlineStr">
        <is>
          <t>Строительство, ремонт → Лакокрасочные материалы → Аэрозольные краски</t>
        </is>
      </c>
      <c r="E829" s="3" t="n">
        <v>11448308</v>
      </c>
      <c r="F829" s="3" t="n">
        <v>3286</v>
      </c>
      <c r="G829" s="3">
        <f>IFERROR(E829/F829,0)</f>
        <v/>
      </c>
      <c r="H829" s="3" t="n">
        <v>436</v>
      </c>
      <c r="I829" s="2" t="n">
        <v>45</v>
      </c>
      <c r="J829" s="3">
        <f>IFERROR(E829/H829,0)</f>
        <v/>
      </c>
      <c r="K829" s="10">
        <f>E829/'По разделам'!$B$21</f>
        <v/>
      </c>
      <c r="L829" s="4">
        <f>L828+K829</f>
        <v/>
      </c>
      <c r="M829" s="2" t="inlineStr">
        <is>
          <t>02080</t>
        </is>
      </c>
      <c r="N829" s="2" t="inlineStr">
        <is>
          <t>https://app.redstat.kz/niche/02080?event_date=2026-08-01</t>
        </is>
      </c>
      <c r="O829" s="2" t="inlineStr">
        <is>
          <t>https://kaspi.kz/shop/c/spray%20paints/</t>
        </is>
      </c>
    </row>
    <row r="830">
      <c r="A830" s="2" t="n">
        <v>829</v>
      </c>
      <c r="B830" s="2" t="inlineStr">
        <is>
          <t>Аксессуары для рыбалки</t>
        </is>
      </c>
      <c r="C830" s="2" t="inlineStr">
        <is>
          <t>Спорт, туризм</t>
        </is>
      </c>
      <c r="D830" s="2" t="inlineStr">
        <is>
          <t>Спорт, туризм → Товары для рыбалки → Аксессуары для рыбалки</t>
        </is>
      </c>
      <c r="E830" s="3" t="n">
        <v>11324191</v>
      </c>
      <c r="F830" s="3" t="n">
        <v>2872</v>
      </c>
      <c r="G830" s="3">
        <f>IFERROR(E830/F830,0)</f>
        <v/>
      </c>
      <c r="H830" s="3" t="n">
        <v>674</v>
      </c>
      <c r="I830" s="2" t="n">
        <v>118</v>
      </c>
      <c r="J830" s="3">
        <f>IFERROR(E830/H830,0)</f>
        <v/>
      </c>
      <c r="K830" s="10">
        <f>E830/'По разделам'!$B$21</f>
        <v/>
      </c>
      <c r="L830" s="4">
        <f>L829+K830</f>
        <v/>
      </c>
      <c r="M830" s="2" t="inlineStr">
        <is>
          <t>04553</t>
        </is>
      </c>
      <c r="N830" s="2" t="inlineStr">
        <is>
          <t>https://app.redstat.kz/niche/04553?event_date=2026-08-01</t>
        </is>
      </c>
      <c r="O830" s="2" t="inlineStr">
        <is>
          <t>https://kaspi.kz/shop/c/fishing%20accessories/</t>
        </is>
      </c>
    </row>
    <row r="831">
      <c r="A831" s="2" t="n">
        <v>830</v>
      </c>
      <c r="B831" s="2" t="inlineStr">
        <is>
          <t>Кнопки вызова персонала</t>
        </is>
      </c>
      <c r="C831" s="2" t="inlineStr">
        <is>
          <t>Канцелярские товары</t>
        </is>
      </c>
      <c r="D831" s="2" t="inlineStr">
        <is>
          <t>Канцелярские товары → Торговые и рекламные принадлежности → Кнопки вызова персонала</t>
        </is>
      </c>
      <c r="E831" s="3" t="n">
        <v>11242805</v>
      </c>
      <c r="F831" s="3" t="n">
        <v>347</v>
      </c>
      <c r="G831" s="3">
        <f>IFERROR(E831/F831,0)</f>
        <v/>
      </c>
      <c r="H831" s="3" t="n">
        <v>68</v>
      </c>
      <c r="I831" s="2" t="n">
        <v>8</v>
      </c>
      <c r="J831" s="3">
        <f>IFERROR(E831/H831,0)</f>
        <v/>
      </c>
      <c r="K831" s="10">
        <f>E831/'По разделам'!$B$21</f>
        <v/>
      </c>
      <c r="L831" s="4">
        <f>L830+K831</f>
        <v/>
      </c>
      <c r="M831" s="2" t="inlineStr">
        <is>
          <t>06820</t>
        </is>
      </c>
      <c r="N831" s="2" t="inlineStr">
        <is>
          <t>https://app.redstat.kz/niche/06820?event_date=2026-08-01</t>
        </is>
      </c>
      <c r="O831" s="2" t="inlineStr">
        <is>
          <t>https://kaspi.kz/shop/c/staff%20call%20buttons/</t>
        </is>
      </c>
    </row>
    <row r="832">
      <c r="A832" s="2" t="n">
        <v>831</v>
      </c>
      <c r="B832" s="2" t="inlineStr">
        <is>
          <t>Бумага для заметок, визитки, закладки</t>
        </is>
      </c>
      <c r="C832" s="2" t="inlineStr">
        <is>
          <t>Канцелярские товары</t>
        </is>
      </c>
      <c r="D832" s="2" t="inlineStr">
        <is>
          <t>Канцелярские товары → Бумага и бумажная продукция → Бумага для заметок, визитки, закладки</t>
        </is>
      </c>
      <c r="E832" s="3" t="n">
        <v>11240813</v>
      </c>
      <c r="F832" s="3" t="n">
        <v>25747</v>
      </c>
      <c r="G832" s="3">
        <f>IFERROR(E832/F832,0)</f>
        <v/>
      </c>
      <c r="H832" s="3" t="n">
        <v>538</v>
      </c>
      <c r="I832" s="2" t="n">
        <v>64</v>
      </c>
      <c r="J832" s="3">
        <f>IFERROR(E832/H832,0)</f>
        <v/>
      </c>
      <c r="K832" s="10">
        <f>E832/'По разделам'!$B$21</f>
        <v/>
      </c>
      <c r="L832" s="4">
        <f>L831+K832</f>
        <v/>
      </c>
      <c r="M832" s="2" t="inlineStr">
        <is>
          <t>05645</t>
        </is>
      </c>
      <c r="N832" s="2" t="inlineStr">
        <is>
          <t>https://app.redstat.kz/niche/05645?event_date=2026-08-01</t>
        </is>
      </c>
      <c r="O832" s="2" t="inlineStr">
        <is>
          <t>https://kaspi.kz/shop/c/memo%20sheets/</t>
        </is>
      </c>
    </row>
    <row r="833">
      <c r="A833" s="2" t="n">
        <v>832</v>
      </c>
      <c r="B833" s="2" t="inlineStr">
        <is>
          <t>Комплекты одежды для девочек</t>
        </is>
      </c>
      <c r="C833" s="2" t="inlineStr">
        <is>
          <t>Одежда</t>
        </is>
      </c>
      <c r="D833" s="2" t="inlineStr">
        <is>
          <t>Одежда → Девочкам → Комплекты одежды для девочек</t>
        </is>
      </c>
      <c r="E833" s="3" t="n">
        <v>11187672</v>
      </c>
      <c r="F833" s="3" t="n">
        <v>2056</v>
      </c>
      <c r="G833" s="3">
        <f>IFERROR(E833/F833,0)</f>
        <v/>
      </c>
      <c r="H833" s="3" t="n">
        <v>564</v>
      </c>
      <c r="I833" s="2" t="n">
        <v>72</v>
      </c>
      <c r="J833" s="3">
        <f>IFERROR(E833/H833,0)</f>
        <v/>
      </c>
      <c r="K833" s="10">
        <f>E833/'По разделам'!$B$21</f>
        <v/>
      </c>
      <c r="L833" s="4">
        <f>L832+K833</f>
        <v/>
      </c>
      <c r="M833" s="2" t="inlineStr">
        <is>
          <t>01491</t>
        </is>
      </c>
      <c r="N833" s="2" t="inlineStr">
        <is>
          <t>https://app.redstat.kz/niche/01491?event_date=2026-08-01</t>
        </is>
      </c>
      <c r="O833" s="2" t="inlineStr">
        <is>
          <t>https://kaspi.kz/shop/c/girl%20clothing%20sets/</t>
        </is>
      </c>
    </row>
    <row r="834">
      <c r="A834" s="2" t="n">
        <v>833</v>
      </c>
      <c r="B834" s="2" t="inlineStr">
        <is>
          <t>Гиперэкстензии</t>
        </is>
      </c>
      <c r="C834" s="2" t="inlineStr">
        <is>
          <t>Спорт, туризм</t>
        </is>
      </c>
      <c r="D834" s="2" t="inlineStr">
        <is>
          <t>Спорт, туризм → Тренажеры → Гиперэкстензии</t>
        </is>
      </c>
      <c r="E834" s="3" t="n">
        <v>11166583</v>
      </c>
      <c r="F834" s="3" t="n">
        <v>275</v>
      </c>
      <c r="G834" s="3">
        <f>IFERROR(E834/F834,0)</f>
        <v/>
      </c>
      <c r="H834" s="3" t="n">
        <v>21</v>
      </c>
      <c r="I834" s="2" t="n">
        <v>13</v>
      </c>
      <c r="J834" s="3">
        <f>IFERROR(E834/H834,0)</f>
        <v/>
      </c>
      <c r="K834" s="10">
        <f>E834/'По разделам'!$B$21</f>
        <v/>
      </c>
      <c r="L834" s="4">
        <f>L833+K834</f>
        <v/>
      </c>
      <c r="M834" s="2" t="inlineStr">
        <is>
          <t>00891</t>
        </is>
      </c>
      <c r="N834" s="2" t="inlineStr">
        <is>
          <t>https://app.redstat.kz/niche/00891?event_date=2026-08-01</t>
        </is>
      </c>
      <c r="O834" s="2" t="inlineStr">
        <is>
          <t>https://kaspi.kz/shop/c/hyperextension%20benches/</t>
        </is>
      </c>
    </row>
    <row r="835">
      <c r="A835" s="2" t="n">
        <v>834</v>
      </c>
      <c r="B835" s="2" t="inlineStr">
        <is>
          <t>Наборы бытовой химии</t>
        </is>
      </c>
      <c r="C835" s="2" t="inlineStr">
        <is>
          <t>Товары для дома и дачи</t>
        </is>
      </c>
      <c r="D835" s="2" t="inlineStr">
        <is>
          <t>Товары для дома и дачи → Бытовая химия → Наборы бытовой химии</t>
        </is>
      </c>
      <c r="E835" s="3" t="n">
        <v>11125325</v>
      </c>
      <c r="F835" s="3" t="n">
        <v>1890</v>
      </c>
      <c r="G835" s="3">
        <f>IFERROR(E835/F835,0)</f>
        <v/>
      </c>
      <c r="H835" s="3" t="n">
        <v>122</v>
      </c>
      <c r="I835" s="2" t="n">
        <v>55</v>
      </c>
      <c r="J835" s="3">
        <f>IFERROR(E835/H835,0)</f>
        <v/>
      </c>
      <c r="K835" s="10">
        <f>E835/'По разделам'!$B$21</f>
        <v/>
      </c>
      <c r="L835" s="4">
        <f>L834+K835</f>
        <v/>
      </c>
      <c r="M835" s="2" t="inlineStr">
        <is>
          <t>02266</t>
        </is>
      </c>
      <c r="N835" s="2" t="inlineStr">
        <is>
          <t>https://app.redstat.kz/niche/02266?event_date=2026-08-01</t>
        </is>
      </c>
      <c r="O835" s="2" t="inlineStr">
        <is>
          <t>https://kaspi.kz/shop/c/household%20chemicals%20sets/</t>
        </is>
      </c>
    </row>
    <row r="836">
      <c r="A836" s="2" t="n">
        <v>835</v>
      </c>
      <c r="B836" s="2" t="inlineStr">
        <is>
          <t>Колье бижутерные</t>
        </is>
      </c>
      <c r="C836" s="2" t="inlineStr">
        <is>
          <t>Украшения</t>
        </is>
      </c>
      <c r="D836" s="2" t="inlineStr">
        <is>
          <t>Украшения → Колье → Колье бижутерные</t>
        </is>
      </c>
      <c r="E836" s="3" t="n">
        <v>11097465</v>
      </c>
      <c r="F836" s="3" t="n">
        <v>3570</v>
      </c>
      <c r="G836" s="3">
        <f>IFERROR(E836/F836,0)</f>
        <v/>
      </c>
      <c r="H836" s="3" t="n">
        <v>597</v>
      </c>
      <c r="I836" s="2" t="n">
        <v>95</v>
      </c>
      <c r="J836" s="3">
        <f>IFERROR(E836/H836,0)</f>
        <v/>
      </c>
      <c r="K836" s="10">
        <f>E836/'По разделам'!$B$21</f>
        <v/>
      </c>
      <c r="L836" s="4">
        <f>L835+K836</f>
        <v/>
      </c>
      <c r="M836" s="2" t="inlineStr">
        <is>
          <t>01743</t>
        </is>
      </c>
      <c r="N836" s="2" t="inlineStr">
        <is>
          <t>https://app.redstat.kz/niche/01743?event_date=2026-08-01</t>
        </is>
      </c>
      <c r="O836" s="2" t="inlineStr">
        <is>
          <t>https://kaspi.kz/shop/c/imitation%20collars/</t>
        </is>
      </c>
    </row>
    <row r="837">
      <c r="A837" s="2" t="n">
        <v>836</v>
      </c>
      <c r="B837" s="2" t="inlineStr">
        <is>
          <t>Устранители запахов животных</t>
        </is>
      </c>
      <c r="C837" s="2" t="inlineStr">
        <is>
          <t>Товары для животных</t>
        </is>
      </c>
      <c r="D837" s="2" t="inlineStr">
        <is>
          <t>Товары для животных → Гигиена и уход за животными → Устранители запахов животных</t>
        </is>
      </c>
      <c r="E837" s="3" t="n">
        <v>11085462</v>
      </c>
      <c r="F837" s="3" t="n">
        <v>2437</v>
      </c>
      <c r="G837" s="3">
        <f>IFERROR(E837/F837,0)</f>
        <v/>
      </c>
      <c r="H837" s="3" t="n">
        <v>149</v>
      </c>
      <c r="I837" s="2" t="n">
        <v>53</v>
      </c>
      <c r="J837" s="3">
        <f>IFERROR(E837/H837,0)</f>
        <v/>
      </c>
      <c r="K837" s="10">
        <f>E837/'По разделам'!$B$21</f>
        <v/>
      </c>
      <c r="L837" s="4">
        <f>L836+K837</f>
        <v/>
      </c>
      <c r="M837" s="2" t="inlineStr">
        <is>
          <t>03108</t>
        </is>
      </c>
      <c r="N837" s="2" t="inlineStr">
        <is>
          <t>https://app.redstat.kz/niche/03108?event_date=2026-08-01</t>
        </is>
      </c>
      <c r="O837" s="2" t="inlineStr">
        <is>
          <t>https://kaspi.kz/shop/c/pet%20odour%20eliminators/</t>
        </is>
      </c>
    </row>
    <row r="838">
      <c r="A838" s="2" t="n">
        <v>837</v>
      </c>
      <c r="B838" s="2" t="inlineStr">
        <is>
          <t>Шкафы для офиса и кабинета</t>
        </is>
      </c>
      <c r="C838" s="2" t="inlineStr">
        <is>
          <t>Мебель</t>
        </is>
      </c>
      <c r="D838" s="2" t="inlineStr">
        <is>
          <t>Мебель → Офис и кабинет → Шкафы для офиса и кабинета</t>
        </is>
      </c>
      <c r="E838" s="3" t="n">
        <v>11071292</v>
      </c>
      <c r="F838" s="3" t="n">
        <v>241</v>
      </c>
      <c r="G838" s="3">
        <f>IFERROR(E838/F838,0)</f>
        <v/>
      </c>
      <c r="H838" s="3" t="n">
        <v>53</v>
      </c>
      <c r="I838" s="2" t="n">
        <v>23</v>
      </c>
      <c r="J838" s="3">
        <f>IFERROR(E838/H838,0)</f>
        <v/>
      </c>
      <c r="K838" s="10">
        <f>E838/'По разделам'!$B$21</f>
        <v/>
      </c>
      <c r="L838" s="4">
        <f>L837+K838</f>
        <v/>
      </c>
      <c r="M838" s="2" t="inlineStr">
        <is>
          <t>07260</t>
        </is>
      </c>
      <c r="N838" s="2" t="inlineStr">
        <is>
          <t>https://app.redstat.kz/niche/07260?event_date=2026-08-01</t>
        </is>
      </c>
      <c r="O838" s="2" t="inlineStr">
        <is>
          <t>https://kaspi.kz/shop/c/office%20cabinets%20and%20shelving/</t>
        </is>
      </c>
    </row>
    <row r="839">
      <c r="A839" s="2" t="n">
        <v>838</v>
      </c>
      <c r="B839" s="2" t="inlineStr">
        <is>
          <t>Веревки</t>
        </is>
      </c>
      <c r="C839" s="2" t="inlineStr">
        <is>
          <t>Товары для дома и дачи</t>
        </is>
      </c>
      <c r="D839" s="2" t="inlineStr">
        <is>
          <t>Товары для дома и дачи → Хозяйственные товары → Веревки</t>
        </is>
      </c>
      <c r="E839" s="3" t="n">
        <v>11054589</v>
      </c>
      <c r="F839" s="3" t="n">
        <v>1741</v>
      </c>
      <c r="G839" s="3">
        <f>IFERROR(E839/F839,0)</f>
        <v/>
      </c>
      <c r="H839" s="3" t="n">
        <v>327</v>
      </c>
      <c r="I839" s="2" t="n">
        <v>59</v>
      </c>
      <c r="J839" s="3">
        <f>IFERROR(E839/H839,0)</f>
        <v/>
      </c>
      <c r="K839" s="10">
        <f>E839/'По разделам'!$B$21</f>
        <v/>
      </c>
      <c r="L839" s="4">
        <f>L838+K839</f>
        <v/>
      </c>
      <c r="M839" s="2" t="inlineStr">
        <is>
          <t>05794</t>
        </is>
      </c>
      <c r="N839" s="2" t="inlineStr">
        <is>
          <t>https://app.redstat.kz/niche/05794?event_date=2026-08-01</t>
        </is>
      </c>
      <c r="O839" s="2" t="inlineStr">
        <is>
          <t>https://kaspi.kz/shop/c/household%20ropes/</t>
        </is>
      </c>
    </row>
    <row r="840">
      <c r="A840" s="2" t="n">
        <v>839</v>
      </c>
      <c r="B840" s="2" t="inlineStr">
        <is>
          <t>Детские наборы для исследований</t>
        </is>
      </c>
      <c r="C840" s="2" t="inlineStr">
        <is>
          <t>Детские товары</t>
        </is>
      </c>
      <c r="D840" s="2" t="inlineStr">
        <is>
          <t>Детские товары → Игрушки → Детские наборы для исследований</t>
        </is>
      </c>
      <c r="E840" s="3" t="n">
        <v>11010673</v>
      </c>
      <c r="F840" s="3" t="n">
        <v>1003</v>
      </c>
      <c r="G840" s="3">
        <f>IFERROR(E840/F840,0)</f>
        <v/>
      </c>
      <c r="H840" s="3" t="n">
        <v>144</v>
      </c>
      <c r="I840" s="2" t="n">
        <v>44</v>
      </c>
      <c r="J840" s="3">
        <f>IFERROR(E840/H840,0)</f>
        <v/>
      </c>
      <c r="K840" s="10">
        <f>E840/'По разделам'!$B$21</f>
        <v/>
      </c>
      <c r="L840" s="4">
        <f>L839+K840</f>
        <v/>
      </c>
      <c r="M840" s="2" t="inlineStr">
        <is>
          <t>02072</t>
        </is>
      </c>
      <c r="N840" s="2" t="inlineStr">
        <is>
          <t>https://app.redstat.kz/niche/02072?event_date=2026-08-01</t>
        </is>
      </c>
      <c r="O840" s="2" t="inlineStr">
        <is>
          <t>https://kaspi.kz/shop/c/kids%20science%20kits/</t>
        </is>
      </c>
    </row>
    <row r="841">
      <c r="A841" s="2" t="n">
        <v>840</v>
      </c>
      <c r="B841" s="2" t="inlineStr">
        <is>
          <t>Мужские национальные костюмы</t>
        </is>
      </c>
      <c r="C841" s="2" t="inlineStr">
        <is>
          <t>Одежда</t>
        </is>
      </c>
      <c r="D841" s="2" t="inlineStr">
        <is>
          <t>Одежда → Мужчинам → Мужские национальные костюмы</t>
        </is>
      </c>
      <c r="E841" s="3" t="n">
        <v>10977377</v>
      </c>
      <c r="F841" s="3" t="n">
        <v>475</v>
      </c>
      <c r="G841" s="3">
        <f>IFERROR(E841/F841,0)</f>
        <v/>
      </c>
      <c r="H841" s="3" t="n">
        <v>294</v>
      </c>
      <c r="I841" s="2" t="n">
        <v>18</v>
      </c>
      <c r="J841" s="3">
        <f>IFERROR(E841/H841,0)</f>
        <v/>
      </c>
      <c r="K841" s="10">
        <f>E841/'По разделам'!$B$21</f>
        <v/>
      </c>
      <c r="L841" s="4">
        <f>L840+K841</f>
        <v/>
      </c>
      <c r="M841" s="2" t="inlineStr">
        <is>
          <t>07163</t>
        </is>
      </c>
      <c r="N841" s="2" t="inlineStr">
        <is>
          <t>https://app.redstat.kz/niche/07163?event_date=2026-08-01</t>
        </is>
      </c>
      <c r="O841" s="2" t="inlineStr">
        <is>
          <t>https://kaspi.kz/shop/c/men%20national%20costumes/</t>
        </is>
      </c>
    </row>
    <row r="842">
      <c r="A842" s="2" t="n">
        <v>841</v>
      </c>
      <c r="B842" s="2" t="inlineStr">
        <is>
          <t>Расходные материалы для депиляции и эпиляции</t>
        </is>
      </c>
      <c r="C842" s="2" t="inlineStr">
        <is>
          <t>Красота и здоровье</t>
        </is>
      </c>
      <c r="D842" s="2" t="inlineStr">
        <is>
          <t>Красота и здоровье → Депиляция и эпиляция → Расходные материалы для депиляции и эпиляции</t>
        </is>
      </c>
      <c r="E842" s="3" t="n">
        <v>10977168</v>
      </c>
      <c r="F842" s="3" t="n">
        <v>13994</v>
      </c>
      <c r="G842" s="3">
        <f>IFERROR(E842/F842,0)</f>
        <v/>
      </c>
      <c r="H842" s="3" t="n">
        <v>184</v>
      </c>
      <c r="I842" s="2" t="n">
        <v>45</v>
      </c>
      <c r="J842" s="3">
        <f>IFERROR(E842/H842,0)</f>
        <v/>
      </c>
      <c r="K842" s="10">
        <f>E842/'По разделам'!$B$21</f>
        <v/>
      </c>
      <c r="L842" s="4">
        <f>L841+K842</f>
        <v/>
      </c>
      <c r="M842" s="2" t="inlineStr">
        <is>
          <t>07031</t>
        </is>
      </c>
      <c r="N842" s="2" t="inlineStr">
        <is>
          <t>https://app.redstat.kz/niche/07031?event_date=2026-08-01</t>
        </is>
      </c>
      <c r="O842" s="2" t="inlineStr">
        <is>
          <t>https://kaspi.kz/shop/c/consumables%20for%20depilation%20and%20epilation/</t>
        </is>
      </c>
    </row>
    <row r="843">
      <c r="A843" s="2" t="n">
        <v>842</v>
      </c>
      <c r="B843" s="2" t="inlineStr">
        <is>
          <t>Пленки и инструменты для оклейки автомобиля</t>
        </is>
      </c>
      <c r="C843" s="2" t="inlineStr">
        <is>
          <t>Автотовары</t>
        </is>
      </c>
      <c r="D843" s="2" t="inlineStr">
        <is>
          <t>Автотовары → Защита и внешний тюнинг → Пленки и инструменты для оклейки автомобиля → Пленки и инструменты для оклейки автомобиля</t>
        </is>
      </c>
      <c r="E843" s="3" t="n">
        <v>10929114</v>
      </c>
      <c r="F843" s="3" t="n">
        <v>3810</v>
      </c>
      <c r="G843" s="3">
        <f>IFERROR(E843/F843,0)</f>
        <v/>
      </c>
      <c r="H843" s="3" t="n">
        <v>373</v>
      </c>
      <c r="I843" s="2" t="n">
        <v>68</v>
      </c>
      <c r="J843" s="3">
        <f>IFERROR(E843/H843,0)</f>
        <v/>
      </c>
      <c r="K843" s="10">
        <f>E843/'По разделам'!$B$21</f>
        <v/>
      </c>
      <c r="L843" s="4">
        <f>L842+K843</f>
        <v/>
      </c>
      <c r="M843" s="2" t="inlineStr">
        <is>
          <t>qa4356befbb553a4</t>
        </is>
      </c>
      <c r="N843" s="2" t="inlineStr">
        <is>
          <t>https://app.redstat.kz/niche/qa4356befbb553a4?event_date=2026-08-01</t>
        </is>
      </c>
      <c r="O843" s="2" t="inlineStr"/>
    </row>
    <row r="844">
      <c r="A844" s="2" t="n">
        <v>843</v>
      </c>
      <c r="B844" s="2" t="inlineStr">
        <is>
          <t>Комплектующие и аксессуары для освещения</t>
        </is>
      </c>
      <c r="C844" s="2" t="inlineStr">
        <is>
          <t>Товары для дома и дачи</t>
        </is>
      </c>
      <c r="D844" s="2" t="inlineStr">
        <is>
          <t>Товары для дома и дачи → Освещение → Комплектующие и аксессуары для освещения → Комплектующие и аксессуары для освещения</t>
        </is>
      </c>
      <c r="E844" s="3" t="n">
        <v>10861996</v>
      </c>
      <c r="F844" s="3" t="n">
        <v>2033</v>
      </c>
      <c r="G844" s="3">
        <f>IFERROR(E844/F844,0)</f>
        <v/>
      </c>
      <c r="H844" s="3" t="n">
        <v>665</v>
      </c>
      <c r="I844" s="2" t="n">
        <v>120</v>
      </c>
      <c r="J844" s="3">
        <f>IFERROR(E844/H844,0)</f>
        <v/>
      </c>
      <c r="K844" s="10">
        <f>E844/'По разделам'!$B$21</f>
        <v/>
      </c>
      <c r="L844" s="4">
        <f>L843+K844</f>
        <v/>
      </c>
      <c r="M844" s="2" t="inlineStr">
        <is>
          <t>q8e4b67223470ad3</t>
        </is>
      </c>
      <c r="N844" s="2" t="inlineStr">
        <is>
          <t>https://app.redstat.kz/niche/q8e4b67223470ad3?event_date=2026-08-01</t>
        </is>
      </c>
      <c r="O844" s="2" t="inlineStr"/>
    </row>
    <row r="845">
      <c r="A845" s="2" t="n">
        <v>844</v>
      </c>
      <c r="B845" s="2" t="inlineStr">
        <is>
          <t>Виниловые пластинки</t>
        </is>
      </c>
      <c r="C845" s="2" t="inlineStr">
        <is>
          <t>Досуг, книги</t>
        </is>
      </c>
      <c r="D845" s="2" t="inlineStr">
        <is>
          <t>Досуг, книги → Музыкальные диски и пластинки → Виниловые пластинки</t>
        </is>
      </c>
      <c r="E845" s="3" t="n">
        <v>10756288</v>
      </c>
      <c r="F845" s="3" t="n">
        <v>345</v>
      </c>
      <c r="G845" s="3">
        <f>IFERROR(E845/F845,0)</f>
        <v/>
      </c>
      <c r="H845" s="3" t="n">
        <v>242</v>
      </c>
      <c r="I845" s="2" t="n">
        <v>112</v>
      </c>
      <c r="J845" s="3">
        <f>IFERROR(E845/H845,0)</f>
        <v/>
      </c>
      <c r="K845" s="10">
        <f>E845/'По разделам'!$B$21</f>
        <v/>
      </c>
      <c r="L845" s="4">
        <f>L844+K845</f>
        <v/>
      </c>
      <c r="M845" s="2" t="inlineStr">
        <is>
          <t>02852</t>
        </is>
      </c>
      <c r="N845" s="2" t="inlineStr">
        <is>
          <t>https://app.redstat.kz/niche/02852?event_date=2026-08-01</t>
        </is>
      </c>
      <c r="O845" s="2" t="inlineStr">
        <is>
          <t>https://kaspi.kz/shop/c/vinyl%20records/</t>
        </is>
      </c>
    </row>
    <row r="846">
      <c r="A846" s="2" t="n">
        <v>845</v>
      </c>
      <c r="B846" s="2" t="inlineStr">
        <is>
          <t>Мужские плавки и шорты для плавания</t>
        </is>
      </c>
      <c r="C846" s="2" t="inlineStr">
        <is>
          <t>Одежда</t>
        </is>
      </c>
      <c r="D846" s="2" t="inlineStr">
        <is>
          <t>Одежда → Мужчинам → Мужские плавки и шорты для плавания</t>
        </is>
      </c>
      <c r="E846" s="3" t="n">
        <v>10729062</v>
      </c>
      <c r="F846" s="3" t="n">
        <v>1690</v>
      </c>
      <c r="G846" s="3">
        <f>IFERROR(E846/F846,0)</f>
        <v/>
      </c>
      <c r="H846" s="3" t="n">
        <v>443</v>
      </c>
      <c r="I846" s="2" t="n">
        <v>71</v>
      </c>
      <c r="J846" s="3">
        <f>IFERROR(E846/H846,0)</f>
        <v/>
      </c>
      <c r="K846" s="10">
        <f>E846/'По разделам'!$B$21</f>
        <v/>
      </c>
      <c r="L846" s="4">
        <f>L845+K846</f>
        <v/>
      </c>
      <c r="M846" s="2" t="inlineStr">
        <is>
          <t>02017</t>
        </is>
      </c>
      <c r="N846" s="2" t="inlineStr">
        <is>
          <t>https://app.redstat.kz/niche/02017?event_date=2026-08-01</t>
        </is>
      </c>
      <c r="O846" s="2" t="inlineStr">
        <is>
          <t>https://kaspi.kz/shop/c/men%20swim%20briefs%20and%20shorts/</t>
        </is>
      </c>
    </row>
    <row r="847">
      <c r="A847" s="2" t="n">
        <v>846</v>
      </c>
      <c r="B847" s="2" t="inlineStr">
        <is>
          <t>Информационные стойки, холдеры, демосистемы</t>
        </is>
      </c>
      <c r="C847" s="2" t="inlineStr">
        <is>
          <t>Канцелярские товары</t>
        </is>
      </c>
      <c r="D847" s="2" t="inlineStr">
        <is>
          <t>Канцелярские товары → Торговые и рекламные принадлежности → Информационные стойки, холдеры, демосистемы</t>
        </is>
      </c>
      <c r="E847" s="3" t="n">
        <v>10706430</v>
      </c>
      <c r="F847" s="3" t="n">
        <v>1602</v>
      </c>
      <c r="G847" s="3">
        <f>IFERROR(E847/F847,0)</f>
        <v/>
      </c>
      <c r="H847" s="3" t="n">
        <v>234</v>
      </c>
      <c r="I847" s="2" t="n">
        <v>28</v>
      </c>
      <c r="J847" s="3">
        <f>IFERROR(E847/H847,0)</f>
        <v/>
      </c>
      <c r="K847" s="10">
        <f>E847/'По разделам'!$B$21</f>
        <v/>
      </c>
      <c r="L847" s="4">
        <f>L846+K847</f>
        <v/>
      </c>
      <c r="M847" s="2" t="inlineStr">
        <is>
          <t>05494</t>
        </is>
      </c>
      <c r="N847" s="2" t="inlineStr">
        <is>
          <t>https://app.redstat.kz/niche/05494?event_date=2026-08-01</t>
        </is>
      </c>
      <c r="O847" s="2" t="inlineStr">
        <is>
          <t>https://kaspi.kz/shop/c/business%20card%20holders%20and%20stands/</t>
        </is>
      </c>
    </row>
    <row r="848">
      <c r="A848" s="2" t="n">
        <v>847</v>
      </c>
      <c r="B848" s="2" t="inlineStr">
        <is>
          <t>Датчики для умного дома</t>
        </is>
      </c>
      <c r="C848" s="2" t="inlineStr">
        <is>
          <t>Товары для дома и дачи</t>
        </is>
      </c>
      <c r="D848" s="2" t="inlineStr">
        <is>
          <t>Товары для дома и дачи → Умный дом → Датчики для умного дома</t>
        </is>
      </c>
      <c r="E848" s="3" t="n">
        <v>10632010</v>
      </c>
      <c r="F848" s="3" t="n">
        <v>1090</v>
      </c>
      <c r="G848" s="3">
        <f>IFERROR(E848/F848,0)</f>
        <v/>
      </c>
      <c r="H848" s="3" t="n">
        <v>196</v>
      </c>
      <c r="I848" s="2" t="n">
        <v>40</v>
      </c>
      <c r="J848" s="3">
        <f>IFERROR(E848/H848,0)</f>
        <v/>
      </c>
      <c r="K848" s="10">
        <f>E848/'По разделам'!$B$21</f>
        <v/>
      </c>
      <c r="L848" s="4">
        <f>L847+K848</f>
        <v/>
      </c>
      <c r="M848" s="2" t="inlineStr">
        <is>
          <t>02354</t>
        </is>
      </c>
      <c r="N848" s="2" t="inlineStr">
        <is>
          <t>https://app.redstat.kz/niche/02354?event_date=2026-08-01</t>
        </is>
      </c>
      <c r="O848" s="2" t="inlineStr">
        <is>
          <t>https://kaspi.kz/shop/c/smart%20home%20sensors/</t>
        </is>
      </c>
    </row>
    <row r="849">
      <c r="A849" s="2" t="n">
        <v>848</v>
      </c>
      <c r="B849" s="2" t="inlineStr">
        <is>
          <t>Защитные накладки</t>
        </is>
      </c>
      <c r="C849" s="2" t="inlineStr">
        <is>
          <t>Автотовары</t>
        </is>
      </c>
      <c r="D849" s="2" t="inlineStr">
        <is>
          <t>Автотовары → Защита и внешний тюнинг → Защитные накладки</t>
        </is>
      </c>
      <c r="E849" s="3" t="n">
        <v>10617164</v>
      </c>
      <c r="F849" s="3" t="n">
        <v>1792</v>
      </c>
      <c r="G849" s="3">
        <f>IFERROR(E849/F849,0)</f>
        <v/>
      </c>
      <c r="H849" s="3" t="n">
        <v>337</v>
      </c>
      <c r="I849" s="2" t="n">
        <v>70</v>
      </c>
      <c r="J849" s="3">
        <f>IFERROR(E849/H849,0)</f>
        <v/>
      </c>
      <c r="K849" s="10">
        <f>E849/'По разделам'!$B$21</f>
        <v/>
      </c>
      <c r="L849" s="4">
        <f>L848+K849</f>
        <v/>
      </c>
      <c r="M849" s="2" t="inlineStr">
        <is>
          <t>01658</t>
        </is>
      </c>
      <c r="N849" s="2" t="inlineStr">
        <is>
          <t>https://app.redstat.kz/niche/01658?event_date=2026-08-01</t>
        </is>
      </c>
      <c r="O849" s="2" t="inlineStr">
        <is>
          <t>https://kaspi.kz/shop/c/car%20protective%20pads/</t>
        </is>
      </c>
    </row>
    <row r="850">
      <c r="A850" s="2" t="n">
        <v>849</v>
      </c>
      <c r="B850" s="2" t="inlineStr">
        <is>
          <t>Брелоки и чехлы для автосигнализаций</t>
        </is>
      </c>
      <c r="C850" s="2" t="inlineStr">
        <is>
          <t>Автотовары</t>
        </is>
      </c>
      <c r="D850" s="2" t="inlineStr">
        <is>
          <t>Автотовары → Автомобильные противоугонные устройства → Брелоки и чехлы для автосигнализаций</t>
        </is>
      </c>
      <c r="E850" s="3" t="n">
        <v>10555062</v>
      </c>
      <c r="F850" s="3" t="n">
        <v>3301</v>
      </c>
      <c r="G850" s="3">
        <f>IFERROR(E850/F850,0)</f>
        <v/>
      </c>
      <c r="H850" s="3" t="n">
        <v>395</v>
      </c>
      <c r="I850" s="2" t="n">
        <v>47</v>
      </c>
      <c r="J850" s="3">
        <f>IFERROR(E850/H850,0)</f>
        <v/>
      </c>
      <c r="K850" s="10">
        <f>E850/'По разделам'!$B$21</f>
        <v/>
      </c>
      <c r="L850" s="4">
        <f>L849+K850</f>
        <v/>
      </c>
      <c r="M850" s="2" t="inlineStr">
        <is>
          <t>05722</t>
        </is>
      </c>
      <c r="N850" s="2" t="inlineStr">
        <is>
          <t>https://app.redstat.kz/niche/05722?event_date=2026-08-01</t>
        </is>
      </c>
      <c r="O850" s="2" t="inlineStr">
        <is>
          <t>https://kaspi.kz/shop/c/key%20fobs%20and%20covers%20for%20car%20alarms/</t>
        </is>
      </c>
    </row>
    <row r="851">
      <c r="A851" s="2" t="n">
        <v>850</v>
      </c>
      <c r="B851" s="2" t="inlineStr">
        <is>
          <t>Скейтборды и лонгборды</t>
        </is>
      </c>
      <c r="C851" s="2" t="inlineStr">
        <is>
          <t>Спорт, туризм</t>
        </is>
      </c>
      <c r="D851" s="2" t="inlineStr">
        <is>
          <t>Спорт, туризм → Самокаты, гироскутеры, моноколеса → Скейтборды и лонгборды</t>
        </is>
      </c>
      <c r="E851" s="3" t="n">
        <v>10551864</v>
      </c>
      <c r="F851" s="3" t="n">
        <v>1120</v>
      </c>
      <c r="G851" s="3">
        <f>IFERROR(E851/F851,0)</f>
        <v/>
      </c>
      <c r="H851" s="3" t="n">
        <v>214</v>
      </c>
      <c r="I851" s="2" t="n">
        <v>41</v>
      </c>
      <c r="J851" s="3">
        <f>IFERROR(E851/H851,0)</f>
        <v/>
      </c>
      <c r="K851" s="10">
        <f>E851/'По разделам'!$B$21</f>
        <v/>
      </c>
      <c r="L851" s="4">
        <f>L850+K851</f>
        <v/>
      </c>
      <c r="M851" s="2" t="inlineStr">
        <is>
          <t>00939</t>
        </is>
      </c>
      <c r="N851" s="2" t="inlineStr">
        <is>
          <t>https://app.redstat.kz/niche/00939?event_date=2026-08-01</t>
        </is>
      </c>
      <c r="O851" s="2" t="inlineStr">
        <is>
          <t>https://kaspi.kz/shop/c/skateboards%20and%20longboards/</t>
        </is>
      </c>
    </row>
    <row r="852">
      <c r="A852" s="2" t="n">
        <v>851</v>
      </c>
      <c r="B852" s="2" t="inlineStr">
        <is>
          <t>Рихтовочный инструмент для кузовных работ</t>
        </is>
      </c>
      <c r="C852" s="2" t="inlineStr">
        <is>
          <t>Автотовары</t>
        </is>
      </c>
      <c r="D852" s="2" t="inlineStr">
        <is>
          <t>Автотовары → Автоинструменты → Рихтовочный инструмент для кузовных работ</t>
        </is>
      </c>
      <c r="E852" s="3" t="n">
        <v>10480383</v>
      </c>
      <c r="F852" s="3" t="n">
        <v>498</v>
      </c>
      <c r="G852" s="3">
        <f>IFERROR(E852/F852,0)</f>
        <v/>
      </c>
      <c r="H852" s="3" t="n">
        <v>118</v>
      </c>
      <c r="I852" s="2" t="n">
        <v>23</v>
      </c>
      <c r="J852" s="3">
        <f>IFERROR(E852/H852,0)</f>
        <v/>
      </c>
      <c r="K852" s="10">
        <f>E852/'По разделам'!$B$21</f>
        <v/>
      </c>
      <c r="L852" s="4">
        <f>L851+K852</f>
        <v/>
      </c>
      <c r="M852" s="2" t="inlineStr">
        <is>
          <t>05199</t>
        </is>
      </c>
      <c r="N852" s="2" t="inlineStr">
        <is>
          <t>https://app.redstat.kz/niche/05199?event_date=2026-08-01</t>
        </is>
      </c>
      <c r="O852" s="2" t="inlineStr">
        <is>
          <t>https://kaspi.kz/shop/c/bodywork%20straightening%20tool/</t>
        </is>
      </c>
    </row>
    <row r="853">
      <c r="A853" s="2" t="n">
        <v>852</v>
      </c>
      <c r="B853" s="2" t="inlineStr">
        <is>
          <t>Духовые</t>
        </is>
      </c>
      <c r="C853" s="2" t="inlineStr">
        <is>
          <t>Досуг, книги</t>
        </is>
      </c>
      <c r="D853" s="2" t="inlineStr">
        <is>
          <t>Досуг, книги → Музыкальные инструменты → Духовые → Духовые</t>
        </is>
      </c>
      <c r="E853" s="3" t="n">
        <v>10448325</v>
      </c>
      <c r="F853" s="3" t="n">
        <v>703</v>
      </c>
      <c r="G853" s="3">
        <f>IFERROR(E853/F853,0)</f>
        <v/>
      </c>
      <c r="H853" s="3" t="n">
        <v>131</v>
      </c>
      <c r="I853" s="2" t="n">
        <v>25</v>
      </c>
      <c r="J853" s="3">
        <f>IFERROR(E853/H853,0)</f>
        <v/>
      </c>
      <c r="K853" s="10">
        <f>E853/'По разделам'!$B$21</f>
        <v/>
      </c>
      <c r="L853" s="4">
        <f>L852+K853</f>
        <v/>
      </c>
      <c r="M853" s="2" t="inlineStr">
        <is>
          <t>qa50260eb460b169</t>
        </is>
      </c>
      <c r="N853" s="2" t="inlineStr">
        <is>
          <t>https://app.redstat.kz/niche/qa50260eb460b169?event_date=2026-08-01</t>
        </is>
      </c>
      <c r="O853" s="2" t="inlineStr"/>
    </row>
    <row r="854">
      <c r="A854" s="2" t="n">
        <v>853</v>
      </c>
      <c r="B854" s="2" t="inlineStr">
        <is>
          <t>Детская декоративная косметика</t>
        </is>
      </c>
      <c r="C854" s="2" t="inlineStr">
        <is>
          <t>Красота и здоровье</t>
        </is>
      </c>
      <c r="D854" s="2" t="inlineStr">
        <is>
          <t>Красота и здоровье → Декоративная косметика → Детская декоративная косметика</t>
        </is>
      </c>
      <c r="E854" s="3" t="n">
        <v>10423069</v>
      </c>
      <c r="F854" s="3" t="n">
        <v>2641</v>
      </c>
      <c r="G854" s="3">
        <f>IFERROR(E854/F854,0)</f>
        <v/>
      </c>
      <c r="H854" s="3" t="n">
        <v>266</v>
      </c>
      <c r="I854" s="2" t="n">
        <v>54</v>
      </c>
      <c r="J854" s="3">
        <f>IFERROR(E854/H854,0)</f>
        <v/>
      </c>
      <c r="K854" s="10">
        <f>E854/'По разделам'!$B$21</f>
        <v/>
      </c>
      <c r="L854" s="4">
        <f>L853+K854</f>
        <v/>
      </c>
      <c r="M854" s="2" t="inlineStr">
        <is>
          <t>02254</t>
        </is>
      </c>
      <c r="N854" s="2" t="inlineStr">
        <is>
          <t>https://app.redstat.kz/niche/02254?event_date=2026-08-01</t>
        </is>
      </c>
      <c r="O854" s="2" t="inlineStr">
        <is>
          <t>https://kaspi.kz/shop/c/children%20makeup/</t>
        </is>
      </c>
    </row>
    <row r="855">
      <c r="A855" s="2" t="n">
        <v>854</v>
      </c>
      <c r="B855" s="2" t="inlineStr">
        <is>
          <t>Встраиваемые светильники</t>
        </is>
      </c>
      <c r="C855" s="2" t="inlineStr">
        <is>
          <t>Товары для дома и дачи</t>
        </is>
      </c>
      <c r="D855" s="2" t="inlineStr">
        <is>
          <t>Товары для дома и дачи → Освещение → Встраиваемые светильники</t>
        </is>
      </c>
      <c r="E855" s="3" t="n">
        <v>10421757</v>
      </c>
      <c r="F855" s="3" t="n">
        <v>1281</v>
      </c>
      <c r="G855" s="3">
        <f>IFERROR(E855/F855,0)</f>
        <v/>
      </c>
      <c r="H855" s="3" t="n">
        <v>450</v>
      </c>
      <c r="I855" s="2" t="n">
        <v>80</v>
      </c>
      <c r="J855" s="3">
        <f>IFERROR(E855/H855,0)</f>
        <v/>
      </c>
      <c r="K855" s="10">
        <f>E855/'По разделам'!$B$21</f>
        <v/>
      </c>
      <c r="L855" s="4">
        <f>L854+K855</f>
        <v/>
      </c>
      <c r="M855" s="2" t="inlineStr">
        <is>
          <t>03718</t>
        </is>
      </c>
      <c r="N855" s="2" t="inlineStr">
        <is>
          <t>https://app.redstat.kz/niche/03718?event_date=2026-08-01</t>
        </is>
      </c>
      <c r="O855" s="2" t="inlineStr">
        <is>
          <t>https://kaspi.kz/shop/c/recessed%20luminaires/</t>
        </is>
      </c>
    </row>
    <row r="856">
      <c r="A856" s="2" t="n">
        <v>855</v>
      </c>
      <c r="B856" s="2" t="inlineStr">
        <is>
          <t>Комплекты постельного белья</t>
        </is>
      </c>
      <c r="C856" s="2" t="inlineStr">
        <is>
          <t>Товары для дома и дачи</t>
        </is>
      </c>
      <c r="D856" s="2" t="inlineStr">
        <is>
          <t>Товары для дома и дачи → Домашний текстиль → Постельное белье → Комплекты постельного белья</t>
        </is>
      </c>
      <c r="E856" s="3" t="n">
        <v>10368761</v>
      </c>
      <c r="F856" s="3" t="n">
        <v>1265</v>
      </c>
      <c r="G856" s="3">
        <f>IFERROR(E856/F856,0)</f>
        <v/>
      </c>
      <c r="H856" s="3" t="n">
        <v>600</v>
      </c>
      <c r="I856" s="2" t="n">
        <v>133</v>
      </c>
      <c r="J856" s="3">
        <f>IFERROR(E856/H856,0)</f>
        <v/>
      </c>
      <c r="K856" s="10">
        <f>E856/'По разделам'!$B$21</f>
        <v/>
      </c>
      <c r="L856" s="4">
        <f>L855+K856</f>
        <v/>
      </c>
      <c r="M856" s="2" t="inlineStr">
        <is>
          <t>00675</t>
        </is>
      </c>
      <c r="N856" s="2" t="inlineStr">
        <is>
          <t>https://app.redstat.kz/niche/00675?event_date=2026-08-01</t>
        </is>
      </c>
      <c r="O856" s="2" t="inlineStr">
        <is>
          <t>https://kaspi.kz/shop/c/bedding%20sets/</t>
        </is>
      </c>
    </row>
    <row r="857">
      <c r="A857" s="2" t="n">
        <v>856</v>
      </c>
      <c r="B857" s="2" t="inlineStr">
        <is>
          <t>Уход за шинами и дисками автомобилей</t>
        </is>
      </c>
      <c r="C857" s="2" t="inlineStr">
        <is>
          <t>Автотовары</t>
        </is>
      </c>
      <c r="D857" s="2" t="inlineStr">
        <is>
          <t>Автотовары → Автохимия и автокосметика → Уход за шинами и дисками автомобилей → Уход за шинами и дисками автомобилей</t>
        </is>
      </c>
      <c r="E857" s="3" t="n">
        <v>10306291</v>
      </c>
      <c r="F857" s="3" t="n">
        <v>4447</v>
      </c>
      <c r="G857" s="3">
        <f>IFERROR(E857/F857,0)</f>
        <v/>
      </c>
      <c r="H857" s="3" t="n">
        <v>226</v>
      </c>
      <c r="I857" s="2" t="n">
        <v>68</v>
      </c>
      <c r="J857" s="3">
        <f>IFERROR(E857/H857,0)</f>
        <v/>
      </c>
      <c r="K857" s="10">
        <f>E857/'По разделам'!$B$21</f>
        <v/>
      </c>
      <c r="L857" s="4">
        <f>L856+K857</f>
        <v/>
      </c>
      <c r="M857" s="2" t="inlineStr">
        <is>
          <t>q326f5dda5a3e959</t>
        </is>
      </c>
      <c r="N857" s="2" t="inlineStr">
        <is>
          <t>https://app.redstat.kz/niche/q326f5dda5a3e959?event_date=2026-08-01</t>
        </is>
      </c>
      <c r="O857" s="2" t="inlineStr"/>
    </row>
    <row r="858">
      <c r="A858" s="2" t="n">
        <v>857</v>
      </c>
      <c r="B858" s="2" t="inlineStr">
        <is>
          <t>Инкубаторы для яиц</t>
        </is>
      </c>
      <c r="C858" s="2" t="inlineStr">
        <is>
          <t>Товары для животных</t>
        </is>
      </c>
      <c r="D858" s="2" t="inlineStr">
        <is>
          <t>Товары для животных → Для сельскохозяйственных животных → Инкубаторы для яиц</t>
        </is>
      </c>
      <c r="E858" s="3" t="n">
        <v>10234005</v>
      </c>
      <c r="F858" s="3" t="n">
        <v>200</v>
      </c>
      <c r="G858" s="3">
        <f>IFERROR(E858/F858,0)</f>
        <v/>
      </c>
      <c r="H858" s="3" t="n">
        <v>81</v>
      </c>
      <c r="I858" s="2" t="n">
        <v>9</v>
      </c>
      <c r="J858" s="3">
        <f>IFERROR(E858/H858,0)</f>
        <v/>
      </c>
      <c r="K858" s="10">
        <f>E858/'По разделам'!$B$21</f>
        <v/>
      </c>
      <c r="L858" s="4">
        <f>L857+K858</f>
        <v/>
      </c>
      <c r="M858" s="2" t="inlineStr">
        <is>
          <t>03124</t>
        </is>
      </c>
      <c r="N858" s="2" t="inlineStr">
        <is>
          <t>https://app.redstat.kz/niche/03124?event_date=2026-08-01</t>
        </is>
      </c>
      <c r="O858" s="2" t="inlineStr">
        <is>
          <t>https://kaspi.kz/shop/c/egg%20incubators/</t>
        </is>
      </c>
    </row>
    <row r="859">
      <c r="A859" s="2" t="n">
        <v>858</v>
      </c>
      <c r="B859" s="2" t="inlineStr">
        <is>
          <t>Фитболы и медболы для занятий фитнесом</t>
        </is>
      </c>
      <c r="C859" s="2" t="inlineStr">
        <is>
          <t>Спорт, туризм</t>
        </is>
      </c>
      <c r="D859" s="2" t="inlineStr">
        <is>
          <t>Спорт, туризм → Товары для фитнеса → Фитболы и медболы для занятий фитнесом</t>
        </is>
      </c>
      <c r="E859" s="3" t="n">
        <v>10218438</v>
      </c>
      <c r="F859" s="3" t="n">
        <v>2792</v>
      </c>
      <c r="G859" s="3">
        <f>IFERROR(E859/F859,0)</f>
        <v/>
      </c>
      <c r="H859" s="3" t="n">
        <v>317</v>
      </c>
      <c r="I859" s="2" t="n">
        <v>60</v>
      </c>
      <c r="J859" s="3">
        <f>IFERROR(E859/H859,0)</f>
        <v/>
      </c>
      <c r="K859" s="10">
        <f>E859/'По разделам'!$B$21</f>
        <v/>
      </c>
      <c r="L859" s="4">
        <f>L858+K859</f>
        <v/>
      </c>
      <c r="M859" s="2" t="inlineStr">
        <is>
          <t>01096</t>
        </is>
      </c>
      <c r="N859" s="2" t="inlineStr">
        <is>
          <t>https://app.redstat.kz/niche/01096?event_date=2026-08-01</t>
        </is>
      </c>
      <c r="O859" s="2" t="inlineStr">
        <is>
          <t>https://kaspi.kz/shop/c/exercise%20and%20medicine%20balls/</t>
        </is>
      </c>
    </row>
    <row r="860">
      <c r="A860" s="2" t="n">
        <v>859</v>
      </c>
      <c r="B860" s="2" t="inlineStr">
        <is>
          <t>Радиотелефоны</t>
        </is>
      </c>
      <c r="C860" s="2" t="inlineStr">
        <is>
          <t>Телефоны и гаджеты</t>
        </is>
      </c>
      <c r="D860" s="2" t="inlineStr">
        <is>
          <t>Телефоны и гаджеты → Радиотелефоны</t>
        </is>
      </c>
      <c r="E860" s="3" t="n">
        <v>10164602</v>
      </c>
      <c r="F860" s="3" t="n">
        <v>460</v>
      </c>
      <c r="G860" s="3">
        <f>IFERROR(E860/F860,0)</f>
        <v/>
      </c>
      <c r="H860" s="3" t="n">
        <v>69</v>
      </c>
      <c r="I860" s="2" t="n">
        <v>8</v>
      </c>
      <c r="J860" s="3">
        <f>IFERROR(E860/H860,0)</f>
        <v/>
      </c>
      <c r="K860" s="10">
        <f>E860/'По разделам'!$B$21</f>
        <v/>
      </c>
      <c r="L860" s="4">
        <f>L859+K860</f>
        <v/>
      </c>
      <c r="M860" s="2" t="inlineStr">
        <is>
          <t>00138</t>
        </is>
      </c>
      <c r="N860" s="2" t="inlineStr">
        <is>
          <t>https://app.redstat.kz/niche/00138?event_date=2026-08-01</t>
        </is>
      </c>
      <c r="O860" s="2" t="inlineStr">
        <is>
          <t>https://kaspi.kz/shop/c/cordless%20telephones/</t>
        </is>
      </c>
    </row>
    <row r="861">
      <c r="A861" s="2" t="n">
        <v>860</v>
      </c>
      <c r="B861" s="2" t="inlineStr">
        <is>
          <t>Лотки для бумаг и архивные коробки</t>
        </is>
      </c>
      <c r="C861" s="2" t="inlineStr">
        <is>
          <t>Канцелярские товары</t>
        </is>
      </c>
      <c r="D861" s="2" t="inlineStr">
        <is>
          <t>Канцелярские товары → Офисные принадлежности → Лотки для бумаг и архивные коробки</t>
        </is>
      </c>
      <c r="E861" s="3" t="n">
        <v>10144625</v>
      </c>
      <c r="F861" s="3" t="n">
        <v>2626</v>
      </c>
      <c r="G861" s="3">
        <f>IFERROR(E861/F861,0)</f>
        <v/>
      </c>
      <c r="H861" s="3" t="n">
        <v>222</v>
      </c>
      <c r="I861" s="2" t="n">
        <v>38</v>
      </c>
      <c r="J861" s="3">
        <f>IFERROR(E861/H861,0)</f>
        <v/>
      </c>
      <c r="K861" s="10">
        <f>E861/'По разделам'!$B$21</f>
        <v/>
      </c>
      <c r="L861" s="4">
        <f>L860+K861</f>
        <v/>
      </c>
      <c r="M861" s="2" t="inlineStr">
        <is>
          <t>04269</t>
        </is>
      </c>
      <c r="N861" s="2" t="inlineStr">
        <is>
          <t>https://app.redstat.kz/niche/04269?event_date=2026-08-01</t>
        </is>
      </c>
      <c r="O861" s="2" t="inlineStr">
        <is>
          <t>https://kaspi.kz/shop/c/paper%20trays/</t>
        </is>
      </c>
    </row>
    <row r="862">
      <c r="A862" s="2" t="n">
        <v>861</v>
      </c>
      <c r="B862" s="2" t="inlineStr">
        <is>
          <t>Стенды и подъемники для двигателя</t>
        </is>
      </c>
      <c r="C862" s="2" t="inlineStr">
        <is>
          <t>Автотовары</t>
        </is>
      </c>
      <c r="D862" s="2" t="inlineStr">
        <is>
          <t>Автотовары → Автосервисное оборудование → Стенды и подъемники для двигателя</t>
        </is>
      </c>
      <c r="E862" s="3" t="n">
        <v>10123535</v>
      </c>
      <c r="F862" s="3" t="n">
        <v>103</v>
      </c>
      <c r="G862" s="3">
        <f>IFERROR(E862/F862,0)</f>
        <v/>
      </c>
      <c r="H862" s="3" t="n">
        <v>31</v>
      </c>
      <c r="I862" s="2" t="n">
        <v>13</v>
      </c>
      <c r="J862" s="3">
        <f>IFERROR(E862/H862,0)</f>
        <v/>
      </c>
      <c r="K862" s="10">
        <f>E862/'По разделам'!$B$21</f>
        <v/>
      </c>
      <c r="L862" s="4">
        <f>L861+K862</f>
        <v/>
      </c>
      <c r="M862" s="2" t="inlineStr">
        <is>
          <t>06967</t>
        </is>
      </c>
      <c r="N862" s="2" t="inlineStr">
        <is>
          <t>https://app.redstat.kz/niche/06967?event_date=2026-08-01</t>
        </is>
      </c>
      <c r="O862" s="2" t="inlineStr">
        <is>
          <t>https://kaspi.kz/shop/c/stands%20and%20lifts%20for%20the%20engine/</t>
        </is>
      </c>
    </row>
    <row r="863">
      <c r="A863" s="2" t="n">
        <v>862</v>
      </c>
      <c r="B863" s="2" t="inlineStr">
        <is>
          <t>Зубные нити</t>
        </is>
      </c>
      <c r="C863" s="2" t="inlineStr">
        <is>
          <t>Красота и здоровье</t>
        </is>
      </c>
      <c r="D863" s="2" t="inlineStr">
        <is>
          <t>Красота и здоровье → Уход за полостью рта → Зубные нити</t>
        </is>
      </c>
      <c r="E863" s="3" t="n">
        <v>10084993</v>
      </c>
      <c r="F863" s="3" t="n">
        <v>9955</v>
      </c>
      <c r="G863" s="3">
        <f>IFERROR(E863/F863,0)</f>
        <v/>
      </c>
      <c r="H863" s="3" t="n">
        <v>189</v>
      </c>
      <c r="I863" s="2" t="n">
        <v>62</v>
      </c>
      <c r="J863" s="3">
        <f>IFERROR(E863/H863,0)</f>
        <v/>
      </c>
      <c r="K863" s="10">
        <f>E863/'По разделам'!$B$21</f>
        <v/>
      </c>
      <c r="L863" s="4">
        <f>L862+K863</f>
        <v/>
      </c>
      <c r="M863" s="2" t="inlineStr">
        <is>
          <t>07018</t>
        </is>
      </c>
      <c r="N863" s="2" t="inlineStr">
        <is>
          <t>https://app.redstat.kz/niche/07018?event_date=2026-08-01</t>
        </is>
      </c>
      <c r="O863" s="2" t="inlineStr">
        <is>
          <t>https://kaspi.kz/shop/c/dental%20floss/</t>
        </is>
      </c>
    </row>
    <row r="864">
      <c r="A864" s="2" t="n">
        <v>863</v>
      </c>
      <c r="B864" s="2" t="inlineStr">
        <is>
          <t>Мини-принтеры</t>
        </is>
      </c>
      <c r="C864" s="2" t="inlineStr">
        <is>
          <t>Компьютеры</t>
        </is>
      </c>
      <c r="D864" s="2" t="inlineStr">
        <is>
          <t>Компьютеры → Оргтехника и расходные материалы → Мини-принтеры</t>
        </is>
      </c>
      <c r="E864" s="3" t="n">
        <v>9921479</v>
      </c>
      <c r="F864" s="3" t="n">
        <v>806</v>
      </c>
      <c r="G864" s="3">
        <f>IFERROR(E864/F864,0)</f>
        <v/>
      </c>
      <c r="H864" s="3" t="n">
        <v>59</v>
      </c>
      <c r="I864" s="2" t="n">
        <v>17</v>
      </c>
      <c r="J864" s="3">
        <f>IFERROR(E864/H864,0)</f>
        <v/>
      </c>
      <c r="K864" s="10">
        <f>E864/'По разделам'!$B$21</f>
        <v/>
      </c>
      <c r="L864" s="4">
        <f>L863+K864</f>
        <v/>
      </c>
      <c r="M864" s="2" t="inlineStr">
        <is>
          <t>06614</t>
        </is>
      </c>
      <c r="N864" s="2" t="inlineStr">
        <is>
          <t>https://app.redstat.kz/niche/06614?event_date=2026-08-01</t>
        </is>
      </c>
      <c r="O864" s="2" t="inlineStr">
        <is>
          <t>https://kaspi.kz/shop/c/mini%20printers/</t>
        </is>
      </c>
    </row>
    <row r="865">
      <c r="A865" s="2" t="n">
        <v>864</v>
      </c>
      <c r="B865" s="2" t="inlineStr">
        <is>
          <t>Чехлы для зарядных устройств и кабелей</t>
        </is>
      </c>
      <c r="C865" s="2" t="inlineStr">
        <is>
          <t>Телефоны и гаджеты</t>
        </is>
      </c>
      <c r="D865" s="2" t="inlineStr">
        <is>
          <t>Телефоны и гаджеты → Аксессуары для телефонов → Чехлы для зарядных устройств и кабелей</t>
        </is>
      </c>
      <c r="E865" s="3" t="n">
        <v>9856723</v>
      </c>
      <c r="F865" s="3" t="n">
        <v>14287</v>
      </c>
      <c r="G865" s="3">
        <f>IFERROR(E865/F865,0)</f>
        <v/>
      </c>
      <c r="H865" s="3" t="n">
        <v>413</v>
      </c>
      <c r="I865" s="2" t="n">
        <v>30</v>
      </c>
      <c r="J865" s="3">
        <f>IFERROR(E865/H865,0)</f>
        <v/>
      </c>
      <c r="K865" s="10">
        <f>E865/'По разделам'!$B$21</f>
        <v/>
      </c>
      <c r="L865" s="4">
        <f>L864+K865</f>
        <v/>
      </c>
      <c r="M865" s="2" t="inlineStr">
        <is>
          <t>06953</t>
        </is>
      </c>
      <c r="N865" s="2" t="inlineStr">
        <is>
          <t>https://app.redstat.kz/niche/06953?event_date=2026-08-01</t>
        </is>
      </c>
      <c r="O865" s="2" t="inlineStr">
        <is>
          <t>https://kaspi.kz/shop/c/cases%20for%20chargers%20and%20cables/</t>
        </is>
      </c>
    </row>
    <row r="866">
      <c r="A866" s="2" t="n">
        <v>865</v>
      </c>
      <c r="B866" s="2" t="inlineStr">
        <is>
          <t>Эзотерика</t>
        </is>
      </c>
      <c r="C866" s="2" t="inlineStr">
        <is>
          <t>Досуг, книги</t>
        </is>
      </c>
      <c r="D866" s="2" t="inlineStr">
        <is>
          <t>Досуг, книги → Книги → Эзотерика</t>
        </is>
      </c>
      <c r="E866" s="3" t="n">
        <v>9844021</v>
      </c>
      <c r="F866" s="3" t="n">
        <v>1707</v>
      </c>
      <c r="G866" s="3">
        <f>IFERROR(E866/F866,0)</f>
        <v/>
      </c>
      <c r="H866" s="3" t="n">
        <v>291</v>
      </c>
      <c r="I866" s="2" t="n">
        <v>27</v>
      </c>
      <c r="J866" s="3">
        <f>IFERROR(E866/H866,0)</f>
        <v/>
      </c>
      <c r="K866" s="10">
        <f>E866/'По разделам'!$B$21</f>
        <v/>
      </c>
      <c r="L866" s="4">
        <f>L865+K866</f>
        <v/>
      </c>
      <c r="M866" s="2" t="inlineStr">
        <is>
          <t>00720</t>
        </is>
      </c>
      <c r="N866" s="2" t="inlineStr">
        <is>
          <t>https://app.redstat.kz/niche/00720?event_date=2026-08-01</t>
        </is>
      </c>
      <c r="O866" s="2" t="inlineStr">
        <is>
          <t>https://kaspi.kz/shop/c/esoterics/</t>
        </is>
      </c>
    </row>
    <row r="867">
      <c r="A867" s="2" t="n">
        <v>866</v>
      </c>
      <c r="B867" s="2" t="inlineStr">
        <is>
          <t>Клейкая лента, клейкие пластины</t>
        </is>
      </c>
      <c r="C867" s="2" t="inlineStr">
        <is>
          <t>Канцелярские товары</t>
        </is>
      </c>
      <c r="D867" s="2" t="inlineStr">
        <is>
          <t>Канцелярские товары → Офисные принадлежности → Клейкая лента, клейкие пластины</t>
        </is>
      </c>
      <c r="E867" s="3" t="n">
        <v>9798667</v>
      </c>
      <c r="F867" s="3" t="n">
        <v>8681</v>
      </c>
      <c r="G867" s="3">
        <f>IFERROR(E867/F867,0)</f>
        <v/>
      </c>
      <c r="H867" s="3" t="n">
        <v>309</v>
      </c>
      <c r="I867" s="2" t="n">
        <v>56</v>
      </c>
      <c r="J867" s="3">
        <f>IFERROR(E867/H867,0)</f>
        <v/>
      </c>
      <c r="K867" s="10">
        <f>E867/'По разделам'!$B$21</f>
        <v/>
      </c>
      <c r="L867" s="4">
        <f>L866+K867</f>
        <v/>
      </c>
      <c r="M867" s="2" t="inlineStr">
        <is>
          <t>04265</t>
        </is>
      </c>
      <c r="N867" s="2" t="inlineStr">
        <is>
          <t>https://app.redstat.kz/niche/04265?event_date=2026-08-01</t>
        </is>
      </c>
      <c r="O867" s="2" t="inlineStr">
        <is>
          <t>https://kaspi.kz/shop/c/stationery%20tape/</t>
        </is>
      </c>
    </row>
    <row r="868">
      <c r="A868" s="2" t="n">
        <v>867</v>
      </c>
      <c r="B868" s="2" t="inlineStr">
        <is>
          <t>Ласты для плавания</t>
        </is>
      </c>
      <c r="C868" s="2" t="inlineStr">
        <is>
          <t>Спорт, туризм</t>
        </is>
      </c>
      <c r="D868" s="2" t="inlineStr">
        <is>
          <t>Спорт, туризм → Водный спорт → Ласты для плавания</t>
        </is>
      </c>
      <c r="E868" s="3" t="n">
        <v>9714745</v>
      </c>
      <c r="F868" s="3" t="n">
        <v>1127</v>
      </c>
      <c r="G868" s="3">
        <f>IFERROR(E868/F868,0)</f>
        <v/>
      </c>
      <c r="H868" s="3" t="n">
        <v>254</v>
      </c>
      <c r="I868" s="2" t="n">
        <v>38</v>
      </c>
      <c r="J868" s="3">
        <f>IFERROR(E868/H868,0)</f>
        <v/>
      </c>
      <c r="K868" s="10">
        <f>E868/'По разделам'!$B$21</f>
        <v/>
      </c>
      <c r="L868" s="4">
        <f>L867+K868</f>
        <v/>
      </c>
      <c r="M868" s="2" t="inlineStr">
        <is>
          <t>01151</t>
        </is>
      </c>
      <c r="N868" s="2" t="inlineStr">
        <is>
          <t>https://app.redstat.kz/niche/01151?event_date=2026-08-01</t>
        </is>
      </c>
      <c r="O868" s="2" t="inlineStr">
        <is>
          <t>https://kaspi.kz/shop/c/swim%20fins/</t>
        </is>
      </c>
    </row>
    <row r="869">
      <c r="A869" s="2" t="n">
        <v>868</v>
      </c>
      <c r="B869" s="2" t="inlineStr">
        <is>
          <t>Игрушки для кошек</t>
        </is>
      </c>
      <c r="C869" s="2" t="inlineStr">
        <is>
          <t>Товары для животных</t>
        </is>
      </c>
      <c r="D869" s="2" t="inlineStr">
        <is>
          <t>Товары для животных → Для кошек → Игрушки для кошек</t>
        </is>
      </c>
      <c r="E869" s="3" t="n">
        <v>9678600</v>
      </c>
      <c r="F869" s="3" t="n">
        <v>8315</v>
      </c>
      <c r="G869" s="3">
        <f>IFERROR(E869/F869,0)</f>
        <v/>
      </c>
      <c r="H869" s="3" t="n">
        <v>426</v>
      </c>
      <c r="I869" s="2" t="n">
        <v>94</v>
      </c>
      <c r="J869" s="3">
        <f>IFERROR(E869/H869,0)</f>
        <v/>
      </c>
      <c r="K869" s="10">
        <f>E869/'По разделам'!$B$21</f>
        <v/>
      </c>
      <c r="L869" s="4">
        <f>L868+K869</f>
        <v/>
      </c>
      <c r="M869" s="2" t="inlineStr">
        <is>
          <t>03742</t>
        </is>
      </c>
      <c r="N869" s="2" t="inlineStr">
        <is>
          <t>https://app.redstat.kz/niche/03742?event_date=2026-08-01</t>
        </is>
      </c>
      <c r="O869" s="2" t="inlineStr">
        <is>
          <t>https://kaspi.kz/shop/c/toys%20for%20cats/</t>
        </is>
      </c>
    </row>
    <row r="870">
      <c r="A870" s="2" t="n">
        <v>869</v>
      </c>
      <c r="B870" s="2" t="inlineStr">
        <is>
          <t>Ботинки для мальчиков</t>
        </is>
      </c>
      <c r="C870" s="2" t="inlineStr">
        <is>
          <t>Обувь</t>
        </is>
      </c>
      <c r="D870" s="2" t="inlineStr">
        <is>
          <t>Обувь → Обувь для мальчиков → Ботинки для мальчиков</t>
        </is>
      </c>
      <c r="E870" s="3" t="n">
        <v>9660765</v>
      </c>
      <c r="F870" s="3" t="n">
        <v>506</v>
      </c>
      <c r="G870" s="3">
        <f>IFERROR(E870/F870,0)</f>
        <v/>
      </c>
      <c r="H870" s="3" t="n">
        <v>322</v>
      </c>
      <c r="I870" s="2" t="n">
        <v>53</v>
      </c>
      <c r="J870" s="3">
        <f>IFERROR(E870/H870,0)</f>
        <v/>
      </c>
      <c r="K870" s="10">
        <f>E870/'По разделам'!$B$21</f>
        <v/>
      </c>
      <c r="L870" s="4">
        <f>L869+K870</f>
        <v/>
      </c>
      <c r="M870" s="2" t="inlineStr">
        <is>
          <t>01084</t>
        </is>
      </c>
      <c r="N870" s="2" t="inlineStr">
        <is>
          <t>https://app.redstat.kz/niche/01084?event_date=2026-08-01</t>
        </is>
      </c>
      <c r="O870" s="2" t="inlineStr">
        <is>
          <t>https://kaspi.kz/shop/c/boy%20boots/</t>
        </is>
      </c>
    </row>
    <row r="871">
      <c r="A871" s="2" t="n">
        <v>870</v>
      </c>
      <c r="B871" s="2" t="inlineStr">
        <is>
          <t>Книги, журналы учета, каталоги</t>
        </is>
      </c>
      <c r="C871" s="2" t="inlineStr">
        <is>
          <t>Канцелярские товары</t>
        </is>
      </c>
      <c r="D871" s="2" t="inlineStr">
        <is>
          <t>Канцелярские товары → Бумага и бумажная продукция → Книги, журналы учета, каталоги</t>
        </is>
      </c>
      <c r="E871" s="3" t="n">
        <v>9611352</v>
      </c>
      <c r="F871" s="3" t="n">
        <v>3881</v>
      </c>
      <c r="G871" s="3">
        <f>IFERROR(E871/F871,0)</f>
        <v/>
      </c>
      <c r="H871" s="3" t="n">
        <v>351</v>
      </c>
      <c r="I871" s="2" t="n">
        <v>25</v>
      </c>
      <c r="J871" s="3">
        <f>IFERROR(E871/H871,0)</f>
        <v/>
      </c>
      <c r="K871" s="10">
        <f>E871/'По разделам'!$B$21</f>
        <v/>
      </c>
      <c r="L871" s="4">
        <f>L870+K871</f>
        <v/>
      </c>
      <c r="M871" s="2" t="inlineStr">
        <is>
          <t>06086</t>
        </is>
      </c>
      <c r="N871" s="2" t="inlineStr">
        <is>
          <t>https://app.redstat.kz/niche/06086?event_date=2026-08-01</t>
        </is>
      </c>
      <c r="O871" s="2" t="inlineStr">
        <is>
          <t>https://kaspi.kz/shop/c/account%20books%20and%20journals/</t>
        </is>
      </c>
    </row>
    <row r="872">
      <c r="A872" s="2" t="n">
        <v>871</v>
      </c>
      <c r="B872" s="2" t="inlineStr">
        <is>
          <t>Инструменты для работы с кабелем</t>
        </is>
      </c>
      <c r="C872" s="2" t="inlineStr">
        <is>
          <t>Строительство, ремонт</t>
        </is>
      </c>
      <c r="D872" s="2" t="inlineStr">
        <is>
          <t>Строительство, ремонт → Электрика → Инструменты для работы с кабелем</t>
        </is>
      </c>
      <c r="E872" s="3" t="n">
        <v>9608105</v>
      </c>
      <c r="F872" s="3" t="n">
        <v>1108</v>
      </c>
      <c r="G872" s="3">
        <f>IFERROR(E872/F872,0)</f>
        <v/>
      </c>
      <c r="H872" s="3" t="n">
        <v>169</v>
      </c>
      <c r="I872" s="2" t="n">
        <v>51</v>
      </c>
      <c r="J872" s="3">
        <f>IFERROR(E872/H872,0)</f>
        <v/>
      </c>
      <c r="K872" s="10">
        <f>E872/'По разделам'!$B$21</f>
        <v/>
      </c>
      <c r="L872" s="4">
        <f>L871+K872</f>
        <v/>
      </c>
      <c r="M872" s="2" t="inlineStr">
        <is>
          <t>03476</t>
        </is>
      </c>
      <c r="N872" s="2" t="inlineStr">
        <is>
          <t>https://app.redstat.kz/niche/03476?event_date=2026-08-01</t>
        </is>
      </c>
      <c r="O872" s="2" t="inlineStr">
        <is>
          <t>https://kaspi.kz/shop/c/cable%20tools/</t>
        </is>
      </c>
    </row>
    <row r="873">
      <c r="A873" s="2" t="n">
        <v>872</v>
      </c>
      <c r="B873" s="2" t="inlineStr">
        <is>
          <t>Аксессуары для охоты и стрельбы</t>
        </is>
      </c>
      <c r="C873" s="2" t="inlineStr">
        <is>
          <t>Спорт, туризм</t>
        </is>
      </c>
      <c r="D873" s="2" t="inlineStr">
        <is>
          <t>Спорт, туризм → Товары для охоты и стрельбы → Аксессуары для охоты и стрельбы</t>
        </is>
      </c>
      <c r="E873" s="3" t="n">
        <v>9601124</v>
      </c>
      <c r="F873" s="3" t="n">
        <v>1115</v>
      </c>
      <c r="G873" s="3">
        <f>IFERROR(E873/F873,0)</f>
        <v/>
      </c>
      <c r="H873" s="3" t="n">
        <v>351</v>
      </c>
      <c r="I873" s="2" t="n">
        <v>76</v>
      </c>
      <c r="J873" s="3">
        <f>IFERROR(E873/H873,0)</f>
        <v/>
      </c>
      <c r="K873" s="10">
        <f>E873/'По разделам'!$B$21</f>
        <v/>
      </c>
      <c r="L873" s="4">
        <f>L872+K873</f>
        <v/>
      </c>
      <c r="M873" s="2" t="inlineStr">
        <is>
          <t>06207</t>
        </is>
      </c>
      <c r="N873" s="2" t="inlineStr">
        <is>
          <t>https://app.redstat.kz/niche/06207?event_date=2026-08-01</t>
        </is>
      </c>
      <c r="O873" s="2" t="inlineStr">
        <is>
          <t>https://kaspi.kz/shop/c/accessories%20for%20hunting%20and%20shooting/</t>
        </is>
      </c>
    </row>
    <row r="874">
      <c r="A874" s="2" t="n">
        <v>873</v>
      </c>
      <c r="B874" s="2" t="inlineStr">
        <is>
          <t>Отвертки</t>
        </is>
      </c>
      <c r="C874" s="2" t="inlineStr">
        <is>
          <t>Строительство, ремонт</t>
        </is>
      </c>
      <c r="D874" s="2" t="inlineStr">
        <is>
          <t>Строительство, ремонт → Ручные инструменты → Отвертки</t>
        </is>
      </c>
      <c r="E874" s="3" t="n">
        <v>9551606</v>
      </c>
      <c r="F874" s="3" t="n">
        <v>4265</v>
      </c>
      <c r="G874" s="3">
        <f>IFERROR(E874/F874,0)</f>
        <v/>
      </c>
      <c r="H874" s="3" t="n">
        <v>278</v>
      </c>
      <c r="I874" s="2" t="n">
        <v>85</v>
      </c>
      <c r="J874" s="3">
        <f>IFERROR(E874/H874,0)</f>
        <v/>
      </c>
      <c r="K874" s="10">
        <f>E874/'По разделам'!$B$21</f>
        <v/>
      </c>
      <c r="L874" s="4">
        <f>L873+K874</f>
        <v/>
      </c>
      <c r="M874" s="2" t="inlineStr">
        <is>
          <t>01632</t>
        </is>
      </c>
      <c r="N874" s="2" t="inlineStr">
        <is>
          <t>https://app.redstat.kz/niche/01632?event_date=2026-08-01</t>
        </is>
      </c>
      <c r="O874" s="2" t="inlineStr">
        <is>
          <t>https://kaspi.kz/shop/c/hand%20screwdrivers/</t>
        </is>
      </c>
    </row>
    <row r="875">
      <c r="A875" s="2" t="n">
        <v>874</v>
      </c>
      <c r="B875" s="2" t="inlineStr">
        <is>
          <t>Косметологические инструменты</t>
        </is>
      </c>
      <c r="C875" s="2" t="inlineStr">
        <is>
          <t>Красота и здоровье</t>
        </is>
      </c>
      <c r="D875" s="2" t="inlineStr">
        <is>
          <t>Красота и здоровье → Уход за лицом → Косметологические инструменты</t>
        </is>
      </c>
      <c r="E875" s="3" t="n">
        <v>9535924</v>
      </c>
      <c r="F875" s="3" t="n">
        <v>4746</v>
      </c>
      <c r="G875" s="3">
        <f>IFERROR(E875/F875,0)</f>
        <v/>
      </c>
      <c r="H875" s="3" t="n">
        <v>205</v>
      </c>
      <c r="I875" s="2" t="n">
        <v>74</v>
      </c>
      <c r="J875" s="3">
        <f>IFERROR(E875/H875,0)</f>
        <v/>
      </c>
      <c r="K875" s="10">
        <f>E875/'По разделам'!$B$21</f>
        <v/>
      </c>
      <c r="L875" s="4">
        <f>L874+K875</f>
        <v/>
      </c>
      <c r="M875" s="2" t="inlineStr">
        <is>
          <t>05931</t>
        </is>
      </c>
      <c r="N875" s="2" t="inlineStr">
        <is>
          <t>https://app.redstat.kz/niche/05931?event_date=2026-08-01</t>
        </is>
      </c>
      <c r="O875" s="2" t="inlineStr">
        <is>
          <t>https://kaspi.kz/shop/c/cosmetic%20tweezers/</t>
        </is>
      </c>
    </row>
    <row r="876">
      <c r="A876" s="2" t="n">
        <v>875</v>
      </c>
      <c r="B876" s="2" t="inlineStr">
        <is>
          <t>Гидрокостюмы</t>
        </is>
      </c>
      <c r="C876" s="2" t="inlineStr">
        <is>
          <t>Спорт, туризм</t>
        </is>
      </c>
      <c r="D876" s="2" t="inlineStr">
        <is>
          <t>Спорт, туризм → Водный спорт → Гидрокостюмы</t>
        </is>
      </c>
      <c r="E876" s="3" t="n">
        <v>9524080</v>
      </c>
      <c r="F876" s="3" t="n">
        <v>175</v>
      </c>
      <c r="G876" s="3">
        <f>IFERROR(E876/F876,0)</f>
        <v/>
      </c>
      <c r="H876" s="3" t="n">
        <v>117</v>
      </c>
      <c r="I876" s="2" t="n">
        <v>20</v>
      </c>
      <c r="J876" s="3">
        <f>IFERROR(E876/H876,0)</f>
        <v/>
      </c>
      <c r="K876" s="10">
        <f>E876/'По разделам'!$B$21</f>
        <v/>
      </c>
      <c r="L876" s="4">
        <f>L875+K876</f>
        <v/>
      </c>
      <c r="M876" s="2" t="inlineStr">
        <is>
          <t>01147</t>
        </is>
      </c>
      <c r="N876" s="2" t="inlineStr">
        <is>
          <t>https://app.redstat.kz/niche/01147?event_date=2026-08-01</t>
        </is>
      </c>
      <c r="O876" s="2" t="inlineStr">
        <is>
          <t>https://kaspi.kz/shop/c/diving%20suits/</t>
        </is>
      </c>
    </row>
    <row r="877">
      <c r="A877" s="2" t="n">
        <v>876</v>
      </c>
      <c r="B877" s="2" t="inlineStr">
        <is>
          <t>Дорожные аксессуары</t>
        </is>
      </c>
      <c r="C877" s="2" t="inlineStr">
        <is>
          <t>Аксессуары</t>
        </is>
      </c>
      <c r="D877" s="2" t="inlineStr">
        <is>
          <t>Аксессуары → Сумки, чемоданы, кошельки → Дорожные аксессуары</t>
        </is>
      </c>
      <c r="E877" s="3" t="n">
        <v>9495927</v>
      </c>
      <c r="F877" s="3" t="n">
        <v>3787</v>
      </c>
      <c r="G877" s="3">
        <f>IFERROR(E877/F877,0)</f>
        <v/>
      </c>
      <c r="H877" s="3" t="n">
        <v>202</v>
      </c>
      <c r="I877" s="2" t="n">
        <v>51</v>
      </c>
      <c r="J877" s="3">
        <f>IFERROR(E877/H877,0)</f>
        <v/>
      </c>
      <c r="K877" s="10">
        <f>E877/'По разделам'!$B$21</f>
        <v/>
      </c>
      <c r="L877" s="4">
        <f>L876+K877</f>
        <v/>
      </c>
      <c r="M877" s="2" t="inlineStr">
        <is>
          <t>03207</t>
        </is>
      </c>
      <c r="N877" s="2" t="inlineStr">
        <is>
          <t>https://app.redstat.kz/niche/03207?event_date=2026-08-01</t>
        </is>
      </c>
      <c r="O877" s="2" t="inlineStr">
        <is>
          <t>https://kaspi.kz/shop/c/travel%20accessories/</t>
        </is>
      </c>
    </row>
    <row r="878">
      <c r="A878" s="2" t="n">
        <v>877</v>
      </c>
      <c r="B878" s="2" t="inlineStr">
        <is>
          <t>Игровые столы</t>
        </is>
      </c>
      <c r="C878" s="2" t="inlineStr">
        <is>
          <t>Спорт, туризм</t>
        </is>
      </c>
      <c r="D878" s="2" t="inlineStr">
        <is>
          <t>Спорт, туризм → Активный вид отдыха → Игровые столы</t>
        </is>
      </c>
      <c r="E878" s="3" t="n">
        <v>9469387</v>
      </c>
      <c r="F878" s="3" t="n">
        <v>70</v>
      </c>
      <c r="G878" s="3">
        <f>IFERROR(E878/F878,0)</f>
        <v/>
      </c>
      <c r="H878" s="3" t="n">
        <v>30</v>
      </c>
      <c r="I878" s="2" t="n">
        <v>12</v>
      </c>
      <c r="J878" s="3">
        <f>IFERROR(E878/H878,0)</f>
        <v/>
      </c>
      <c r="K878" s="10">
        <f>E878/'По разделам'!$B$21</f>
        <v/>
      </c>
      <c r="L878" s="4">
        <f>L877+K878</f>
        <v/>
      </c>
      <c r="M878" s="2" t="inlineStr">
        <is>
          <t>01463</t>
        </is>
      </c>
      <c r="N878" s="2" t="inlineStr">
        <is>
          <t>https://app.redstat.kz/niche/01463?event_date=2026-08-01</t>
        </is>
      </c>
      <c r="O878" s="2" t="inlineStr">
        <is>
          <t>https://kaspi.kz/shop/c/table%20games/</t>
        </is>
      </c>
    </row>
    <row r="879">
      <c r="A879" s="2" t="n">
        <v>878</v>
      </c>
      <c r="B879" s="2" t="inlineStr">
        <is>
          <t>Брюки для девочек</t>
        </is>
      </c>
      <c r="C879" s="2" t="inlineStr">
        <is>
          <t>Одежда</t>
        </is>
      </c>
      <c r="D879" s="2" t="inlineStr">
        <is>
          <t>Одежда → Девочкам → Брюки для девочек</t>
        </is>
      </c>
      <c r="E879" s="3" t="n">
        <v>9467015</v>
      </c>
      <c r="F879" s="3" t="n">
        <v>2729</v>
      </c>
      <c r="G879" s="3">
        <f>IFERROR(E879/F879,0)</f>
        <v/>
      </c>
      <c r="H879" s="3" t="n">
        <v>782</v>
      </c>
      <c r="I879" s="2" t="n">
        <v>78</v>
      </c>
      <c r="J879" s="3">
        <f>IFERROR(E879/H879,0)</f>
        <v/>
      </c>
      <c r="K879" s="10">
        <f>E879/'По разделам'!$B$21</f>
        <v/>
      </c>
      <c r="L879" s="4">
        <f>L878+K879</f>
        <v/>
      </c>
      <c r="M879" s="2" t="inlineStr">
        <is>
          <t>01422</t>
        </is>
      </c>
      <c r="N879" s="2" t="inlineStr">
        <is>
          <t>https://app.redstat.kz/niche/01422?event_date=2026-08-01</t>
        </is>
      </c>
      <c r="O879" s="2" t="inlineStr">
        <is>
          <t>https://kaspi.kz/shop/c/girl%20pants/</t>
        </is>
      </c>
    </row>
    <row r="880">
      <c r="A880" s="2" t="n">
        <v>879</v>
      </c>
      <c r="B880" s="2" t="inlineStr">
        <is>
          <t>Детское пюре</t>
        </is>
      </c>
      <c r="C880" s="2" t="inlineStr">
        <is>
          <t>Детские товары</t>
        </is>
      </c>
      <c r="D880" s="2" t="inlineStr">
        <is>
          <t>Детские товары → Детское питание → Детское пюре</t>
        </is>
      </c>
      <c r="E880" s="3" t="n">
        <v>9434156</v>
      </c>
      <c r="F880" s="3" t="n">
        <v>5608</v>
      </c>
      <c r="G880" s="3">
        <f>IFERROR(E880/F880,0)</f>
        <v/>
      </c>
      <c r="H880" s="3" t="n">
        <v>389</v>
      </c>
      <c r="I880" s="2" t="n">
        <v>15</v>
      </c>
      <c r="J880" s="3">
        <f>IFERROR(E880/H880,0)</f>
        <v/>
      </c>
      <c r="K880" s="10">
        <f>E880/'По разделам'!$B$21</f>
        <v/>
      </c>
      <c r="L880" s="4">
        <f>L879+K880</f>
        <v/>
      </c>
      <c r="M880" s="2" t="inlineStr">
        <is>
          <t>00608</t>
        </is>
      </c>
      <c r="N880" s="2" t="inlineStr">
        <is>
          <t>https://app.redstat.kz/niche/00608?event_date=2026-08-01</t>
        </is>
      </c>
      <c r="O880" s="2" t="inlineStr">
        <is>
          <t>https://kaspi.kz/shop/c/baby%20meals/</t>
        </is>
      </c>
    </row>
    <row r="881">
      <c r="A881" s="2" t="n">
        <v>880</v>
      </c>
      <c r="B881" s="2" t="inlineStr">
        <is>
          <t>Инструмент для ремонта холодильного оборудования</t>
        </is>
      </c>
      <c r="C881" s="2" t="inlineStr">
        <is>
          <t>Строительство, ремонт</t>
        </is>
      </c>
      <c r="D881" s="2" t="inlineStr">
        <is>
          <t>Строительство, ремонт → Ручные инструменты → Инструмент для ремонта холодильного оборудования</t>
        </is>
      </c>
      <c r="E881" s="3" t="n">
        <v>9387802</v>
      </c>
      <c r="F881" s="3" t="n">
        <v>358</v>
      </c>
      <c r="G881" s="3">
        <f>IFERROR(E881/F881,0)</f>
        <v/>
      </c>
      <c r="H881" s="3" t="n">
        <v>100</v>
      </c>
      <c r="I881" s="2" t="n">
        <v>12</v>
      </c>
      <c r="J881" s="3">
        <f>IFERROR(E881/H881,0)</f>
        <v/>
      </c>
      <c r="K881" s="10">
        <f>E881/'По разделам'!$B$21</f>
        <v/>
      </c>
      <c r="L881" s="4">
        <f>L880+K881</f>
        <v/>
      </c>
      <c r="M881" s="2" t="inlineStr">
        <is>
          <t>05673</t>
        </is>
      </c>
      <c r="N881" s="2" t="inlineStr">
        <is>
          <t>https://app.redstat.kz/niche/05673?event_date=2026-08-01</t>
        </is>
      </c>
      <c r="O881" s="2" t="inlineStr">
        <is>
          <t>https://kaspi.kz/shop/c/refrigeration%20repair%20tool/</t>
        </is>
      </c>
    </row>
    <row r="882">
      <c r="A882" s="2" t="n">
        <v>881</v>
      </c>
      <c r="B882" s="2" t="inlineStr">
        <is>
          <t>Детское печенье, батончики, снеки</t>
        </is>
      </c>
      <c r="C882" s="2" t="inlineStr">
        <is>
          <t>Детские товары</t>
        </is>
      </c>
      <c r="D882" s="2" t="inlineStr">
        <is>
          <t>Детские товары → Детское питание → Детское печенье, батончики, снеки</t>
        </is>
      </c>
      <c r="E882" s="3" t="n">
        <v>9339367</v>
      </c>
      <c r="F882" s="3" t="n">
        <v>3371</v>
      </c>
      <c r="G882" s="3">
        <f>IFERROR(E882/F882,0)</f>
        <v/>
      </c>
      <c r="H882" s="3" t="n">
        <v>111</v>
      </c>
      <c r="I882" s="2" t="n">
        <v>18</v>
      </c>
      <c r="J882" s="3">
        <f>IFERROR(E882/H882,0)</f>
        <v/>
      </c>
      <c r="K882" s="10">
        <f>E882/'По разделам'!$B$21</f>
        <v/>
      </c>
      <c r="L882" s="4">
        <f>L881+K882</f>
        <v/>
      </c>
      <c r="M882" s="2" t="inlineStr">
        <is>
          <t>03304</t>
        </is>
      </c>
      <c r="N882" s="2" t="inlineStr">
        <is>
          <t>https://app.redstat.kz/niche/03304?event_date=2026-08-01</t>
        </is>
      </c>
      <c r="O882" s="2" t="inlineStr">
        <is>
          <t>https://kaspi.kz/shop/c/biscuit/</t>
        </is>
      </c>
    </row>
    <row r="883">
      <c r="A883" s="2" t="n">
        <v>882</v>
      </c>
      <c r="B883" s="2" t="inlineStr">
        <is>
          <t>Аксессуары для одежды</t>
        </is>
      </c>
      <c r="C883" s="2" t="inlineStr">
        <is>
          <t>Аксессуары</t>
        </is>
      </c>
      <c r="D883" s="2" t="inlineStr">
        <is>
          <t>Аксессуары → Аксессуары для одежды и обуви → Аксессуары для одежды</t>
        </is>
      </c>
      <c r="E883" s="3" t="n">
        <v>9301746</v>
      </c>
      <c r="F883" s="3" t="n">
        <v>7530</v>
      </c>
      <c r="G883" s="3">
        <f>IFERROR(E883/F883,0)</f>
        <v/>
      </c>
      <c r="H883" s="3" t="n">
        <v>386</v>
      </c>
      <c r="I883" s="2" t="n">
        <v>59</v>
      </c>
      <c r="J883" s="3">
        <f>IFERROR(E883/H883,0)</f>
        <v/>
      </c>
      <c r="K883" s="10">
        <f>E883/'По разделам'!$B$21</f>
        <v/>
      </c>
      <c r="L883" s="4">
        <f>L882+K883</f>
        <v/>
      </c>
      <c r="M883" s="2" t="inlineStr">
        <is>
          <t>03085</t>
        </is>
      </c>
      <c r="N883" s="2" t="inlineStr">
        <is>
          <t>https://app.redstat.kz/niche/03085?event_date=2026-08-01</t>
        </is>
      </c>
      <c r="O883" s="2" t="inlineStr">
        <is>
          <t>https://kaspi.kz/shop/c/workwear%20accessories/</t>
        </is>
      </c>
    </row>
    <row r="884">
      <c r="A884" s="2" t="n">
        <v>883</v>
      </c>
      <c r="B884" s="2" t="inlineStr">
        <is>
          <t>Наука и образование</t>
        </is>
      </c>
      <c r="C884" s="2" t="inlineStr">
        <is>
          <t>Досуг, книги</t>
        </is>
      </c>
      <c r="D884" s="2" t="inlineStr">
        <is>
          <t>Досуг, книги → Книги → Наука и образование</t>
        </is>
      </c>
      <c r="E884" s="3" t="n">
        <v>9276980</v>
      </c>
      <c r="F884" s="3" t="n">
        <v>1589</v>
      </c>
      <c r="G884" s="3">
        <f>IFERROR(E884/F884,0)</f>
        <v/>
      </c>
      <c r="H884" s="3" t="n">
        <v>391</v>
      </c>
      <c r="I884" s="2" t="n">
        <v>81</v>
      </c>
      <c r="J884" s="3">
        <f>IFERROR(E884/H884,0)</f>
        <v/>
      </c>
      <c r="K884" s="10">
        <f>E884/'По разделам'!$B$21</f>
        <v/>
      </c>
      <c r="L884" s="4">
        <f>L883+K884</f>
        <v/>
      </c>
      <c r="M884" s="2" t="inlineStr">
        <is>
          <t>00712</t>
        </is>
      </c>
      <c r="N884" s="2" t="inlineStr">
        <is>
          <t>https://app.redstat.kz/niche/00712?event_date=2026-08-01</t>
        </is>
      </c>
      <c r="O884" s="2" t="inlineStr">
        <is>
          <t>https://kaspi.kz/shop/c/science%20and%20education%20books/</t>
        </is>
      </c>
    </row>
    <row r="885">
      <c r="A885" s="2" t="n">
        <v>884</v>
      </c>
      <c r="B885" s="2" t="inlineStr">
        <is>
          <t>Ритуальные свечи</t>
        </is>
      </c>
      <c r="C885" s="2" t="inlineStr">
        <is>
          <t>Досуг, книги</t>
        </is>
      </c>
      <c r="D885" s="2" t="inlineStr">
        <is>
          <t>Досуг, книги → Гадания и эзотерика → Ритуальные свечи</t>
        </is>
      </c>
      <c r="E885" s="3" t="n">
        <v>9262893</v>
      </c>
      <c r="F885" s="3" t="n">
        <v>5440</v>
      </c>
      <c r="G885" s="3">
        <f>IFERROR(E885/F885,0)</f>
        <v/>
      </c>
      <c r="H885" s="3" t="n">
        <v>635</v>
      </c>
      <c r="I885" s="2" t="n">
        <v>23</v>
      </c>
      <c r="J885" s="3">
        <f>IFERROR(E885/H885,0)</f>
        <v/>
      </c>
      <c r="K885" s="10">
        <f>E885/'По разделам'!$B$21</f>
        <v/>
      </c>
      <c r="L885" s="4">
        <f>L884+K885</f>
        <v/>
      </c>
      <c r="M885" s="2" t="inlineStr">
        <is>
          <t>06306</t>
        </is>
      </c>
      <c r="N885" s="2" t="inlineStr">
        <is>
          <t>https://app.redstat.kz/niche/06306?event_date=2026-08-01</t>
        </is>
      </c>
      <c r="O885" s="2" t="inlineStr">
        <is>
          <t>https://kaspi.kz/shop/c/ritual%20candles/</t>
        </is>
      </c>
    </row>
    <row r="886">
      <c r="A886" s="2" t="n">
        <v>885</v>
      </c>
      <c r="B886" s="2" t="inlineStr">
        <is>
          <t>Прорезыватели</t>
        </is>
      </c>
      <c r="C886" s="2" t="inlineStr">
        <is>
          <t>Детские товары</t>
        </is>
      </c>
      <c r="D886" s="2" t="inlineStr">
        <is>
          <t>Детские товары → Для малыша и мамы → Прорезыватели</t>
        </is>
      </c>
      <c r="E886" s="3" t="n">
        <v>9244038</v>
      </c>
      <c r="F886" s="3" t="n">
        <v>6067</v>
      </c>
      <c r="G886" s="3">
        <f>IFERROR(E886/F886,0)</f>
        <v/>
      </c>
      <c r="H886" s="3" t="n">
        <v>401</v>
      </c>
      <c r="I886" s="2" t="n">
        <v>72</v>
      </c>
      <c r="J886" s="3">
        <f>IFERROR(E886/H886,0)</f>
        <v/>
      </c>
      <c r="K886" s="10">
        <f>E886/'По разделам'!$B$21</f>
        <v/>
      </c>
      <c r="L886" s="4">
        <f>L885+K886</f>
        <v/>
      </c>
      <c r="M886" s="2" t="inlineStr">
        <is>
          <t>03895</t>
        </is>
      </c>
      <c r="N886" s="2" t="inlineStr">
        <is>
          <t>https://app.redstat.kz/niche/03895?event_date=2026-08-01</t>
        </is>
      </c>
      <c r="O886" s="2" t="inlineStr">
        <is>
          <t>https://kaspi.kz/shop/c/teethers%20and%20food%20feeders/</t>
        </is>
      </c>
    </row>
    <row r="887">
      <c r="A887" s="2" t="n">
        <v>886</v>
      </c>
      <c r="B887" s="2" t="inlineStr">
        <is>
          <t>Толстовки для мальчиков</t>
        </is>
      </c>
      <c r="C887" s="2" t="inlineStr">
        <is>
          <t>Одежда</t>
        </is>
      </c>
      <c r="D887" s="2" t="inlineStr">
        <is>
          <t>Одежда → Мальчикам → Толстовки для мальчиков</t>
        </is>
      </c>
      <c r="E887" s="3" t="n">
        <v>9204531</v>
      </c>
      <c r="F887" s="3" t="n">
        <v>929</v>
      </c>
      <c r="G887" s="3">
        <f>IFERROR(E887/F887,0)</f>
        <v/>
      </c>
      <c r="H887" s="3" t="n">
        <v>359</v>
      </c>
      <c r="I887" s="2" t="n">
        <v>43</v>
      </c>
      <c r="J887" s="3">
        <f>IFERROR(E887/H887,0)</f>
        <v/>
      </c>
      <c r="K887" s="10">
        <f>E887/'По разделам'!$B$21</f>
        <v/>
      </c>
      <c r="L887" s="4">
        <f>L886+K887</f>
        <v/>
      </c>
      <c r="M887" s="2" t="inlineStr">
        <is>
          <t>01253</t>
        </is>
      </c>
      <c r="N887" s="2" t="inlineStr">
        <is>
          <t>https://app.redstat.kz/niche/01253?event_date=2026-08-01</t>
        </is>
      </c>
      <c r="O887" s="2" t="inlineStr">
        <is>
          <t>https://kaspi.kz/shop/c/boy%20hoodies/</t>
        </is>
      </c>
    </row>
    <row r="888">
      <c r="A888" s="2" t="n">
        <v>887</v>
      </c>
      <c r="B888" s="2" t="inlineStr">
        <is>
          <t>Ревизионные люки</t>
        </is>
      </c>
      <c r="C888" s="2" t="inlineStr">
        <is>
          <t>Строительство, ремонт</t>
        </is>
      </c>
      <c r="D888" s="2" t="inlineStr">
        <is>
          <t>Строительство, ремонт → Водоснабжение → Ревизионные люки</t>
        </is>
      </c>
      <c r="E888" s="3" t="n">
        <v>9152379</v>
      </c>
      <c r="F888" s="3" t="n">
        <v>440</v>
      </c>
      <c r="G888" s="3">
        <f>IFERROR(E888/F888,0)</f>
        <v/>
      </c>
      <c r="H888" s="3" t="n">
        <v>140</v>
      </c>
      <c r="I888" s="2" t="n">
        <v>13</v>
      </c>
      <c r="J888" s="3">
        <f>IFERROR(E888/H888,0)</f>
        <v/>
      </c>
      <c r="K888" s="10">
        <f>E888/'По разделам'!$B$21</f>
        <v/>
      </c>
      <c r="L888" s="4">
        <f>L887+K888</f>
        <v/>
      </c>
      <c r="M888" s="2" t="inlineStr">
        <is>
          <t>04166</t>
        </is>
      </c>
      <c r="N888" s="2" t="inlineStr">
        <is>
          <t>https://app.redstat.kz/niche/04166?event_date=2026-08-01</t>
        </is>
      </c>
      <c r="O888" s="2" t="inlineStr">
        <is>
          <t>https://kaspi.kz/shop/c/revision%20hatches/</t>
        </is>
      </c>
    </row>
    <row r="889">
      <c r="A889" s="2" t="n">
        <v>888</v>
      </c>
      <c r="B889" s="2" t="inlineStr">
        <is>
          <t>Гидроаккумуляторы, расширительные баки</t>
        </is>
      </c>
      <c r="C889" s="2" t="inlineStr">
        <is>
          <t>Строительство, ремонт</t>
        </is>
      </c>
      <c r="D889" s="2" t="inlineStr">
        <is>
          <t>Строительство, ремонт → Водоснабжение → Гидроаккумуляторы, расширительные баки</t>
        </is>
      </c>
      <c r="E889" s="3" t="n">
        <v>9099561</v>
      </c>
      <c r="F889" s="3" t="n">
        <v>242</v>
      </c>
      <c r="G889" s="3">
        <f>IFERROR(E889/F889,0)</f>
        <v/>
      </c>
      <c r="H889" s="3" t="n">
        <v>98</v>
      </c>
      <c r="I889" s="2" t="n">
        <v>35</v>
      </c>
      <c r="J889" s="3">
        <f>IFERROR(E889/H889,0)</f>
        <v/>
      </c>
      <c r="K889" s="10">
        <f>E889/'По разделам'!$B$21</f>
        <v/>
      </c>
      <c r="L889" s="4">
        <f>L888+K889</f>
        <v/>
      </c>
      <c r="M889" s="2" t="inlineStr">
        <is>
          <t>03628</t>
        </is>
      </c>
      <c r="N889" s="2" t="inlineStr">
        <is>
          <t>https://app.redstat.kz/niche/03628?event_date=2026-08-01</t>
        </is>
      </c>
      <c r="O889" s="2" t="inlineStr">
        <is>
          <t>https://kaspi.kz/shop/c/expansion%20tanks%20for%20heating/</t>
        </is>
      </c>
    </row>
    <row r="890">
      <c r="A890" s="2" t="n">
        <v>889</v>
      </c>
      <c r="B890" s="2" t="inlineStr">
        <is>
          <t>Женские намазники</t>
        </is>
      </c>
      <c r="C890" s="2" t="inlineStr">
        <is>
          <t>Одежда</t>
        </is>
      </c>
      <c r="D890" s="2" t="inlineStr">
        <is>
          <t>Одежда → Женщинам → Женские намазники</t>
        </is>
      </c>
      <c r="E890" s="3" t="n">
        <v>9002258</v>
      </c>
      <c r="F890" s="3" t="n">
        <v>1087</v>
      </c>
      <c r="G890" s="3">
        <f>IFERROR(E890/F890,0)</f>
        <v/>
      </c>
      <c r="H890" s="3" t="n">
        <v>295</v>
      </c>
      <c r="I890" s="2" t="n">
        <v>19</v>
      </c>
      <c r="J890" s="3">
        <f>IFERROR(E890/H890,0)</f>
        <v/>
      </c>
      <c r="K890" s="10">
        <f>E890/'По разделам'!$B$21</f>
        <v/>
      </c>
      <c r="L890" s="4">
        <f>L889+K890</f>
        <v/>
      </c>
      <c r="M890" s="2" t="inlineStr">
        <is>
          <t>07255</t>
        </is>
      </c>
      <c r="N890" s="2" t="inlineStr">
        <is>
          <t>https://app.redstat.kz/niche/07255?event_date=2026-08-01</t>
        </is>
      </c>
      <c r="O890" s="2" t="inlineStr">
        <is>
          <t>https://kaspi.kz/shop/c/women%20dresses%20for%20namaz/</t>
        </is>
      </c>
    </row>
    <row r="891">
      <c r="A891" s="2" t="n">
        <v>890</v>
      </c>
      <c r="B891" s="2" t="inlineStr">
        <is>
          <t>Ступичные проставки</t>
        </is>
      </c>
      <c r="C891" s="2" t="inlineStr">
        <is>
          <t>Автотовары</t>
        </is>
      </c>
      <c r="D891" s="2" t="inlineStr">
        <is>
          <t>Автотовары → Автоаксессуары → Ступичные проставки</t>
        </is>
      </c>
      <c r="E891" s="3" t="n">
        <v>8970418</v>
      </c>
      <c r="F891" s="3" t="n">
        <v>243</v>
      </c>
      <c r="G891" s="3">
        <f>IFERROR(E891/F891,0)</f>
        <v/>
      </c>
      <c r="H891" s="3" t="n">
        <v>152</v>
      </c>
      <c r="I891" s="2" t="n">
        <v>12</v>
      </c>
      <c r="J891" s="3">
        <f>IFERROR(E891/H891,0)</f>
        <v/>
      </c>
      <c r="K891" s="10">
        <f>E891/'По разделам'!$B$21</f>
        <v/>
      </c>
      <c r="L891" s="4">
        <f>L890+K891</f>
        <v/>
      </c>
      <c r="M891" s="2" t="inlineStr">
        <is>
          <t>05058</t>
        </is>
      </c>
      <c r="N891" s="2" t="inlineStr">
        <is>
          <t>https://app.redstat.kz/niche/05058?event_date=2026-08-01</t>
        </is>
      </c>
      <c r="O891" s="2" t="inlineStr">
        <is>
          <t>https://kaspi.kz/shop/c/hub%20spacers/</t>
        </is>
      </c>
    </row>
    <row r="892">
      <c r="A892" s="2" t="n">
        <v>891</v>
      </c>
      <c r="B892" s="2" t="inlineStr">
        <is>
          <t>Аксессуары для автосервисного оборудования</t>
        </is>
      </c>
      <c r="C892" s="2" t="inlineStr">
        <is>
          <t>Автотовары</t>
        </is>
      </c>
      <c r="D892" s="2" t="inlineStr">
        <is>
          <t>Автотовары → Автосервисное оборудование → Аксессуары для автосервисного оборудования</t>
        </is>
      </c>
      <c r="E892" s="3" t="n">
        <v>8967634</v>
      </c>
      <c r="F892" s="3" t="n">
        <v>82</v>
      </c>
      <c r="G892" s="3">
        <f>IFERROR(E892/F892,0)</f>
        <v/>
      </c>
      <c r="H892" s="3" t="n">
        <v>46</v>
      </c>
      <c r="I892" s="2" t="n">
        <v>18</v>
      </c>
      <c r="J892" s="3">
        <f>IFERROR(E892/H892,0)</f>
        <v/>
      </c>
      <c r="K892" s="10">
        <f>E892/'По разделам'!$B$21</f>
        <v/>
      </c>
      <c r="L892" s="4">
        <f>L891+K892</f>
        <v/>
      </c>
      <c r="M892" s="2" t="inlineStr">
        <is>
          <t>06794</t>
        </is>
      </c>
      <c r="N892" s="2" t="inlineStr">
        <is>
          <t>https://app.redstat.kz/niche/06794?event_date=2026-08-01</t>
        </is>
      </c>
      <c r="O892" s="2" t="inlineStr">
        <is>
          <t>https://kaspi.kz/shop/c/accessories%20for%20car%20service%20equipment/</t>
        </is>
      </c>
    </row>
    <row r="893">
      <c r="A893" s="2" t="n">
        <v>892</v>
      </c>
      <c r="B893" s="2" t="inlineStr">
        <is>
          <t>Шторы</t>
        </is>
      </c>
      <c r="C893" s="2" t="inlineStr">
        <is>
          <t>Товары для дома и дачи</t>
        </is>
      </c>
      <c r="D893" s="2" t="inlineStr">
        <is>
          <t>Товары для дома и дачи → Домашний текстиль → Шторы и карнизы → Шторы</t>
        </is>
      </c>
      <c r="E893" s="3" t="n">
        <v>8942176</v>
      </c>
      <c r="F893" s="3" t="n">
        <v>1094</v>
      </c>
      <c r="G893" s="3">
        <f>IFERROR(E893/F893,0)</f>
        <v/>
      </c>
      <c r="H893" s="3" t="n">
        <v>445</v>
      </c>
      <c r="I893" s="2" t="n">
        <v>81</v>
      </c>
      <c r="J893" s="3">
        <f>IFERROR(E893/H893,0)</f>
        <v/>
      </c>
      <c r="K893" s="10">
        <f>E893/'По разделам'!$B$21</f>
        <v/>
      </c>
      <c r="L893" s="4">
        <f>L892+K893</f>
        <v/>
      </c>
      <c r="M893" s="2" t="inlineStr">
        <is>
          <t>02575</t>
        </is>
      </c>
      <c r="N893" s="2" t="inlineStr">
        <is>
          <t>https://app.redstat.kz/niche/02575?event_date=2026-08-01</t>
        </is>
      </c>
      <c r="O893" s="2" t="inlineStr">
        <is>
          <t>https://kaspi.kz/shop/c/draperies%20and%20curtains/</t>
        </is>
      </c>
    </row>
    <row r="894">
      <c r="A894" s="2" t="n">
        <v>893</v>
      </c>
      <c r="B894" s="2" t="inlineStr">
        <is>
          <t>Аккумуляторы для телефонов</t>
        </is>
      </c>
      <c r="C894" s="2" t="inlineStr">
        <is>
          <t>Телефоны и гаджеты</t>
        </is>
      </c>
      <c r="D894" s="2" t="inlineStr">
        <is>
          <t>Телефоны и гаджеты → Аксессуары для телефонов → Аккумуляторы для телефонов</t>
        </is>
      </c>
      <c r="E894" s="3" t="n">
        <v>8904843</v>
      </c>
      <c r="F894" s="3" t="n">
        <v>1643</v>
      </c>
      <c r="G894" s="3">
        <f>IFERROR(E894/F894,0)</f>
        <v/>
      </c>
      <c r="H894" s="3" t="n">
        <v>555</v>
      </c>
      <c r="I894" s="2" t="n">
        <v>36</v>
      </c>
      <c r="J894" s="3">
        <f>IFERROR(E894/H894,0)</f>
        <v/>
      </c>
      <c r="K894" s="10">
        <f>E894/'По разделам'!$B$21</f>
        <v/>
      </c>
      <c r="L894" s="4">
        <f>L893+K894</f>
        <v/>
      </c>
      <c r="M894" s="2" t="inlineStr">
        <is>
          <t>01923</t>
        </is>
      </c>
      <c r="N894" s="2" t="inlineStr">
        <is>
          <t>https://app.redstat.kz/niche/01923?event_date=2026-08-01</t>
        </is>
      </c>
      <c r="O894" s="2" t="inlineStr">
        <is>
          <t>https://kaspi.kz/shop/c/cell%20phone%20batteries/</t>
        </is>
      </c>
    </row>
    <row r="895">
      <c r="A895" s="2" t="n">
        <v>894</v>
      </c>
      <c r="B895" s="2" t="inlineStr">
        <is>
          <t>Автомобильные колпаки</t>
        </is>
      </c>
      <c r="C895" s="2" t="inlineStr">
        <is>
          <t>Автотовары</t>
        </is>
      </c>
      <c r="D895" s="2" t="inlineStr">
        <is>
          <t>Автотовары → Автоаксессуары → Автомобильные колпаки</t>
        </is>
      </c>
      <c r="E895" s="3" t="n">
        <v>8881807</v>
      </c>
      <c r="F895" s="3" t="n">
        <v>502</v>
      </c>
      <c r="G895" s="3">
        <f>IFERROR(E895/F895,0)</f>
        <v/>
      </c>
      <c r="H895" s="3" t="n">
        <v>203</v>
      </c>
      <c r="I895" s="2" t="n">
        <v>34</v>
      </c>
      <c r="J895" s="3">
        <f>IFERROR(E895/H895,0)</f>
        <v/>
      </c>
      <c r="K895" s="10">
        <f>E895/'По разделам'!$B$21</f>
        <v/>
      </c>
      <c r="L895" s="4">
        <f>L894+K895</f>
        <v/>
      </c>
      <c r="M895" s="2" t="inlineStr">
        <is>
          <t>01516</t>
        </is>
      </c>
      <c r="N895" s="2" t="inlineStr">
        <is>
          <t>https://app.redstat.kz/niche/01516?event_date=2026-08-01</t>
        </is>
      </c>
      <c r="O895" s="2" t="inlineStr">
        <is>
          <t>https://kaspi.kz/shop/c/car%20wheel%20covers/</t>
        </is>
      </c>
    </row>
    <row r="896">
      <c r="A896" s="2" t="n">
        <v>895</v>
      </c>
      <c r="B896" s="2" t="inlineStr">
        <is>
          <t>Дезинфекция</t>
        </is>
      </c>
      <c r="C896" s="2" t="inlineStr">
        <is>
          <t>Красота и здоровье</t>
        </is>
      </c>
      <c r="D896" s="2" t="inlineStr">
        <is>
          <t>Красота и здоровье → Для маникюра и педикюра → Дезинфекция</t>
        </is>
      </c>
      <c r="E896" s="3" t="n">
        <v>8848620</v>
      </c>
      <c r="F896" s="3" t="n">
        <v>2071</v>
      </c>
      <c r="G896" s="3">
        <f>IFERROR(E896/F896,0)</f>
        <v/>
      </c>
      <c r="H896" s="3" t="n">
        <v>96</v>
      </c>
      <c r="I896" s="2" t="n">
        <v>27</v>
      </c>
      <c r="J896" s="3">
        <f>IFERROR(E896/H896,0)</f>
        <v/>
      </c>
      <c r="K896" s="10">
        <f>E896/'По разделам'!$B$21</f>
        <v/>
      </c>
      <c r="L896" s="4">
        <f>L895+K896</f>
        <v/>
      </c>
      <c r="M896" s="2" t="inlineStr">
        <is>
          <t>06570</t>
        </is>
      </c>
      <c r="N896" s="2" t="inlineStr">
        <is>
          <t>https://app.redstat.kz/niche/06570?event_date=2026-08-01</t>
        </is>
      </c>
      <c r="O896" s="2" t="inlineStr">
        <is>
          <t>https://kaspi.kz/shop/c/disinfection%20for%20manicure/</t>
        </is>
      </c>
    </row>
    <row r="897">
      <c r="A897" s="2" t="n">
        <v>896</v>
      </c>
      <c r="B897" s="2" t="inlineStr">
        <is>
          <t>Седла для лошади</t>
        </is>
      </c>
      <c r="C897" s="2" t="inlineStr">
        <is>
          <t>Спорт, туризм</t>
        </is>
      </c>
      <c r="D897" s="2" t="inlineStr">
        <is>
          <t>Спорт, туризм → Конный спорт → Седла для лошади</t>
        </is>
      </c>
      <c r="E897" s="3" t="n">
        <v>8827202</v>
      </c>
      <c r="F897" s="3" t="n">
        <v>374</v>
      </c>
      <c r="G897" s="3">
        <f>IFERROR(E897/F897,0)</f>
        <v/>
      </c>
      <c r="H897" s="3" t="n">
        <v>76</v>
      </c>
      <c r="I897" s="2" t="n">
        <v>7</v>
      </c>
      <c r="J897" s="3">
        <f>IFERROR(E897/H897,0)</f>
        <v/>
      </c>
      <c r="K897" s="10">
        <f>E897/'По разделам'!$B$21</f>
        <v/>
      </c>
      <c r="L897" s="4">
        <f>L896+K897</f>
        <v/>
      </c>
      <c r="M897" s="2" t="inlineStr">
        <is>
          <t>03235</t>
        </is>
      </c>
      <c r="N897" s="2" t="inlineStr">
        <is>
          <t>https://app.redstat.kz/niche/03235?event_date=2026-08-01</t>
        </is>
      </c>
      <c r="O897" s="2" t="inlineStr">
        <is>
          <t>https://kaspi.kz/shop/c/horse%20saddles/</t>
        </is>
      </c>
    </row>
    <row r="898">
      <c r="A898" s="2" t="n">
        <v>897</v>
      </c>
      <c r="B898" s="2" t="inlineStr">
        <is>
          <t>Комплектующие и аксессуары для спецтехники</t>
        </is>
      </c>
      <c r="C898" s="2" t="inlineStr">
        <is>
          <t>Автотовары</t>
        </is>
      </c>
      <c r="D898" s="2" t="inlineStr">
        <is>
          <t>Автотовары → Спецтехника → Комплектующие и аксессуары для спецтехники</t>
        </is>
      </c>
      <c r="E898" s="3" t="n">
        <v>8762712</v>
      </c>
      <c r="F898" s="3" t="n">
        <v>291</v>
      </c>
      <c r="G898" s="3">
        <f>IFERROR(E898/F898,0)</f>
        <v/>
      </c>
      <c r="H898" s="3" t="n">
        <v>115</v>
      </c>
      <c r="I898" s="2" t="n">
        <v>30</v>
      </c>
      <c r="J898" s="3">
        <f>IFERROR(E898/H898,0)</f>
        <v/>
      </c>
      <c r="K898" s="10">
        <f>E898/'По разделам'!$B$21</f>
        <v/>
      </c>
      <c r="L898" s="4">
        <f>L897+K898</f>
        <v/>
      </c>
      <c r="M898" s="2" t="inlineStr">
        <is>
          <t>05379</t>
        </is>
      </c>
      <c r="N898" s="2" t="inlineStr">
        <is>
          <t>https://app.redstat.kz/niche/05379?event_date=2026-08-01</t>
        </is>
      </c>
      <c r="O898" s="2" t="inlineStr">
        <is>
          <t>https://kaspi.kz/shop/c/components%20and%20accessories/</t>
        </is>
      </c>
    </row>
    <row r="899">
      <c r="A899" s="2" t="n">
        <v>898</v>
      </c>
      <c r="B899" s="2" t="inlineStr">
        <is>
          <t>Зимняя рыбалка</t>
        </is>
      </c>
      <c r="C899" s="2" t="inlineStr">
        <is>
          <t>Спорт, туризм</t>
        </is>
      </c>
      <c r="D899" s="2" t="inlineStr">
        <is>
          <t>Спорт, туризм → Товары для рыбалки → Зимняя рыбалка → Зимняя рыбалка</t>
        </is>
      </c>
      <c r="E899" s="3" t="n">
        <v>8736877</v>
      </c>
      <c r="F899" s="3" t="n">
        <v>224</v>
      </c>
      <c r="G899" s="3">
        <f>IFERROR(E899/F899,0)</f>
        <v/>
      </c>
      <c r="H899" s="3" t="n">
        <v>120</v>
      </c>
      <c r="I899" s="2" t="n">
        <v>32</v>
      </c>
      <c r="J899" s="3">
        <f>IFERROR(E899/H899,0)</f>
        <v/>
      </c>
      <c r="K899" s="10">
        <f>E899/'По разделам'!$B$21</f>
        <v/>
      </c>
      <c r="L899" s="4">
        <f>L898+K899</f>
        <v/>
      </c>
      <c r="M899" s="2" t="inlineStr">
        <is>
          <t>q8c4d5d26b983221</t>
        </is>
      </c>
      <c r="N899" s="2" t="inlineStr">
        <is>
          <t>https://app.redstat.kz/niche/q8c4d5d26b983221?event_date=2026-08-01</t>
        </is>
      </c>
      <c r="O899" s="2" t="inlineStr"/>
    </row>
    <row r="900">
      <c r="A900" s="2" t="n">
        <v>899</v>
      </c>
      <c r="B900" s="2" t="inlineStr">
        <is>
          <t>Антифризы</t>
        </is>
      </c>
      <c r="C900" s="2" t="inlineStr">
        <is>
          <t>Автотовары</t>
        </is>
      </c>
      <c r="D900" s="2" t="inlineStr">
        <is>
          <t>Автотовары → Масла и технические жидкости → Антифризы</t>
        </is>
      </c>
      <c r="E900" s="3" t="n">
        <v>8684073</v>
      </c>
      <c r="F900" s="3" t="n">
        <v>904</v>
      </c>
      <c r="G900" s="3">
        <f>IFERROR(E900/F900,0)</f>
        <v/>
      </c>
      <c r="H900" s="3" t="n">
        <v>169</v>
      </c>
      <c r="I900" s="2" t="n">
        <v>44</v>
      </c>
      <c r="J900" s="3">
        <f>IFERROR(E900/H900,0)</f>
        <v/>
      </c>
      <c r="K900" s="10">
        <f>E900/'По разделам'!$B$21</f>
        <v/>
      </c>
      <c r="L900" s="4">
        <f>L899+K900</f>
        <v/>
      </c>
      <c r="M900" s="2" t="inlineStr">
        <is>
          <t>01230</t>
        </is>
      </c>
      <c r="N900" s="2" t="inlineStr">
        <is>
          <t>https://app.redstat.kz/niche/01230?event_date=2026-08-01</t>
        </is>
      </c>
      <c r="O900" s="2" t="inlineStr">
        <is>
          <t>https://kaspi.kz/shop/c/antifreezes/</t>
        </is>
      </c>
    </row>
    <row r="901">
      <c r="A901" s="2" t="n">
        <v>900</v>
      </c>
      <c r="B901" s="2" t="inlineStr">
        <is>
          <t>Комплекты одежды для мальчиков</t>
        </is>
      </c>
      <c r="C901" s="2" t="inlineStr">
        <is>
          <t>Одежда</t>
        </is>
      </c>
      <c r="D901" s="2" t="inlineStr">
        <is>
          <t>Одежда → Мальчикам → Комплекты одежды для мальчиков</t>
        </is>
      </c>
      <c r="E901" s="3" t="n">
        <v>8659614</v>
      </c>
      <c r="F901" s="3" t="n">
        <v>1170</v>
      </c>
      <c r="G901" s="3">
        <f>IFERROR(E901/F901,0)</f>
        <v/>
      </c>
      <c r="H901" s="3" t="n">
        <v>464</v>
      </c>
      <c r="I901" s="2" t="n">
        <v>64</v>
      </c>
      <c r="J901" s="3">
        <f>IFERROR(E901/H901,0)</f>
        <v/>
      </c>
      <c r="K901" s="10">
        <f>E901/'По разделам'!$B$21</f>
        <v/>
      </c>
      <c r="L901" s="4">
        <f>L900+K901</f>
        <v/>
      </c>
      <c r="M901" s="2" t="inlineStr">
        <is>
          <t>01492</t>
        </is>
      </c>
      <c r="N901" s="2" t="inlineStr">
        <is>
          <t>https://app.redstat.kz/niche/01492?event_date=2026-08-01</t>
        </is>
      </c>
      <c r="O901" s="2" t="inlineStr">
        <is>
          <t>https://kaspi.kz/shop/c/boy%20clothing%20sets/</t>
        </is>
      </c>
    </row>
    <row r="902">
      <c r="A902" s="2" t="n">
        <v>901</v>
      </c>
      <c r="B902" s="2" t="inlineStr">
        <is>
          <t>Литература на иностранных языках</t>
        </is>
      </c>
      <c r="C902" s="2" t="inlineStr">
        <is>
          <t>Досуг, книги</t>
        </is>
      </c>
      <c r="D902" s="2" t="inlineStr">
        <is>
          <t>Досуг, книги → Книги → Литература на иностранных языках</t>
        </is>
      </c>
      <c r="E902" s="3" t="n">
        <v>8591333</v>
      </c>
      <c r="F902" s="3" t="n">
        <v>1619</v>
      </c>
      <c r="G902" s="3">
        <f>IFERROR(E902/F902,0)</f>
        <v/>
      </c>
      <c r="H902" s="3" t="n">
        <v>509</v>
      </c>
      <c r="I902" s="2" t="n">
        <v>119</v>
      </c>
      <c r="J902" s="3">
        <f>IFERROR(E902/H902,0)</f>
        <v/>
      </c>
      <c r="K902" s="10">
        <f>E902/'По разделам'!$B$21</f>
        <v/>
      </c>
      <c r="L902" s="4">
        <f>L901+K902</f>
        <v/>
      </c>
      <c r="M902" s="2" t="inlineStr">
        <is>
          <t>00721</t>
        </is>
      </c>
      <c r="N902" s="2" t="inlineStr">
        <is>
          <t>https://app.redstat.kz/niche/00721?event_date=2026-08-01</t>
        </is>
      </c>
      <c r="O902" s="2" t="inlineStr">
        <is>
          <t>https://kaspi.kz/shop/c/literature%20in%20foreign%20languages/</t>
        </is>
      </c>
    </row>
    <row r="903">
      <c r="A903" s="2" t="n">
        <v>902</v>
      </c>
      <c r="B903" s="2" t="inlineStr">
        <is>
          <t>Посуда и формы для выпечки и запекания</t>
        </is>
      </c>
      <c r="C903" s="2" t="inlineStr">
        <is>
          <t>Товары для дома и дачи</t>
        </is>
      </c>
      <c r="D903" s="2" t="inlineStr">
        <is>
          <t>Товары для дома и дачи → Посуда и принадлежности → Посуда для приготовления → Посуда и формы для выпечки и запекания</t>
        </is>
      </c>
      <c r="E903" s="3" t="n">
        <v>8538310</v>
      </c>
      <c r="F903" s="3" t="n">
        <v>1176</v>
      </c>
      <c r="G903" s="3">
        <f>IFERROR(E903/F903,0)</f>
        <v/>
      </c>
      <c r="H903" s="3" t="n">
        <v>537</v>
      </c>
      <c r="I903" s="2" t="n">
        <v>166</v>
      </c>
      <c r="J903" s="3">
        <f>IFERROR(E903/H903,0)</f>
        <v/>
      </c>
      <c r="K903" s="10">
        <f>E903/'По разделам'!$B$21</f>
        <v/>
      </c>
      <c r="L903" s="4">
        <f>L902+K903</f>
        <v/>
      </c>
      <c r="M903" s="2" t="inlineStr">
        <is>
          <t>04736</t>
        </is>
      </c>
      <c r="N903" s="2" t="inlineStr">
        <is>
          <t>https://app.redstat.kz/niche/04736?event_date=2026-08-01</t>
        </is>
      </c>
      <c r="O903" s="2" t="inlineStr">
        <is>
          <t>https://kaspi.kz/shop/c/bakery%20molds%20and%20baking%20pans/</t>
        </is>
      </c>
    </row>
    <row r="904">
      <c r="A904" s="2" t="n">
        <v>903</v>
      </c>
      <c r="B904" s="2" t="inlineStr">
        <is>
          <t>Кухонные столешницы</t>
        </is>
      </c>
      <c r="C904" s="2" t="inlineStr">
        <is>
          <t>Мебель</t>
        </is>
      </c>
      <c r="D904" s="2" t="inlineStr">
        <is>
          <t>Мебель → Кухня → Кухонные столешницы</t>
        </is>
      </c>
      <c r="E904" s="3" t="n">
        <v>8482176</v>
      </c>
      <c r="F904" s="3" t="n">
        <v>371</v>
      </c>
      <c r="G904" s="3">
        <f>IFERROR(E904/F904,0)</f>
        <v/>
      </c>
      <c r="H904" s="3" t="n">
        <v>139</v>
      </c>
      <c r="I904" s="2" t="n">
        <v>15</v>
      </c>
      <c r="J904" s="3">
        <f>IFERROR(E904/H904,0)</f>
        <v/>
      </c>
      <c r="K904" s="10">
        <f>E904/'По разделам'!$B$21</f>
        <v/>
      </c>
      <c r="L904" s="4">
        <f>L903+K904</f>
        <v/>
      </c>
      <c r="M904" s="2" t="inlineStr">
        <is>
          <t>01688</t>
        </is>
      </c>
      <c r="N904" s="2" t="inlineStr">
        <is>
          <t>https://app.redstat.kz/niche/01688?event_date=2026-08-01</t>
        </is>
      </c>
      <c r="O904" s="2" t="inlineStr">
        <is>
          <t>https://kaspi.kz/shop/c/kitchen%20countertops/</t>
        </is>
      </c>
    </row>
    <row r="905">
      <c r="A905" s="2" t="n">
        <v>904</v>
      </c>
      <c r="B905" s="2" t="inlineStr">
        <is>
          <t>3D Сканеры</t>
        </is>
      </c>
      <c r="C905" s="2" t="inlineStr">
        <is>
          <t>Компьютеры</t>
        </is>
      </c>
      <c r="D905" s="2" t="inlineStr">
        <is>
          <t>Компьютеры → Оргтехника и расходные материалы → 3D Сканеры</t>
        </is>
      </c>
      <c r="E905" s="3" t="n">
        <v>8383695</v>
      </c>
      <c r="F905" s="3" t="n">
        <v>23</v>
      </c>
      <c r="G905" s="3">
        <f>IFERROR(E905/F905,0)</f>
        <v/>
      </c>
      <c r="H905" s="3" t="n">
        <v>7</v>
      </c>
      <c r="I905" s="2" t="n">
        <v>2</v>
      </c>
      <c r="J905" s="3">
        <f>IFERROR(E905/H905,0)</f>
        <v/>
      </c>
      <c r="K905" s="10">
        <f>E905/'По разделам'!$B$21</f>
        <v/>
      </c>
      <c r="L905" s="4">
        <f>L904+K905</f>
        <v/>
      </c>
      <c r="M905" s="2" t="inlineStr">
        <is>
          <t>09033</t>
        </is>
      </c>
      <c r="N905" s="2" t="inlineStr">
        <is>
          <t>https://app.redstat.kz/niche/09033?event_date=2026-08-01</t>
        </is>
      </c>
      <c r="O905" s="2" t="inlineStr">
        <is>
          <t>https://kaspi.kz/shop/c/3d%20scanners/</t>
        </is>
      </c>
    </row>
    <row r="906">
      <c r="A906" s="2" t="n">
        <v>905</v>
      </c>
      <c r="B906" s="2" t="inlineStr">
        <is>
          <t>Женская треккинговая обувь</t>
        </is>
      </c>
      <c r="C906" s="2" t="inlineStr">
        <is>
          <t>Обувь</t>
        </is>
      </c>
      <c r="D906" s="2" t="inlineStr">
        <is>
          <t>Обувь → Женская обувь → Женская треккинговая обувь</t>
        </is>
      </c>
      <c r="E906" s="3" t="n">
        <v>8362793</v>
      </c>
      <c r="F906" s="3" t="n">
        <v>191</v>
      </c>
      <c r="G906" s="3">
        <f>IFERROR(E906/F906,0)</f>
        <v/>
      </c>
      <c r="H906" s="3" t="n">
        <v>150</v>
      </c>
      <c r="I906" s="2" t="n">
        <v>23</v>
      </c>
      <c r="J906" s="3">
        <f>IFERROR(E906/H906,0)</f>
        <v/>
      </c>
      <c r="K906" s="10">
        <f>E906/'По разделам'!$B$21</f>
        <v/>
      </c>
      <c r="L906" s="4">
        <f>L905+K906</f>
        <v/>
      </c>
      <c r="M906" s="2" t="inlineStr">
        <is>
          <t>01349</t>
        </is>
      </c>
      <c r="N906" s="2" t="inlineStr">
        <is>
          <t>https://app.redstat.kz/niche/01349?event_date=2026-08-01</t>
        </is>
      </c>
      <c r="O906" s="2" t="inlineStr">
        <is>
          <t>https://kaspi.kz/shop/c/women%20hiking%20shoes/</t>
        </is>
      </c>
    </row>
    <row r="907">
      <c r="A907" s="2" t="n">
        <v>906</v>
      </c>
      <c r="B907" s="2" t="inlineStr">
        <is>
          <t>Бижутерные четки</t>
        </is>
      </c>
      <c r="C907" s="2" t="inlineStr">
        <is>
          <t>Украшения</t>
        </is>
      </c>
      <c r="D907" s="2" t="inlineStr">
        <is>
          <t>Украшения → Четки → Бижутерные четки</t>
        </is>
      </c>
      <c r="E907" s="3" t="n">
        <v>8360002</v>
      </c>
      <c r="F907" s="3" t="n">
        <v>2148</v>
      </c>
      <c r="G907" s="3">
        <f>IFERROR(E907/F907,0)</f>
        <v/>
      </c>
      <c r="H907" s="3" t="n">
        <v>294</v>
      </c>
      <c r="I907" s="2" t="n">
        <v>37</v>
      </c>
      <c r="J907" s="3">
        <f>IFERROR(E907/H907,0)</f>
        <v/>
      </c>
      <c r="K907" s="10">
        <f>E907/'По разделам'!$B$21</f>
        <v/>
      </c>
      <c r="L907" s="4">
        <f>L906+K907</f>
        <v/>
      </c>
      <c r="M907" s="2" t="inlineStr">
        <is>
          <t>06342</t>
        </is>
      </c>
      <c r="N907" s="2" t="inlineStr">
        <is>
          <t>https://app.redstat.kz/niche/06342?event_date=2026-08-01</t>
        </is>
      </c>
      <c r="O907" s="2" t="inlineStr">
        <is>
          <t>https://kaspi.kz/shop/c/rosary/</t>
        </is>
      </c>
    </row>
    <row r="908">
      <c r="A908" s="2" t="n">
        <v>907</v>
      </c>
      <c r="B908" s="2" t="inlineStr">
        <is>
          <t>Сушилки для рук</t>
        </is>
      </c>
      <c r="C908" s="2" t="inlineStr">
        <is>
          <t>Строительство, ремонт</t>
        </is>
      </c>
      <c r="D908" s="2" t="inlineStr">
        <is>
          <t>Строительство, ремонт → Сантехника → Сушилки для рук</t>
        </is>
      </c>
      <c r="E908" s="3" t="n">
        <v>8328587</v>
      </c>
      <c r="F908" s="3" t="n">
        <v>124</v>
      </c>
      <c r="G908" s="3">
        <f>IFERROR(E908/F908,0)</f>
        <v/>
      </c>
      <c r="H908" s="3" t="n">
        <v>47</v>
      </c>
      <c r="I908" s="2" t="n">
        <v>19</v>
      </c>
      <c r="J908" s="3">
        <f>IFERROR(E908/H908,0)</f>
        <v/>
      </c>
      <c r="K908" s="10">
        <f>E908/'По разделам'!$B$21</f>
        <v/>
      </c>
      <c r="L908" s="4">
        <f>L907+K908</f>
        <v/>
      </c>
      <c r="M908" s="2" t="inlineStr">
        <is>
          <t>01439</t>
        </is>
      </c>
      <c r="N908" s="2" t="inlineStr">
        <is>
          <t>https://app.redstat.kz/niche/01439?event_date=2026-08-01</t>
        </is>
      </c>
      <c r="O908" s="2" t="inlineStr">
        <is>
          <t>https://kaspi.kz/shop/c/hand%20dryers/</t>
        </is>
      </c>
    </row>
    <row r="909">
      <c r="A909" s="2" t="n">
        <v>908</v>
      </c>
      <c r="B909" s="2" t="inlineStr">
        <is>
          <t>Гидромассажеры</t>
        </is>
      </c>
      <c r="C909" s="2" t="inlineStr">
        <is>
          <t>Красота и здоровье</t>
        </is>
      </c>
      <c r="D909" s="2" t="inlineStr">
        <is>
          <t>Красота и здоровье → Массажеры, массажные кресла, миостимуляторы → Гидромассажеры</t>
        </is>
      </c>
      <c r="E909" s="3" t="n">
        <v>8275439</v>
      </c>
      <c r="F909" s="3" t="n">
        <v>397</v>
      </c>
      <c r="G909" s="3">
        <f>IFERROR(E909/F909,0)</f>
        <v/>
      </c>
      <c r="H909" s="3" t="n">
        <v>48</v>
      </c>
      <c r="I909" s="2" t="n">
        <v>10</v>
      </c>
      <c r="J909" s="3">
        <f>IFERROR(E909/H909,0)</f>
        <v/>
      </c>
      <c r="K909" s="10">
        <f>E909/'По разделам'!$B$21</f>
        <v/>
      </c>
      <c r="L909" s="4">
        <f>L908+K909</f>
        <v/>
      </c>
      <c r="M909" s="2" t="inlineStr">
        <is>
          <t>00825</t>
        </is>
      </c>
      <c r="N909" s="2" t="inlineStr">
        <is>
          <t>https://app.redstat.kz/niche/00825?event_date=2026-08-01</t>
        </is>
      </c>
      <c r="O909" s="2" t="inlineStr">
        <is>
          <t>https://kaspi.kz/shop/c/hydrotherapy%20massagers/</t>
        </is>
      </c>
    </row>
    <row r="910">
      <c r="A910" s="2" t="n">
        <v>909</v>
      </c>
      <c r="B910" s="2" t="inlineStr">
        <is>
          <t>Зарядные устройства для смарт-часов и фитнес-браслетов</t>
        </is>
      </c>
      <c r="C910" s="2" t="inlineStr">
        <is>
          <t>Телефоны и гаджеты</t>
        </is>
      </c>
      <c r="D910" s="2" t="inlineStr">
        <is>
          <t>Телефоны и гаджеты → Аксессуары для смарт-часов и фитнесс браслетов → Зарядные устройства для смарт-часов и фитнес-браслетов</t>
        </is>
      </c>
      <c r="E910" s="3" t="n">
        <v>8274306</v>
      </c>
      <c r="F910" s="3" t="n">
        <v>2335</v>
      </c>
      <c r="G910" s="3">
        <f>IFERROR(E910/F910,0)</f>
        <v/>
      </c>
      <c r="H910" s="3" t="n">
        <v>129</v>
      </c>
      <c r="I910" s="2" t="n">
        <v>29</v>
      </c>
      <c r="J910" s="3">
        <f>IFERROR(E910/H910,0)</f>
        <v/>
      </c>
      <c r="K910" s="10">
        <f>E910/'По разделам'!$B$21</f>
        <v/>
      </c>
      <c r="L910" s="4">
        <f>L909+K910</f>
        <v/>
      </c>
      <c r="M910" s="2" t="inlineStr">
        <is>
          <t>04198</t>
        </is>
      </c>
      <c r="N910" s="2" t="inlineStr">
        <is>
          <t>https://app.redstat.kz/niche/04198?event_date=2026-08-01</t>
        </is>
      </c>
      <c r="O910" s="2" t="inlineStr">
        <is>
          <t>https://kaspi.kz/shop/c/chargers%20for%20smartwatches%20and%20fitness%20bracelets/</t>
        </is>
      </c>
    </row>
    <row r="911">
      <c r="A911" s="2" t="n">
        <v>910</v>
      </c>
      <c r="B911" s="2" t="inlineStr">
        <is>
          <t>Лямки и манжеты для тяги</t>
        </is>
      </c>
      <c r="C911" s="2" t="inlineStr">
        <is>
          <t>Спорт, туризм</t>
        </is>
      </c>
      <c r="D911" s="2" t="inlineStr">
        <is>
          <t>Спорт, туризм → Пауэрлифтинг → Лямки и манжеты для тяги</t>
        </is>
      </c>
      <c r="E911" s="3" t="n">
        <v>8237360</v>
      </c>
      <c r="F911" s="3" t="n">
        <v>2170</v>
      </c>
      <c r="G911" s="3">
        <f>IFERROR(E911/F911,0)</f>
        <v/>
      </c>
      <c r="H911" s="3" t="n">
        <v>179</v>
      </c>
      <c r="I911" s="2" t="n">
        <v>58</v>
      </c>
      <c r="J911" s="3">
        <f>IFERROR(E911/H911,0)</f>
        <v/>
      </c>
      <c r="K911" s="10">
        <f>E911/'По разделам'!$B$21</f>
        <v/>
      </c>
      <c r="L911" s="4">
        <f>L910+K911</f>
        <v/>
      </c>
      <c r="M911" s="2" t="inlineStr">
        <is>
          <t>04400</t>
        </is>
      </c>
      <c r="N911" s="2" t="inlineStr">
        <is>
          <t>https://app.redstat.kz/niche/04400?event_date=2026-08-01</t>
        </is>
      </c>
      <c r="O911" s="2" t="inlineStr">
        <is>
          <t>https://kaspi.kz/shop/c/weightlifting%20rods%20and%20cuffs/</t>
        </is>
      </c>
    </row>
    <row r="912">
      <c r="A912" s="2" t="n">
        <v>911</v>
      </c>
      <c r="B912" s="2" t="inlineStr">
        <is>
          <t>Хоккей</t>
        </is>
      </c>
      <c r="C912" s="2" t="inlineStr">
        <is>
          <t>Спорт, туризм</t>
        </is>
      </c>
      <c r="D912" s="2" t="inlineStr">
        <is>
          <t>Спорт, туризм → Зимний спорт → Хоккей → Хоккей</t>
        </is>
      </c>
      <c r="E912" s="3" t="n">
        <v>8198973</v>
      </c>
      <c r="F912" s="3" t="n">
        <v>476</v>
      </c>
      <c r="G912" s="3">
        <f>IFERROR(E912/F912,0)</f>
        <v/>
      </c>
      <c r="H912" s="3" t="n">
        <v>218</v>
      </c>
      <c r="I912" s="2" t="n">
        <v>32</v>
      </c>
      <c r="J912" s="3">
        <f>IFERROR(E912/H912,0)</f>
        <v/>
      </c>
      <c r="K912" s="10">
        <f>E912/'По разделам'!$B$21</f>
        <v/>
      </c>
      <c r="L912" s="4">
        <f>L911+K912</f>
        <v/>
      </c>
      <c r="M912" s="2" t="inlineStr">
        <is>
          <t>q8595242844f8668</t>
        </is>
      </c>
      <c r="N912" s="2" t="inlineStr">
        <is>
          <t>https://app.redstat.kz/niche/q8595242844f8668?event_date=2026-08-01</t>
        </is>
      </c>
      <c r="O912" s="2" t="inlineStr"/>
    </row>
    <row r="913">
      <c r="A913" s="2" t="n">
        <v>912</v>
      </c>
      <c r="B913" s="2" t="inlineStr">
        <is>
          <t>Сумки и чехлы для фото- и видеокамер</t>
        </is>
      </c>
      <c r="C913" s="2" t="inlineStr">
        <is>
          <t>ТВ, Аудио, Видео</t>
        </is>
      </c>
      <c r="D913" s="2" t="inlineStr">
        <is>
          <t>ТВ, Аудио, Видео → Фото- и видеокамеры → Сумки и чехлы для фото- и видеокамер</t>
        </is>
      </c>
      <c r="E913" s="3" t="n">
        <v>8136875</v>
      </c>
      <c r="F913" s="3" t="n">
        <v>986</v>
      </c>
      <c r="G913" s="3">
        <f>IFERROR(E913/F913,0)</f>
        <v/>
      </c>
      <c r="H913" s="3" t="n">
        <v>195</v>
      </c>
      <c r="I913" s="2" t="n">
        <v>33</v>
      </c>
      <c r="J913" s="3">
        <f>IFERROR(E913/H913,0)</f>
        <v/>
      </c>
      <c r="K913" s="10">
        <f>E913/'По разделам'!$B$21</f>
        <v/>
      </c>
      <c r="L913" s="4">
        <f>L912+K913</f>
        <v/>
      </c>
      <c r="M913" s="2" t="inlineStr">
        <is>
          <t>02271</t>
        </is>
      </c>
      <c r="N913" s="2" t="inlineStr">
        <is>
          <t>https://app.redstat.kz/niche/02271?event_date=2026-08-01</t>
        </is>
      </c>
      <c r="O913" s="2" t="inlineStr">
        <is>
          <t>https://kaspi.kz/shop/c/bags%20and%20cases%20for%20cameras%20and%20camcorders/</t>
        </is>
      </c>
    </row>
    <row r="914">
      <c r="A914" s="2" t="n">
        <v>913</v>
      </c>
      <c r="B914" s="2" t="inlineStr">
        <is>
          <t>Рубашки для мальчиков</t>
        </is>
      </c>
      <c r="C914" s="2" t="inlineStr">
        <is>
          <t>Одежда</t>
        </is>
      </c>
      <c r="D914" s="2" t="inlineStr">
        <is>
          <t>Одежда → Мальчикам → Рубашки для мальчиков</t>
        </is>
      </c>
      <c r="E914" s="3" t="n">
        <v>8111144</v>
      </c>
      <c r="F914" s="3" t="n">
        <v>1684</v>
      </c>
      <c r="G914" s="3">
        <f>IFERROR(E914/F914,0)</f>
        <v/>
      </c>
      <c r="H914" s="3" t="n">
        <v>395</v>
      </c>
      <c r="I914" s="2" t="n">
        <v>52</v>
      </c>
      <c r="J914" s="3">
        <f>IFERROR(E914/H914,0)</f>
        <v/>
      </c>
      <c r="K914" s="10">
        <f>E914/'По разделам'!$B$21</f>
        <v/>
      </c>
      <c r="L914" s="4">
        <f>L913+K914</f>
        <v/>
      </c>
      <c r="M914" s="2" t="inlineStr">
        <is>
          <t>01522</t>
        </is>
      </c>
      <c r="N914" s="2" t="inlineStr">
        <is>
          <t>https://app.redstat.kz/niche/01522?event_date=2026-08-01</t>
        </is>
      </c>
      <c r="O914" s="2" t="inlineStr">
        <is>
          <t>https://kaspi.kz/shop/c/boy%20shirts/</t>
        </is>
      </c>
    </row>
    <row r="915">
      <c r="A915" s="2" t="n">
        <v>914</v>
      </c>
      <c r="B915" s="2" t="inlineStr">
        <is>
          <t>Игры на свежем воздухе</t>
        </is>
      </c>
      <c r="C915" s="2" t="inlineStr">
        <is>
          <t>Детские товары</t>
        </is>
      </c>
      <c r="D915" s="2" t="inlineStr">
        <is>
          <t>Детские товары → Игрушки → Игры на свежем воздухе</t>
        </is>
      </c>
      <c r="E915" s="3" t="n">
        <v>8105678</v>
      </c>
      <c r="F915" s="3" t="n">
        <v>4405</v>
      </c>
      <c r="G915" s="3">
        <f>IFERROR(E915/F915,0)</f>
        <v/>
      </c>
      <c r="H915" s="3" t="n">
        <v>467</v>
      </c>
      <c r="I915" s="2" t="n">
        <v>96</v>
      </c>
      <c r="J915" s="3">
        <f>IFERROR(E915/H915,0)</f>
        <v/>
      </c>
      <c r="K915" s="10">
        <f>E915/'По разделам'!$B$21</f>
        <v/>
      </c>
      <c r="L915" s="4">
        <f>L914+K915</f>
        <v/>
      </c>
      <c r="M915" s="2" t="inlineStr">
        <is>
          <t>03268</t>
        </is>
      </c>
      <c r="N915" s="2" t="inlineStr">
        <is>
          <t>https://app.redstat.kz/niche/03268?event_date=2026-08-01</t>
        </is>
      </c>
      <c r="O915" s="2" t="inlineStr">
        <is>
          <t>https://kaspi.kz/shop/c/outdoor%20games/</t>
        </is>
      </c>
    </row>
    <row r="916">
      <c r="A916" s="2" t="n">
        <v>915</v>
      </c>
      <c r="B916" s="2" t="inlineStr">
        <is>
          <t>Накидки на панель приборов автомобиля</t>
        </is>
      </c>
      <c r="C916" s="2" t="inlineStr">
        <is>
          <t>Автотовары</t>
        </is>
      </c>
      <c r="D916" s="2" t="inlineStr">
        <is>
          <t>Автотовары → Автоаксессуары → Накидки на панель приборов автомобиля</t>
        </is>
      </c>
      <c r="E916" s="3" t="n">
        <v>8016947</v>
      </c>
      <c r="F916" s="3" t="n">
        <v>1825</v>
      </c>
      <c r="G916" s="3">
        <f>IFERROR(E916/F916,0)</f>
        <v/>
      </c>
      <c r="H916" s="3" t="n">
        <v>321</v>
      </c>
      <c r="I916" s="2" t="n">
        <v>30</v>
      </c>
      <c r="J916" s="3">
        <f>IFERROR(E916/H916,0)</f>
        <v/>
      </c>
      <c r="K916" s="10">
        <f>E916/'По разделам'!$B$21</f>
        <v/>
      </c>
      <c r="L916" s="4">
        <f>L915+K916</f>
        <v/>
      </c>
      <c r="M916" s="2" t="inlineStr">
        <is>
          <t>03710</t>
        </is>
      </c>
      <c r="N916" s="2" t="inlineStr">
        <is>
          <t>https://app.redstat.kz/niche/03710?event_date=2026-08-01</t>
        </is>
      </c>
      <c r="O916" s="2" t="inlineStr">
        <is>
          <t>https://kaspi.kz/shop/c/car%20dashboard%20covers/</t>
        </is>
      </c>
    </row>
    <row r="917">
      <c r="A917" s="2" t="n">
        <v>916</v>
      </c>
      <c r="B917" s="2" t="inlineStr">
        <is>
          <t>Волейбол</t>
        </is>
      </c>
      <c r="C917" s="2" t="inlineStr">
        <is>
          <t>Спорт, туризм</t>
        </is>
      </c>
      <c r="D917" s="2" t="inlineStr">
        <is>
          <t>Спорт, туризм → Командные виды спорта → Волейбол → Волейбол</t>
        </is>
      </c>
      <c r="E917" s="3" t="n">
        <v>8016099</v>
      </c>
      <c r="F917" s="3" t="n">
        <v>1518</v>
      </c>
      <c r="G917" s="3">
        <f>IFERROR(E917/F917,0)</f>
        <v/>
      </c>
      <c r="H917" s="3" t="n">
        <v>264</v>
      </c>
      <c r="I917" s="2" t="n">
        <v>10</v>
      </c>
      <c r="J917" s="3">
        <f>IFERROR(E917/H917,0)</f>
        <v/>
      </c>
      <c r="K917" s="10">
        <f>E917/'По разделам'!$B$21</f>
        <v/>
      </c>
      <c r="L917" s="4">
        <f>L916+K917</f>
        <v/>
      </c>
      <c r="M917" s="2" t="inlineStr">
        <is>
          <t>q165988b38f9bd67</t>
        </is>
      </c>
      <c r="N917" s="2" t="inlineStr">
        <is>
          <t>https://app.redstat.kz/niche/q165988b38f9bd67?event_date=2026-08-01</t>
        </is>
      </c>
      <c r="O917" s="2" t="inlineStr"/>
    </row>
    <row r="918">
      <c r="A918" s="2" t="n">
        <v>917</v>
      </c>
      <c r="B918" s="2" t="inlineStr">
        <is>
          <t>Аксессуары для раций и радиостанций</t>
        </is>
      </c>
      <c r="C918" s="2" t="inlineStr">
        <is>
          <t>Телефоны и гаджеты</t>
        </is>
      </c>
      <c r="D918" s="2" t="inlineStr">
        <is>
          <t>Телефоны и гаджеты → Гаджеты → Аксессуары для раций и радиостанций</t>
        </is>
      </c>
      <c r="E918" s="3" t="n">
        <v>8003835</v>
      </c>
      <c r="F918" s="3" t="n">
        <v>1800</v>
      </c>
      <c r="G918" s="3">
        <f>IFERROR(E918/F918,0)</f>
        <v/>
      </c>
      <c r="H918" s="3" t="n">
        <v>197</v>
      </c>
      <c r="I918" s="2" t="n">
        <v>28</v>
      </c>
      <c r="J918" s="3">
        <f>IFERROR(E918/H918,0)</f>
        <v/>
      </c>
      <c r="K918" s="10">
        <f>E918/'По разделам'!$B$21</f>
        <v/>
      </c>
      <c r="L918" s="4">
        <f>L917+K918</f>
        <v/>
      </c>
      <c r="M918" s="2" t="inlineStr">
        <is>
          <t>03832</t>
        </is>
      </c>
      <c r="N918" s="2" t="inlineStr">
        <is>
          <t>https://app.redstat.kz/niche/03832?event_date=2026-08-01</t>
        </is>
      </c>
      <c r="O918" s="2" t="inlineStr">
        <is>
          <t>https://kaspi.kz/shop/c/accessories%20for%20walkie-talkies%20and%20radio%20stations/</t>
        </is>
      </c>
    </row>
    <row r="919">
      <c r="A919" s="2" t="n">
        <v>918</v>
      </c>
      <c r="B919" s="2" t="inlineStr">
        <is>
          <t>Жидкости для нанесения и снятия покрытия</t>
        </is>
      </c>
      <c r="C919" s="2" t="inlineStr">
        <is>
          <t>Красота и здоровье</t>
        </is>
      </c>
      <c r="D919" s="2" t="inlineStr">
        <is>
          <t>Красота и здоровье → Для маникюра и педикюра → Жидкости для нанесения и снятия покрытия</t>
        </is>
      </c>
      <c r="E919" s="3" t="n">
        <v>7952591</v>
      </c>
      <c r="F919" s="3" t="n">
        <v>4456</v>
      </c>
      <c r="G919" s="3">
        <f>IFERROR(E919/F919,0)</f>
        <v/>
      </c>
      <c r="H919" s="3" t="n">
        <v>227</v>
      </c>
      <c r="I919" s="2" t="n">
        <v>69</v>
      </c>
      <c r="J919" s="3">
        <f>IFERROR(E919/H919,0)</f>
        <v/>
      </c>
      <c r="K919" s="10">
        <f>E919/'По разделам'!$B$21</f>
        <v/>
      </c>
      <c r="L919" s="4">
        <f>L918+K919</f>
        <v/>
      </c>
      <c r="M919" s="2" t="inlineStr">
        <is>
          <t>04360</t>
        </is>
      </c>
      <c r="N919" s="2" t="inlineStr">
        <is>
          <t>https://app.redstat.kz/niche/04360?event_date=2026-08-01</t>
        </is>
      </c>
      <c r="O919" s="2" t="inlineStr">
        <is>
          <t>https://kaspi.kz/shop/c/liquid%20nail%20polish%20remover/</t>
        </is>
      </c>
    </row>
    <row r="920">
      <c r="A920" s="2" t="n">
        <v>919</v>
      </c>
      <c r="B920" s="2" t="inlineStr">
        <is>
          <t>Проекционные экраны</t>
        </is>
      </c>
      <c r="C920" s="2" t="inlineStr">
        <is>
          <t>ТВ, Аудио, Видео</t>
        </is>
      </c>
      <c r="D920" s="2" t="inlineStr">
        <is>
          <t>ТВ, Аудио, Видео → Видеотехника → Проекционные экраны</t>
        </is>
      </c>
      <c r="E920" s="3" t="n">
        <v>7877922</v>
      </c>
      <c r="F920" s="3" t="n">
        <v>329</v>
      </c>
      <c r="G920" s="3">
        <f>IFERROR(E920/F920,0)</f>
        <v/>
      </c>
      <c r="H920" s="3" t="n">
        <v>69</v>
      </c>
      <c r="I920" s="2" t="n">
        <v>14</v>
      </c>
      <c r="J920" s="3">
        <f>IFERROR(E920/H920,0)</f>
        <v/>
      </c>
      <c r="K920" s="10">
        <f>E920/'По разделам'!$B$21</f>
        <v/>
      </c>
      <c r="L920" s="4">
        <f>L919+K920</f>
        <v/>
      </c>
      <c r="M920" s="2" t="inlineStr">
        <is>
          <t>01686</t>
        </is>
      </c>
      <c r="N920" s="2" t="inlineStr">
        <is>
          <t>https://app.redstat.kz/niche/01686?event_date=2026-08-01</t>
        </is>
      </c>
      <c r="O920" s="2" t="inlineStr">
        <is>
          <t>https://kaspi.kz/shop/c/projector%20screens/</t>
        </is>
      </c>
    </row>
    <row r="921">
      <c r="A921" s="2" t="n">
        <v>920</v>
      </c>
      <c r="B921" s="2" t="inlineStr">
        <is>
          <t>Зажимной инструмент</t>
        </is>
      </c>
      <c r="C921" s="2" t="inlineStr">
        <is>
          <t>Строительство, ремонт</t>
        </is>
      </c>
      <c r="D921" s="2" t="inlineStr">
        <is>
          <t>Строительство, ремонт → Ручные инструменты → Зажимной инструмент → Зажимной инструмент</t>
        </is>
      </c>
      <c r="E921" s="3" t="n">
        <v>7833750</v>
      </c>
      <c r="F921" s="3" t="n">
        <v>814</v>
      </c>
      <c r="G921" s="3">
        <f>IFERROR(E921/F921,0)</f>
        <v/>
      </c>
      <c r="H921" s="3" t="n">
        <v>173</v>
      </c>
      <c r="I921" s="2" t="n">
        <v>64</v>
      </c>
      <c r="J921" s="3">
        <f>IFERROR(E921/H921,0)</f>
        <v/>
      </c>
      <c r="K921" s="10">
        <f>E921/'По разделам'!$B$21</f>
        <v/>
      </c>
      <c r="L921" s="4">
        <f>L920+K921</f>
        <v/>
      </c>
      <c r="M921" s="2" t="inlineStr">
        <is>
          <t>q026a6db38fc4041</t>
        </is>
      </c>
      <c r="N921" s="2" t="inlineStr">
        <is>
          <t>https://app.redstat.kz/niche/q026a6db38fc4041?event_date=2026-08-01</t>
        </is>
      </c>
      <c r="O921" s="2" t="inlineStr"/>
    </row>
    <row r="922">
      <c r="A922" s="2" t="n">
        <v>921</v>
      </c>
      <c r="B922" s="2" t="inlineStr">
        <is>
          <t>Балансировочные тренажеры</t>
        </is>
      </c>
      <c r="C922" s="2" t="inlineStr">
        <is>
          <t>Спорт, туризм</t>
        </is>
      </c>
      <c r="D922" s="2" t="inlineStr">
        <is>
          <t>Спорт, туризм → Товары для фитнеса → Балансировочные тренажеры</t>
        </is>
      </c>
      <c r="E922" s="3" t="n">
        <v>7803453</v>
      </c>
      <c r="F922" s="3" t="n">
        <v>1483</v>
      </c>
      <c r="G922" s="3">
        <f>IFERROR(E922/F922,0)</f>
        <v/>
      </c>
      <c r="H922" s="3" t="n">
        <v>234</v>
      </c>
      <c r="I922" s="2" t="n">
        <v>55</v>
      </c>
      <c r="J922" s="3">
        <f>IFERROR(E922/H922,0)</f>
        <v/>
      </c>
      <c r="K922" s="10">
        <f>E922/'По разделам'!$B$21</f>
        <v/>
      </c>
      <c r="L922" s="4">
        <f>L921+K922</f>
        <v/>
      </c>
      <c r="M922" s="2" t="inlineStr">
        <is>
          <t>01097</t>
        </is>
      </c>
      <c r="N922" s="2" t="inlineStr">
        <is>
          <t>https://app.redstat.kz/niche/01097?event_date=2026-08-01</t>
        </is>
      </c>
      <c r="O922" s="2" t="inlineStr">
        <is>
          <t>https://kaspi.kz/shop/c/balance%20trainers/</t>
        </is>
      </c>
    </row>
    <row r="923">
      <c r="A923" s="2" t="n">
        <v>922</v>
      </c>
      <c r="B923" s="2" t="inlineStr">
        <is>
          <t>Счетчики и расходомеры</t>
        </is>
      </c>
      <c r="C923" s="2" t="inlineStr">
        <is>
          <t>Строительство, ремонт</t>
        </is>
      </c>
      <c r="D923" s="2" t="inlineStr">
        <is>
          <t>Строительство, ремонт → Системы отопления → Счетчики и расходомеры → Счетчики и расходомеры</t>
        </is>
      </c>
      <c r="E923" s="3" t="n">
        <v>7797361</v>
      </c>
      <c r="F923" s="3" t="n">
        <v>196</v>
      </c>
      <c r="G923" s="3">
        <f>IFERROR(E923/F923,0)</f>
        <v/>
      </c>
      <c r="H923" s="3" t="n">
        <v>43</v>
      </c>
      <c r="I923" s="2" t="n">
        <v>18</v>
      </c>
      <c r="J923" s="3">
        <f>IFERROR(E923/H923,0)</f>
        <v/>
      </c>
      <c r="K923" s="10">
        <f>E923/'По разделам'!$B$21</f>
        <v/>
      </c>
      <c r="L923" s="4">
        <f>L922+K923</f>
        <v/>
      </c>
      <c r="M923" s="2" t="inlineStr">
        <is>
          <t>q7fc492ae7dad2ad</t>
        </is>
      </c>
      <c r="N923" s="2" t="inlineStr">
        <is>
          <t>https://app.redstat.kz/niche/q7fc492ae7dad2ad?event_date=2026-08-01</t>
        </is>
      </c>
      <c r="O923" s="2" t="inlineStr"/>
    </row>
    <row r="924">
      <c r="A924" s="2" t="n">
        <v>923</v>
      </c>
      <c r="B924" s="2" t="inlineStr">
        <is>
          <t>Сухие шампуни для волос</t>
        </is>
      </c>
      <c r="C924" s="2" t="inlineStr">
        <is>
          <t>Красота и здоровье</t>
        </is>
      </c>
      <c r="D924" s="2" t="inlineStr">
        <is>
          <t>Красота и здоровье → Уход за волосами → Сухие шампуни для волос</t>
        </is>
      </c>
      <c r="E924" s="3" t="n">
        <v>7788056</v>
      </c>
      <c r="F924" s="3" t="n">
        <v>2628</v>
      </c>
      <c r="G924" s="3">
        <f>IFERROR(E924/F924,0)</f>
        <v/>
      </c>
      <c r="H924" s="3" t="n">
        <v>116</v>
      </c>
      <c r="I924" s="2" t="n">
        <v>48</v>
      </c>
      <c r="J924" s="3">
        <f>IFERROR(E924/H924,0)</f>
        <v/>
      </c>
      <c r="K924" s="10">
        <f>E924/'По разделам'!$B$21</f>
        <v/>
      </c>
      <c r="L924" s="4">
        <f>L923+K924</f>
        <v/>
      </c>
      <c r="M924" s="2" t="inlineStr">
        <is>
          <t>00690</t>
        </is>
      </c>
      <c r="N924" s="2" t="inlineStr">
        <is>
          <t>https://app.redstat.kz/niche/00690?event_date=2026-08-01</t>
        </is>
      </c>
      <c r="O924" s="2" t="inlineStr">
        <is>
          <t>https://kaspi.kz/shop/c/dry%20hair%20shampoos/</t>
        </is>
      </c>
    </row>
    <row r="925">
      <c r="A925" s="2" t="n">
        <v>924</v>
      </c>
      <c r="B925" s="2" t="inlineStr">
        <is>
          <t>Аксессуары для очков виртуальной реальности</t>
        </is>
      </c>
      <c r="C925" s="2" t="inlineStr">
        <is>
          <t>ТВ, Аудио, Видео</t>
        </is>
      </c>
      <c r="D925" s="2" t="inlineStr">
        <is>
          <t>ТВ, Аудио, Видео → Развлечения → Аксессуары для очков виртуальной реальности</t>
        </is>
      </c>
      <c r="E925" s="3" t="n">
        <v>7784368</v>
      </c>
      <c r="F925" s="3" t="n">
        <v>413</v>
      </c>
      <c r="G925" s="3">
        <f>IFERROR(E925/F925,0)</f>
        <v/>
      </c>
      <c r="H925" s="3" t="n">
        <v>68</v>
      </c>
      <c r="I925" s="2" t="n">
        <v>17</v>
      </c>
      <c r="J925" s="3">
        <f>IFERROR(E925/H925,0)</f>
        <v/>
      </c>
      <c r="K925" s="10">
        <f>E925/'По разделам'!$B$21</f>
        <v/>
      </c>
      <c r="L925" s="4">
        <f>L924+K925</f>
        <v/>
      </c>
      <c r="M925" s="2" t="inlineStr">
        <is>
          <t>04346</t>
        </is>
      </c>
      <c r="N925" s="2" t="inlineStr">
        <is>
          <t>https://app.redstat.kz/niche/04346?event_date=2026-08-01</t>
        </is>
      </c>
      <c r="O925" s="2" t="inlineStr">
        <is>
          <t>https://kaspi.kz/shop/c/virtual%20reality%20glasses%20accessories/</t>
        </is>
      </c>
    </row>
    <row r="926">
      <c r="A926" s="2" t="n">
        <v>925</v>
      </c>
      <c r="B926" s="2" t="inlineStr">
        <is>
          <t>Женская танцевальная обувь</t>
        </is>
      </c>
      <c r="C926" s="2" t="inlineStr">
        <is>
          <t>Обувь</t>
        </is>
      </c>
      <c r="D926" s="2" t="inlineStr">
        <is>
          <t>Обувь → Женская обувь → Женская танцевальная обувь</t>
        </is>
      </c>
      <c r="E926" s="3" t="n">
        <v>7758821</v>
      </c>
      <c r="F926" s="3" t="n">
        <v>706</v>
      </c>
      <c r="G926" s="3">
        <f>IFERROR(E926/F926,0)</f>
        <v/>
      </c>
      <c r="H926" s="3" t="n">
        <v>222</v>
      </c>
      <c r="I926" s="2" t="n">
        <v>18</v>
      </c>
      <c r="J926" s="3">
        <f>IFERROR(E926/H926,0)</f>
        <v/>
      </c>
      <c r="K926" s="10">
        <f>E926/'По разделам'!$B$21</f>
        <v/>
      </c>
      <c r="L926" s="4">
        <f>L925+K926</f>
        <v/>
      </c>
      <c r="M926" s="2" t="inlineStr">
        <is>
          <t>03079</t>
        </is>
      </c>
      <c r="N926" s="2" t="inlineStr">
        <is>
          <t>https://app.redstat.kz/niche/03079?event_date=2026-08-01</t>
        </is>
      </c>
      <c r="O926" s="2" t="inlineStr">
        <is>
          <t>https://kaspi.kz/shop/c/women%20dance%20shoes/</t>
        </is>
      </c>
    </row>
    <row r="927">
      <c r="A927" s="2" t="n">
        <v>926</v>
      </c>
      <c r="B927" s="2" t="inlineStr">
        <is>
          <t>Водоматы</t>
        </is>
      </c>
      <c r="C927" s="2" t="inlineStr">
        <is>
          <t>Бытовая техника</t>
        </is>
      </c>
      <c r="D927" s="2" t="inlineStr">
        <is>
          <t>Бытовая техника → Торговые автоматы → Водоматы</t>
        </is>
      </c>
      <c r="E927" s="3" t="n">
        <v>7714975</v>
      </c>
      <c r="F927" s="3" t="n">
        <v>6</v>
      </c>
      <c r="G927" s="3">
        <f>IFERROR(E927/F927,0)</f>
        <v/>
      </c>
      <c r="H927" s="3" t="n">
        <v>3</v>
      </c>
      <c r="I927" s="2" t="n">
        <v>3</v>
      </c>
      <c r="J927" s="3">
        <f>IFERROR(E927/H927,0)</f>
        <v/>
      </c>
      <c r="K927" s="10">
        <f>E927/'По разделам'!$B$21</f>
        <v/>
      </c>
      <c r="L927" s="4">
        <f>L926+K927</f>
        <v/>
      </c>
      <c r="M927" s="2" t="inlineStr">
        <is>
          <t>06936</t>
        </is>
      </c>
      <c r="N927" s="2" t="inlineStr">
        <is>
          <t>https://app.redstat.kz/niche/06936?event_date=2026-08-01</t>
        </is>
      </c>
      <c r="O927" s="2" t="inlineStr">
        <is>
          <t>https://kaspi.kz/shop/c/water%20filling%20machine/</t>
        </is>
      </c>
    </row>
    <row r="928">
      <c r="A928" s="2" t="n">
        <v>927</v>
      </c>
      <c r="B928" s="2" t="inlineStr">
        <is>
          <t>Мужская домашняя одежда</t>
        </is>
      </c>
      <c r="C928" s="2" t="inlineStr">
        <is>
          <t>Одежда</t>
        </is>
      </c>
      <c r="D928" s="2" t="inlineStr">
        <is>
          <t>Одежда → Мужчинам → Мужская домашняя одежда → Мужская домашняя одежда</t>
        </is>
      </c>
      <c r="E928" s="3" t="n">
        <v>7611545</v>
      </c>
      <c r="F928" s="3" t="n">
        <v>752</v>
      </c>
      <c r="G928" s="3">
        <f>IFERROR(E928/F928,0)</f>
        <v/>
      </c>
      <c r="H928" s="3" t="n">
        <v>343</v>
      </c>
      <c r="I928" s="2" t="n">
        <v>61</v>
      </c>
      <c r="J928" s="3">
        <f>IFERROR(E928/H928,0)</f>
        <v/>
      </c>
      <c r="K928" s="10">
        <f>E928/'По разделам'!$B$21</f>
        <v/>
      </c>
      <c r="L928" s="4">
        <f>L927+K928</f>
        <v/>
      </c>
      <c r="M928" s="2" t="inlineStr">
        <is>
          <t>qdd87813000efccc</t>
        </is>
      </c>
      <c r="N928" s="2" t="inlineStr">
        <is>
          <t>https://app.redstat.kz/niche/qdd87813000efccc?event_date=2026-08-01</t>
        </is>
      </c>
      <c r="O928" s="2" t="inlineStr"/>
    </row>
    <row r="929">
      <c r="A929" s="2" t="n">
        <v>928</v>
      </c>
      <c r="B929" s="2" t="inlineStr">
        <is>
          <t>Щитки</t>
        </is>
      </c>
      <c r="C929" s="2" t="inlineStr">
        <is>
          <t>Спорт, туризм</t>
        </is>
      </c>
      <c r="D929" s="2" t="inlineStr">
        <is>
          <t>Спорт, туризм → Спортивная защита и экипировка → Щитки</t>
        </is>
      </c>
      <c r="E929" s="3" t="n">
        <v>7544128</v>
      </c>
      <c r="F929" s="3" t="n">
        <v>1309</v>
      </c>
      <c r="G929" s="3">
        <f>IFERROR(E929/F929,0)</f>
        <v/>
      </c>
      <c r="H929" s="3" t="n">
        <v>347</v>
      </c>
      <c r="I929" s="2" t="n">
        <v>54</v>
      </c>
      <c r="J929" s="3">
        <f>IFERROR(E929/H929,0)</f>
        <v/>
      </c>
      <c r="K929" s="10">
        <f>E929/'По разделам'!$B$21</f>
        <v/>
      </c>
      <c r="L929" s="4">
        <f>L928+K929</f>
        <v/>
      </c>
      <c r="M929" s="2" t="inlineStr">
        <is>
          <t>01329</t>
        </is>
      </c>
      <c r="N929" s="2" t="inlineStr">
        <is>
          <t>https://app.redstat.kz/niche/01329?event_date=2026-08-01</t>
        </is>
      </c>
      <c r="O929" s="2" t="inlineStr">
        <is>
          <t>https://kaspi.kz/shop/c/shin%20guards/</t>
        </is>
      </c>
    </row>
    <row r="930">
      <c r="A930" s="2" t="n">
        <v>929</v>
      </c>
      <c r="B930" s="2" t="inlineStr">
        <is>
          <t>Товары для пчеловодства</t>
        </is>
      </c>
      <c r="C930" s="2" t="inlineStr">
        <is>
          <t>Товары для животных</t>
        </is>
      </c>
      <c r="D930" s="2" t="inlineStr">
        <is>
          <t>Товары для животных → Для сельскохозяйственных животных → Товары для пчеловодства → Товары для пчеловодства</t>
        </is>
      </c>
      <c r="E930" s="3" t="n">
        <v>7439398</v>
      </c>
      <c r="F930" s="3" t="n">
        <v>527</v>
      </c>
      <c r="G930" s="3">
        <f>IFERROR(E930/F930,0)</f>
        <v/>
      </c>
      <c r="H930" s="3" t="n">
        <v>83</v>
      </c>
      <c r="I930" s="2" t="n">
        <v>9</v>
      </c>
      <c r="J930" s="3">
        <f>IFERROR(E930/H930,0)</f>
        <v/>
      </c>
      <c r="K930" s="10">
        <f>E930/'По разделам'!$B$21</f>
        <v/>
      </c>
      <c r="L930" s="4">
        <f>L929+K930</f>
        <v/>
      </c>
      <c r="M930" s="2" t="inlineStr">
        <is>
          <t>q461b39f4019e21b</t>
        </is>
      </c>
      <c r="N930" s="2" t="inlineStr">
        <is>
          <t>https://app.redstat.kz/niche/q461b39f4019e21b?event_date=2026-08-01</t>
        </is>
      </c>
      <c r="O930" s="2" t="inlineStr"/>
    </row>
    <row r="931">
      <c r="A931" s="2" t="n">
        <v>930</v>
      </c>
      <c r="B931" s="2" t="inlineStr">
        <is>
          <t>Озонаторы</t>
        </is>
      </c>
      <c r="C931" s="2" t="inlineStr">
        <is>
          <t>Бытовая техника</t>
        </is>
      </c>
      <c r="D931" s="2" t="inlineStr">
        <is>
          <t>Бытовая техника → Климатическая техника → Озонаторы</t>
        </is>
      </c>
      <c r="E931" s="3" t="n">
        <v>7437223</v>
      </c>
      <c r="F931" s="3" t="n">
        <v>448</v>
      </c>
      <c r="G931" s="3">
        <f>IFERROR(E931/F931,0)</f>
        <v/>
      </c>
      <c r="H931" s="3" t="n">
        <v>46</v>
      </c>
      <c r="I931" s="2" t="n">
        <v>20</v>
      </c>
      <c r="J931" s="3">
        <f>IFERROR(E931/H931,0)</f>
        <v/>
      </c>
      <c r="K931" s="10">
        <f>E931/'По разделам'!$B$21</f>
        <v/>
      </c>
      <c r="L931" s="4">
        <f>L930+K931</f>
        <v/>
      </c>
      <c r="M931" s="2" t="inlineStr">
        <is>
          <t>05262</t>
        </is>
      </c>
      <c r="N931" s="2" t="inlineStr">
        <is>
          <t>https://app.redstat.kz/niche/05262?event_date=2026-08-01</t>
        </is>
      </c>
      <c r="O931" s="2" t="inlineStr">
        <is>
          <t>https://kaspi.kz/shop/c/ozonizers/</t>
        </is>
      </c>
    </row>
    <row r="932">
      <c r="A932" s="2" t="n">
        <v>931</v>
      </c>
      <c r="B932" s="2" t="inlineStr">
        <is>
          <t>Мужская домашняя обувь</t>
        </is>
      </c>
      <c r="C932" s="2" t="inlineStr">
        <is>
          <t>Обувь</t>
        </is>
      </c>
      <c r="D932" s="2" t="inlineStr">
        <is>
          <t>Обувь → Мужская обувь → Мужская домашняя обувь</t>
        </is>
      </c>
      <c r="E932" s="3" t="n">
        <v>7423219</v>
      </c>
      <c r="F932" s="3" t="n">
        <v>2215</v>
      </c>
      <c r="G932" s="3">
        <f>IFERROR(E932/F932,0)</f>
        <v/>
      </c>
      <c r="H932" s="3" t="n">
        <v>393</v>
      </c>
      <c r="I932" s="2" t="n">
        <v>38</v>
      </c>
      <c r="J932" s="3">
        <f>IFERROR(E932/H932,0)</f>
        <v/>
      </c>
      <c r="K932" s="10">
        <f>E932/'По разделам'!$B$21</f>
        <v/>
      </c>
      <c r="L932" s="4">
        <f>L931+K932</f>
        <v/>
      </c>
      <c r="M932" s="2" t="inlineStr">
        <is>
          <t>01286</t>
        </is>
      </c>
      <c r="N932" s="2" t="inlineStr">
        <is>
          <t>https://app.redstat.kz/niche/01286?event_date=2026-08-01</t>
        </is>
      </c>
      <c r="O932" s="2" t="inlineStr">
        <is>
          <t>https://kaspi.kz/shop/c/men%20fashion%20slippers/</t>
        </is>
      </c>
    </row>
    <row r="933">
      <c r="A933" s="2" t="n">
        <v>932</v>
      </c>
      <c r="B933" s="2" t="inlineStr">
        <is>
          <t>Ски-пассы</t>
        </is>
      </c>
      <c r="C933" s="2" t="inlineStr">
        <is>
          <t>Спорт, туризм</t>
        </is>
      </c>
      <c r="D933" s="2" t="inlineStr">
        <is>
          <t>Спорт, туризм → Зимний спорт → Ски-пассы</t>
        </is>
      </c>
      <c r="E933" s="3" t="n">
        <v>7410000</v>
      </c>
      <c r="F933" s="3" t="n">
        <v>11</v>
      </c>
      <c r="G933" s="3">
        <f>IFERROR(E933/F933,0)</f>
        <v/>
      </c>
      <c r="H933" s="3" t="n">
        <v>1</v>
      </c>
      <c r="I933" s="2" t="n">
        <v>1</v>
      </c>
      <c r="J933" s="3">
        <f>IFERROR(E933/H933,0)</f>
        <v/>
      </c>
      <c r="K933" s="10">
        <f>E933/'По разделам'!$B$21</f>
        <v/>
      </c>
      <c r="L933" s="4">
        <f>L932+K933</f>
        <v/>
      </c>
      <c r="M933" s="2" t="inlineStr">
        <is>
          <t>07106</t>
        </is>
      </c>
      <c r="N933" s="2" t="inlineStr">
        <is>
          <t>https://app.redstat.kz/niche/07106?event_date=2026-08-01</t>
        </is>
      </c>
      <c r="O933" s="2" t="inlineStr">
        <is>
          <t>https://kaspi.kz/shop/c/ski%20pass/</t>
        </is>
      </c>
    </row>
    <row r="934">
      <c r="A934" s="2" t="n">
        <v>933</v>
      </c>
      <c r="B934" s="2" t="inlineStr">
        <is>
          <t>Домашняя одежда для девочек</t>
        </is>
      </c>
      <c r="C934" s="2" t="inlineStr">
        <is>
          <t>Одежда</t>
        </is>
      </c>
      <c r="D934" s="2" t="inlineStr">
        <is>
          <t>Одежда → Девочкам → Домашняя одежда для девочек → Домашняя одежда для девочек</t>
        </is>
      </c>
      <c r="E934" s="3" t="n">
        <v>7377305</v>
      </c>
      <c r="F934" s="3" t="n">
        <v>2164</v>
      </c>
      <c r="G934" s="3">
        <f>IFERROR(E934/F934,0)</f>
        <v/>
      </c>
      <c r="H934" s="3" t="n">
        <v>458</v>
      </c>
      <c r="I934" s="2" t="n">
        <v>54</v>
      </c>
      <c r="J934" s="3">
        <f>IFERROR(E934/H934,0)</f>
        <v/>
      </c>
      <c r="K934" s="10">
        <f>E934/'По разделам'!$B$21</f>
        <v/>
      </c>
      <c r="L934" s="4">
        <f>L933+K934</f>
        <v/>
      </c>
      <c r="M934" s="2" t="inlineStr">
        <is>
          <t>q12f2f27f78af533</t>
        </is>
      </c>
      <c r="N934" s="2" t="inlineStr">
        <is>
          <t>https://app.redstat.kz/niche/q12f2f27f78af533?event_date=2026-08-01</t>
        </is>
      </c>
      <c r="O934" s="2" t="inlineStr"/>
    </row>
    <row r="935">
      <c r="A935" s="2" t="n">
        <v>934</v>
      </c>
      <c r="B935" s="2" t="inlineStr">
        <is>
          <t>Влагомеры и измерители температуры зерна</t>
        </is>
      </c>
      <c r="C935" s="2" t="inlineStr">
        <is>
          <t>Товары для животных</t>
        </is>
      </c>
      <c r="D935" s="2" t="inlineStr">
        <is>
          <t>Товары для животных → Для сельскохозяйственных животных → Влагомеры и измерители температуры зерна</t>
        </is>
      </c>
      <c r="E935" s="3" t="n">
        <v>7285552</v>
      </c>
      <c r="F935" s="3" t="n">
        <v>49</v>
      </c>
      <c r="G935" s="3">
        <f>IFERROR(E935/F935,0)</f>
        <v/>
      </c>
      <c r="H935" s="3" t="n">
        <v>13</v>
      </c>
      <c r="I935" s="2" t="n">
        <v>8</v>
      </c>
      <c r="J935" s="3">
        <f>IFERROR(E935/H935,0)</f>
        <v/>
      </c>
      <c r="K935" s="10">
        <f>E935/'По разделам'!$B$21</f>
        <v/>
      </c>
      <c r="L935" s="4">
        <f>L934+K935</f>
        <v/>
      </c>
      <c r="M935" s="2" t="inlineStr">
        <is>
          <t>03473</t>
        </is>
      </c>
      <c r="N935" s="2" t="inlineStr">
        <is>
          <t>https://app.redstat.kz/niche/03473?event_date=2026-08-01</t>
        </is>
      </c>
      <c r="O935" s="2" t="inlineStr">
        <is>
          <t>https://kaspi.kz/shop/c/moisture%20meters%20for%20grain/</t>
        </is>
      </c>
    </row>
    <row r="936">
      <c r="A936" s="2" t="n">
        <v>935</v>
      </c>
      <c r="B936" s="2" t="inlineStr">
        <is>
          <t>Хозяйственные тележки</t>
        </is>
      </c>
      <c r="C936" s="2" t="inlineStr">
        <is>
          <t>Товары для дома и дачи</t>
        </is>
      </c>
      <c r="D936" s="2" t="inlineStr">
        <is>
          <t>Товары для дома и дачи → Хозяйственные товары → Хозяйственные тележки</t>
        </is>
      </c>
      <c r="E936" s="3" t="n">
        <v>7272820</v>
      </c>
      <c r="F936" s="3" t="n">
        <v>666</v>
      </c>
      <c r="G936" s="3">
        <f>IFERROR(E936/F936,0)</f>
        <v/>
      </c>
      <c r="H936" s="3" t="n">
        <v>87</v>
      </c>
      <c r="I936" s="2" t="n">
        <v>17</v>
      </c>
      <c r="J936" s="3">
        <f>IFERROR(E936/H936,0)</f>
        <v/>
      </c>
      <c r="K936" s="10">
        <f>E936/'По разделам'!$B$21</f>
        <v/>
      </c>
      <c r="L936" s="4">
        <f>L935+K936</f>
        <v/>
      </c>
      <c r="M936" s="2" t="inlineStr">
        <is>
          <t>06947</t>
        </is>
      </c>
      <c r="N936" s="2" t="inlineStr">
        <is>
          <t>https://app.redstat.kz/niche/06947?event_date=2026-08-01</t>
        </is>
      </c>
      <c r="O936" s="2" t="inlineStr">
        <is>
          <t>https://kaspi.kz/shop/c/household%20carts/</t>
        </is>
      </c>
    </row>
    <row r="937">
      <c r="A937" s="2" t="n">
        <v>936</v>
      </c>
      <c r="B937" s="2" t="inlineStr">
        <is>
          <t>Тепловые пушки</t>
        </is>
      </c>
      <c r="C937" s="2" t="inlineStr">
        <is>
          <t>Строительство, ремонт</t>
        </is>
      </c>
      <c r="D937" s="2" t="inlineStr">
        <is>
          <t>Строительство, ремонт → Системы отопления → Тепловые пушки</t>
        </is>
      </c>
      <c r="E937" s="3" t="n">
        <v>7264864</v>
      </c>
      <c r="F937" s="3" t="n">
        <v>154</v>
      </c>
      <c r="G937" s="3">
        <f>IFERROR(E937/F937,0)</f>
        <v/>
      </c>
      <c r="H937" s="3" t="n">
        <v>78</v>
      </c>
      <c r="I937" s="2" t="n">
        <v>29</v>
      </c>
      <c r="J937" s="3">
        <f>IFERROR(E937/H937,0)</f>
        <v/>
      </c>
      <c r="K937" s="10">
        <f>E937/'По разделам'!$B$21</f>
        <v/>
      </c>
      <c r="L937" s="4">
        <f>L936+K937</f>
        <v/>
      </c>
      <c r="M937" s="2" t="inlineStr">
        <is>
          <t>04797</t>
        </is>
      </c>
      <c r="N937" s="2" t="inlineStr">
        <is>
          <t>https://app.redstat.kz/niche/04797?event_date=2026-08-01</t>
        </is>
      </c>
      <c r="O937" s="2" t="inlineStr">
        <is>
          <t>https://kaspi.kz/shop/c/air%20heating%20guns/</t>
        </is>
      </c>
    </row>
    <row r="938">
      <c r="A938" s="2" t="n">
        <v>937</v>
      </c>
      <c r="B938" s="2" t="inlineStr">
        <is>
          <t>Сандалии для малышей</t>
        </is>
      </c>
      <c r="C938" s="2" t="inlineStr">
        <is>
          <t>Обувь</t>
        </is>
      </c>
      <c r="D938" s="2" t="inlineStr">
        <is>
          <t>Обувь → Обувь для малышей → Сандалии для малышей</t>
        </is>
      </c>
      <c r="E938" s="3" t="n">
        <v>7224646</v>
      </c>
      <c r="F938" s="3" t="n">
        <v>612</v>
      </c>
      <c r="G938" s="3">
        <f>IFERROR(E938/F938,0)</f>
        <v/>
      </c>
      <c r="H938" s="3" t="n">
        <v>294</v>
      </c>
      <c r="I938" s="2" t="n">
        <v>36</v>
      </c>
      <c r="J938" s="3">
        <f>IFERROR(E938/H938,0)</f>
        <v/>
      </c>
      <c r="K938" s="10">
        <f>E938/'По разделам'!$B$21</f>
        <v/>
      </c>
      <c r="L938" s="4">
        <f>L937+K938</f>
        <v/>
      </c>
      <c r="M938" s="2" t="inlineStr">
        <is>
          <t>07245</t>
        </is>
      </c>
      <c r="N938" s="2" t="inlineStr">
        <is>
          <t>https://app.redstat.kz/niche/07245?event_date=2026-08-01</t>
        </is>
      </c>
      <c r="O938" s="2" t="inlineStr">
        <is>
          <t>https://kaspi.kz/shop/c/sandals%20for%20babies/</t>
        </is>
      </c>
    </row>
    <row r="939">
      <c r="A939" s="2" t="n">
        <v>938</v>
      </c>
      <c r="B939" s="2" t="inlineStr">
        <is>
          <t>Словари, энциклопедии</t>
        </is>
      </c>
      <c r="C939" s="2" t="inlineStr">
        <is>
          <t>Досуг, книги</t>
        </is>
      </c>
      <c r="D939" s="2" t="inlineStr">
        <is>
          <t>Досуг, книги → Книги → Словари, энциклопедии</t>
        </is>
      </c>
      <c r="E939" s="3" t="n">
        <v>7208984</v>
      </c>
      <c r="F939" s="3" t="n">
        <v>1424</v>
      </c>
      <c r="G939" s="3">
        <f>IFERROR(E939/F939,0)</f>
        <v/>
      </c>
      <c r="H939" s="3" t="n">
        <v>289</v>
      </c>
      <c r="I939" s="2" t="n">
        <v>57</v>
      </c>
      <c r="J939" s="3">
        <f>IFERROR(E939/H939,0)</f>
        <v/>
      </c>
      <c r="K939" s="10">
        <f>E939/'По разделам'!$B$21</f>
        <v/>
      </c>
      <c r="L939" s="4">
        <f>L938+K939</f>
        <v/>
      </c>
      <c r="M939" s="2" t="inlineStr">
        <is>
          <t>00717</t>
        </is>
      </c>
      <c r="N939" s="2" t="inlineStr">
        <is>
          <t>https://app.redstat.kz/niche/00717?event_date=2026-08-01</t>
        </is>
      </c>
      <c r="O939" s="2" t="inlineStr">
        <is>
          <t>https://kaspi.kz/shop/c/dictionaries%20and%20encyclopedias/</t>
        </is>
      </c>
    </row>
    <row r="940">
      <c r="A940" s="2" t="n">
        <v>939</v>
      </c>
      <c r="B940" s="2" t="inlineStr">
        <is>
          <t>Снегоходы</t>
        </is>
      </c>
      <c r="C940" s="2" t="inlineStr">
        <is>
          <t>Автотовары</t>
        </is>
      </c>
      <c r="D940" s="2" t="inlineStr">
        <is>
          <t>Автотовары → Спецтехника → Снегоходы</t>
        </is>
      </c>
      <c r="E940" s="3" t="n">
        <v>7199996</v>
      </c>
      <c r="F940" s="3" t="n">
        <v>4</v>
      </c>
      <c r="G940" s="3">
        <f>IFERROR(E940/F940,0)</f>
        <v/>
      </c>
      <c r="H940" s="3" t="n">
        <v>2</v>
      </c>
      <c r="I940" s="2" t="n">
        <v>1</v>
      </c>
      <c r="J940" s="3">
        <f>IFERROR(E940/H940,0)</f>
        <v/>
      </c>
      <c r="K940" s="10">
        <f>E940/'По разделам'!$B$21</f>
        <v/>
      </c>
      <c r="L940" s="4">
        <f>L939+K940</f>
        <v/>
      </c>
      <c r="M940" s="2" t="inlineStr">
        <is>
          <t>02563</t>
        </is>
      </c>
      <c r="N940" s="2" t="inlineStr">
        <is>
          <t>https://app.redstat.kz/niche/02563?event_date=2026-08-01</t>
        </is>
      </c>
      <c r="O940" s="2" t="inlineStr">
        <is>
          <t>https://kaspi.kz/shop/c/snowmobiles/</t>
        </is>
      </c>
    </row>
    <row r="941">
      <c r="A941" s="2" t="n">
        <v>940</v>
      </c>
      <c r="B941" s="2" t="inlineStr">
        <is>
          <t>Управление для умного дома</t>
        </is>
      </c>
      <c r="C941" s="2" t="inlineStr">
        <is>
          <t>Товары для дома и дачи</t>
        </is>
      </c>
      <c r="D941" s="2" t="inlineStr">
        <is>
          <t>Товары для дома и дачи → Умный дом → Управление для умного дома</t>
        </is>
      </c>
      <c r="E941" s="3" t="n">
        <v>7169590</v>
      </c>
      <c r="F941" s="3" t="n">
        <v>488</v>
      </c>
      <c r="G941" s="3">
        <f>IFERROR(E941/F941,0)</f>
        <v/>
      </c>
      <c r="H941" s="3" t="n">
        <v>50</v>
      </c>
      <c r="I941" s="2" t="n">
        <v>11</v>
      </c>
      <c r="J941" s="3">
        <f>IFERROR(E941/H941,0)</f>
        <v/>
      </c>
      <c r="K941" s="10">
        <f>E941/'По разделам'!$B$21</f>
        <v/>
      </c>
      <c r="L941" s="4">
        <f>L940+K941</f>
        <v/>
      </c>
      <c r="M941" s="2" t="inlineStr">
        <is>
          <t>02307</t>
        </is>
      </c>
      <c r="N941" s="2" t="inlineStr">
        <is>
          <t>https://app.redstat.kz/niche/02307?event_date=2026-08-01</t>
        </is>
      </c>
      <c r="O941" s="2" t="inlineStr">
        <is>
          <t>https://kaspi.kz/shop/c/smart%20home%20gateways/</t>
        </is>
      </c>
    </row>
    <row r="942">
      <c r="A942" s="2" t="n">
        <v>941</v>
      </c>
      <c r="B942" s="2" t="inlineStr">
        <is>
          <t>Юридическая литература</t>
        </is>
      </c>
      <c r="C942" s="2" t="inlineStr">
        <is>
          <t>Досуг, книги</t>
        </is>
      </c>
      <c r="D942" s="2" t="inlineStr">
        <is>
          <t>Досуг, книги → Книги → Юридическая литература</t>
        </is>
      </c>
      <c r="E942" s="3" t="n">
        <v>7140166</v>
      </c>
      <c r="F942" s="3" t="n">
        <v>2104</v>
      </c>
      <c r="G942" s="3">
        <f>IFERROR(E942/F942,0)</f>
        <v/>
      </c>
      <c r="H942" s="3" t="n">
        <v>219</v>
      </c>
      <c r="I942" s="2" t="n">
        <v>20</v>
      </c>
      <c r="J942" s="3">
        <f>IFERROR(E942/H942,0)</f>
        <v/>
      </c>
      <c r="K942" s="10">
        <f>E942/'По разделам'!$B$21</f>
        <v/>
      </c>
      <c r="L942" s="4">
        <f>L941+K942</f>
        <v/>
      </c>
      <c r="M942" s="2" t="inlineStr">
        <is>
          <t>00719</t>
        </is>
      </c>
      <c r="N942" s="2" t="inlineStr">
        <is>
          <t>https://app.redstat.kz/niche/00719?event_date=2026-08-01</t>
        </is>
      </c>
      <c r="O942" s="2" t="inlineStr">
        <is>
          <t>https://kaspi.kz/shop/c/law%20literature/</t>
        </is>
      </c>
    </row>
    <row r="943">
      <c r="A943" s="2" t="n">
        <v>942</v>
      </c>
      <c r="B943" s="2" t="inlineStr">
        <is>
          <t>Корма для рыб и рептилий</t>
        </is>
      </c>
      <c r="C943" s="2" t="inlineStr">
        <is>
          <t>Товары для животных</t>
        </is>
      </c>
      <c r="D943" s="2" t="inlineStr">
        <is>
          <t>Товары для животных → Для рыб и рептилий → Корма для рыб и рептилий</t>
        </is>
      </c>
      <c r="E943" s="3" t="n">
        <v>7000845</v>
      </c>
      <c r="F943" s="3" t="n">
        <v>1614</v>
      </c>
      <c r="G943" s="3">
        <f>IFERROR(E943/F943,0)</f>
        <v/>
      </c>
      <c r="H943" s="3" t="n">
        <v>299</v>
      </c>
      <c r="I943" s="2" t="n">
        <v>35</v>
      </c>
      <c r="J943" s="3">
        <f>IFERROR(E943/H943,0)</f>
        <v/>
      </c>
      <c r="K943" s="10">
        <f>E943/'По разделам'!$B$21</f>
        <v/>
      </c>
      <c r="L943" s="4">
        <f>L942+K943</f>
        <v/>
      </c>
      <c r="M943" s="2" t="inlineStr">
        <is>
          <t>04217</t>
        </is>
      </c>
      <c r="N943" s="2" t="inlineStr">
        <is>
          <t>https://app.redstat.kz/niche/04217?event_date=2026-08-01</t>
        </is>
      </c>
      <c r="O943" s="2" t="inlineStr">
        <is>
          <t>https://kaspi.kz/shop/c/fish%20and%20reptile%20food/</t>
        </is>
      </c>
    </row>
    <row r="944">
      <c r="A944" s="2" t="n">
        <v>943</v>
      </c>
      <c r="B944" s="2" t="inlineStr">
        <is>
          <t>Посттренировочные комплексы для спортсменов</t>
        </is>
      </c>
      <c r="C944" s="2" t="inlineStr">
        <is>
          <t>Спорт, туризм</t>
        </is>
      </c>
      <c r="D944" s="2" t="inlineStr">
        <is>
          <t>Спорт, туризм → Спортивное питание → Посттренировочные комплексы для спортсменов</t>
        </is>
      </c>
      <c r="E944" s="3" t="n">
        <v>6964863</v>
      </c>
      <c r="F944" s="3" t="n">
        <v>601</v>
      </c>
      <c r="G944" s="3">
        <f>IFERROR(E944/F944,0)</f>
        <v/>
      </c>
      <c r="H944" s="3" t="n">
        <v>83</v>
      </c>
      <c r="I944" s="2" t="n">
        <v>37</v>
      </c>
      <c r="J944" s="3">
        <f>IFERROR(E944/H944,0)</f>
        <v/>
      </c>
      <c r="K944" s="10">
        <f>E944/'По разделам'!$B$21</f>
        <v/>
      </c>
      <c r="L944" s="4">
        <f>L943+K944</f>
        <v/>
      </c>
      <c r="M944" s="2" t="inlineStr">
        <is>
          <t>01198</t>
        </is>
      </c>
      <c r="N944" s="2" t="inlineStr">
        <is>
          <t>https://app.redstat.kz/niche/01198?event_date=2026-08-01</t>
        </is>
      </c>
      <c r="O944" s="2" t="inlineStr">
        <is>
          <t>https://kaspi.kz/shop/c/postworkout%20sports%20nutrition/</t>
        </is>
      </c>
    </row>
    <row r="945">
      <c r="A945" s="2" t="n">
        <v>944</v>
      </c>
      <c r="B945" s="2" t="inlineStr">
        <is>
          <t>Выставочное оборудование</t>
        </is>
      </c>
      <c r="C945" s="2" t="inlineStr">
        <is>
          <t>Канцелярские товары</t>
        </is>
      </c>
      <c r="D945" s="2" t="inlineStr">
        <is>
          <t>Канцелярские товары → Торговые и рекламные принадлежности → Выставочное оборудование</t>
        </is>
      </c>
      <c r="E945" s="3" t="n">
        <v>6945793</v>
      </c>
      <c r="F945" s="3" t="n">
        <v>408</v>
      </c>
      <c r="G945" s="3">
        <f>IFERROR(E945/F945,0)</f>
        <v/>
      </c>
      <c r="H945" s="3" t="n">
        <v>79</v>
      </c>
      <c r="I945" s="2" t="n">
        <v>8</v>
      </c>
      <c r="J945" s="3">
        <f>IFERROR(E945/H945,0)</f>
        <v/>
      </c>
      <c r="K945" s="10">
        <f>E945/'По разделам'!$B$21</f>
        <v/>
      </c>
      <c r="L945" s="4">
        <f>L944+K945</f>
        <v/>
      </c>
      <c r="M945" s="2" t="inlineStr">
        <is>
          <t>05010</t>
        </is>
      </c>
      <c r="N945" s="2" t="inlineStr">
        <is>
          <t>https://app.redstat.kz/niche/05010?event_date=2026-08-01</t>
        </is>
      </c>
      <c r="O945" s="2" t="inlineStr">
        <is>
          <t>https://kaspi.kz/shop/c/advertising%20equipment/</t>
        </is>
      </c>
    </row>
    <row r="946">
      <c r="A946" s="2" t="n">
        <v>945</v>
      </c>
      <c r="B946" s="2" t="inlineStr">
        <is>
          <t>Мужские карнавальные костюмы</t>
        </is>
      </c>
      <c r="C946" s="2" t="inlineStr">
        <is>
          <t>Одежда</t>
        </is>
      </c>
      <c r="D946" s="2" t="inlineStr">
        <is>
          <t>Одежда → Мужчинам → Мужские карнавальные костюмы</t>
        </is>
      </c>
      <c r="E946" s="3" t="n">
        <v>6941497</v>
      </c>
      <c r="F946" s="3" t="n">
        <v>219</v>
      </c>
      <c r="G946" s="3">
        <f>IFERROR(E946/F946,0)</f>
        <v/>
      </c>
      <c r="H946" s="3" t="n">
        <v>70</v>
      </c>
      <c r="I946" s="2" t="n">
        <v>5</v>
      </c>
      <c r="J946" s="3">
        <f>IFERROR(E946/H946,0)</f>
        <v/>
      </c>
      <c r="K946" s="10">
        <f>E946/'По разделам'!$B$21</f>
        <v/>
      </c>
      <c r="L946" s="4">
        <f>L945+K946</f>
        <v/>
      </c>
      <c r="M946" s="2" t="inlineStr">
        <is>
          <t>05481</t>
        </is>
      </c>
      <c r="N946" s="2" t="inlineStr">
        <is>
          <t>https://app.redstat.kz/niche/05481?event_date=2026-08-01</t>
        </is>
      </c>
      <c r="O946" s="2" t="inlineStr">
        <is>
          <t>https://kaspi.kz/shop/c/men%20costumes/</t>
        </is>
      </c>
    </row>
    <row r="947">
      <c r="A947" s="2" t="n">
        <v>946</v>
      </c>
      <c r="B947" s="2" t="inlineStr">
        <is>
          <t>Микроскопы</t>
        </is>
      </c>
      <c r="C947" s="2" t="inlineStr">
        <is>
          <t>Досуг, книги</t>
        </is>
      </c>
      <c r="D947" s="2" t="inlineStr">
        <is>
          <t>Досуг, книги → Оптические приборы → Микроскопы</t>
        </is>
      </c>
      <c r="E947" s="3" t="n">
        <v>6914868</v>
      </c>
      <c r="F947" s="3" t="n">
        <v>317</v>
      </c>
      <c r="G947" s="3">
        <f>IFERROR(E947/F947,0)</f>
        <v/>
      </c>
      <c r="H947" s="3" t="n">
        <v>60</v>
      </c>
      <c r="I947" s="2" t="n">
        <v>25</v>
      </c>
      <c r="J947" s="3">
        <f>IFERROR(E947/H947,0)</f>
        <v/>
      </c>
      <c r="K947" s="10">
        <f>E947/'По разделам'!$B$21</f>
        <v/>
      </c>
      <c r="L947" s="4">
        <f>L946+K947</f>
        <v/>
      </c>
      <c r="M947" s="2" t="inlineStr">
        <is>
          <t>01196</t>
        </is>
      </c>
      <c r="N947" s="2" t="inlineStr">
        <is>
          <t>https://app.redstat.kz/niche/01196?event_date=2026-08-01</t>
        </is>
      </c>
      <c r="O947" s="2" t="inlineStr">
        <is>
          <t>https://kaspi.kz/shop/c/microscopes/</t>
        </is>
      </c>
    </row>
    <row r="948">
      <c r="A948" s="2" t="n">
        <v>947</v>
      </c>
      <c r="B948" s="2" t="inlineStr">
        <is>
          <t>Детские песочницы и горки</t>
        </is>
      </c>
      <c r="C948" s="2" t="inlineStr">
        <is>
          <t>Детские товары</t>
        </is>
      </c>
      <c r="D948" s="2" t="inlineStr">
        <is>
          <t>Детские товары → Игровая площадка → Детские песочницы и горки</t>
        </is>
      </c>
      <c r="E948" s="3" t="n">
        <v>6912809</v>
      </c>
      <c r="F948" s="3" t="n">
        <v>162</v>
      </c>
      <c r="G948" s="3">
        <f>IFERROR(E948/F948,0)</f>
        <v/>
      </c>
      <c r="H948" s="3" t="n">
        <v>58</v>
      </c>
      <c r="I948" s="2" t="n">
        <v>17</v>
      </c>
      <c r="J948" s="3">
        <f>IFERROR(E948/H948,0)</f>
        <v/>
      </c>
      <c r="K948" s="10">
        <f>E948/'По разделам'!$B$21</f>
        <v/>
      </c>
      <c r="L948" s="4">
        <f>L947+K948</f>
        <v/>
      </c>
      <c r="M948" s="2" t="inlineStr">
        <is>
          <t>05672</t>
        </is>
      </c>
      <c r="N948" s="2" t="inlineStr">
        <is>
          <t>https://app.redstat.kz/niche/05672?event_date=2026-08-01</t>
        </is>
      </c>
      <c r="O948" s="2" t="inlineStr">
        <is>
          <t>https://kaspi.kz/shop/c/kids%20sandboxes/</t>
        </is>
      </c>
    </row>
    <row r="949">
      <c r="A949" s="2" t="n">
        <v>948</v>
      </c>
      <c r="B949" s="2" t="inlineStr">
        <is>
          <t>Шапочки для плавания</t>
        </is>
      </c>
      <c r="C949" s="2" t="inlineStr">
        <is>
          <t>Спорт, туризм</t>
        </is>
      </c>
      <c r="D949" s="2" t="inlineStr">
        <is>
          <t>Спорт, туризм → Водный спорт → Шапочки для плавания</t>
        </is>
      </c>
      <c r="E949" s="3" t="n">
        <v>6892191</v>
      </c>
      <c r="F949" s="3" t="n">
        <v>3023</v>
      </c>
      <c r="G949" s="3">
        <f>IFERROR(E949/F949,0)</f>
        <v/>
      </c>
      <c r="H949" s="3" t="n">
        <v>432</v>
      </c>
      <c r="I949" s="2" t="n">
        <v>64</v>
      </c>
      <c r="J949" s="3">
        <f>IFERROR(E949/H949,0)</f>
        <v/>
      </c>
      <c r="K949" s="10">
        <f>E949/'По разделам'!$B$21</f>
        <v/>
      </c>
      <c r="L949" s="4">
        <f>L948+K949</f>
        <v/>
      </c>
      <c r="M949" s="2" t="inlineStr">
        <is>
          <t>01861</t>
        </is>
      </c>
      <c r="N949" s="2" t="inlineStr">
        <is>
          <t>https://app.redstat.kz/niche/01861?event_date=2026-08-01</t>
        </is>
      </c>
      <c r="O949" s="2" t="inlineStr">
        <is>
          <t>https://kaspi.kz/shop/c/swim%20caps/</t>
        </is>
      </c>
    </row>
    <row r="950">
      <c r="A950" s="2" t="n">
        <v>949</v>
      </c>
      <c r="B950" s="2" t="inlineStr">
        <is>
          <t>Мужские сапоги</t>
        </is>
      </c>
      <c r="C950" s="2" t="inlineStr">
        <is>
          <t>Обувь</t>
        </is>
      </c>
      <c r="D950" s="2" t="inlineStr">
        <is>
          <t>Обувь → Мужская обувь → Мужские сапоги</t>
        </is>
      </c>
      <c r="E950" s="3" t="n">
        <v>6842764</v>
      </c>
      <c r="F950" s="3" t="n">
        <v>225</v>
      </c>
      <c r="G950" s="3">
        <f>IFERROR(E950/F950,0)</f>
        <v/>
      </c>
      <c r="H950" s="3" t="n">
        <v>161</v>
      </c>
      <c r="I950" s="2" t="n">
        <v>54</v>
      </c>
      <c r="J950" s="3">
        <f>IFERROR(E950/H950,0)</f>
        <v/>
      </c>
      <c r="K950" s="10">
        <f>E950/'По разделам'!$B$21</f>
        <v/>
      </c>
      <c r="L950" s="4">
        <f>L949+K950</f>
        <v/>
      </c>
      <c r="M950" s="2" t="inlineStr">
        <is>
          <t>01072</t>
        </is>
      </c>
      <c r="N950" s="2" t="inlineStr">
        <is>
          <t>https://app.redstat.kz/niche/01072?event_date=2026-08-01</t>
        </is>
      </c>
      <c r="O950" s="2" t="inlineStr">
        <is>
          <t>https://kaspi.kz/shop/c/men%20knee%20boots/</t>
        </is>
      </c>
    </row>
    <row r="951">
      <c r="A951" s="2" t="n">
        <v>950</v>
      </c>
      <c r="B951" s="2" t="inlineStr">
        <is>
          <t>Водяные тепловентиляторы</t>
        </is>
      </c>
      <c r="C951" s="2" t="inlineStr">
        <is>
          <t>Строительство, ремонт</t>
        </is>
      </c>
      <c r="D951" s="2" t="inlineStr">
        <is>
          <t>Строительство, ремонт → Системы отопления → Водяные тепловентиляторы</t>
        </is>
      </c>
      <c r="E951" s="3" t="n">
        <v>6822290</v>
      </c>
      <c r="F951" s="3" t="n">
        <v>22</v>
      </c>
      <c r="G951" s="3">
        <f>IFERROR(E951/F951,0)</f>
        <v/>
      </c>
      <c r="H951" s="3" t="n">
        <v>9</v>
      </c>
      <c r="I951" s="2" t="n">
        <v>4</v>
      </c>
      <c r="J951" s="3">
        <f>IFERROR(E951/H951,0)</f>
        <v/>
      </c>
      <c r="K951" s="10">
        <f>E951/'По разделам'!$B$21</f>
        <v/>
      </c>
      <c r="L951" s="4">
        <f>L950+K951</f>
        <v/>
      </c>
      <c r="M951" s="2" t="inlineStr">
        <is>
          <t>04531</t>
        </is>
      </c>
      <c r="N951" s="2" t="inlineStr">
        <is>
          <t>https://app.redstat.kz/niche/04531?event_date=2026-08-01</t>
        </is>
      </c>
      <c r="O951" s="2" t="inlineStr">
        <is>
          <t>https://kaspi.kz/shop/c/water%20fan%20heaters/</t>
        </is>
      </c>
    </row>
    <row r="952">
      <c r="A952" s="2" t="n">
        <v>951</v>
      </c>
      <c r="B952" s="2" t="inlineStr">
        <is>
          <t>Корма для птиц</t>
        </is>
      </c>
      <c r="C952" s="2" t="inlineStr">
        <is>
          <t>Товары для животных</t>
        </is>
      </c>
      <c r="D952" s="2" t="inlineStr">
        <is>
          <t>Товары для животных → Для птиц → Корма для птиц</t>
        </is>
      </c>
      <c r="E952" s="3" t="n">
        <v>6749936</v>
      </c>
      <c r="F952" s="3" t="n">
        <v>2364</v>
      </c>
      <c r="G952" s="3">
        <f>IFERROR(E952/F952,0)</f>
        <v/>
      </c>
      <c r="H952" s="3" t="n">
        <v>191</v>
      </c>
      <c r="I952" s="2" t="n">
        <v>24</v>
      </c>
      <c r="J952" s="3">
        <f>IFERROR(E952/H952,0)</f>
        <v/>
      </c>
      <c r="K952" s="10">
        <f>E952/'По разделам'!$B$21</f>
        <v/>
      </c>
      <c r="L952" s="4">
        <f>L951+K952</f>
        <v/>
      </c>
      <c r="M952" s="2" t="inlineStr">
        <is>
          <t>04213</t>
        </is>
      </c>
      <c r="N952" s="2" t="inlineStr">
        <is>
          <t>https://app.redstat.kz/niche/04213?event_date=2026-08-01</t>
        </is>
      </c>
      <c r="O952" s="2" t="inlineStr">
        <is>
          <t>https://kaspi.kz/shop/c/bird%20food/</t>
        </is>
      </c>
    </row>
    <row r="953">
      <c r="A953" s="2" t="n">
        <v>952</v>
      </c>
      <c r="B953" s="2" t="inlineStr">
        <is>
          <t>Bluetooth адаптеры</t>
        </is>
      </c>
      <c r="C953" s="2" t="inlineStr">
        <is>
          <t>Компьютеры</t>
        </is>
      </c>
      <c r="D953" s="2" t="inlineStr">
        <is>
          <t>Компьютеры → Сетевое оборудование → Bluetooth адаптеры</t>
        </is>
      </c>
      <c r="E953" s="3" t="n">
        <v>6749891</v>
      </c>
      <c r="F953" s="3" t="n">
        <v>1876</v>
      </c>
      <c r="G953" s="3">
        <f>IFERROR(E953/F953,0)</f>
        <v/>
      </c>
      <c r="H953" s="3" t="n">
        <v>120</v>
      </c>
      <c r="I953" s="2" t="n">
        <v>37</v>
      </c>
      <c r="J953" s="3">
        <f>IFERROR(E953/H953,0)</f>
        <v/>
      </c>
      <c r="K953" s="10">
        <f>E953/'По разделам'!$B$21</f>
        <v/>
      </c>
      <c r="L953" s="4">
        <f>L952+K953</f>
        <v/>
      </c>
      <c r="M953" s="2" t="inlineStr">
        <is>
          <t>04896</t>
        </is>
      </c>
      <c r="N953" s="2" t="inlineStr">
        <is>
          <t>https://app.redstat.kz/niche/04896?event_date=2026-08-01</t>
        </is>
      </c>
      <c r="O953" s="2" t="inlineStr">
        <is>
          <t>https://kaspi.kz/shop/c/bluetooth%20adapters/</t>
        </is>
      </c>
    </row>
    <row r="954">
      <c r="A954" s="2" t="n">
        <v>953</v>
      </c>
      <c r="B954" s="2" t="inlineStr">
        <is>
          <t>Фитосветильники</t>
        </is>
      </c>
      <c r="C954" s="2" t="inlineStr">
        <is>
          <t>Товары для дома и дачи</t>
        </is>
      </c>
      <c r="D954" s="2" t="inlineStr">
        <is>
          <t>Товары для дома и дачи → Освещение → Фитосветильники</t>
        </is>
      </c>
      <c r="E954" s="3" t="n">
        <v>6719741</v>
      </c>
      <c r="F954" s="3" t="n">
        <v>492</v>
      </c>
      <c r="G954" s="3">
        <f>IFERROR(E954/F954,0)</f>
        <v/>
      </c>
      <c r="H954" s="3" t="n">
        <v>96</v>
      </c>
      <c r="I954" s="2" t="n">
        <v>26</v>
      </c>
      <c r="J954" s="3">
        <f>IFERROR(E954/H954,0)</f>
        <v/>
      </c>
      <c r="K954" s="10">
        <f>E954/'По разделам'!$B$21</f>
        <v/>
      </c>
      <c r="L954" s="4">
        <f>L953+K954</f>
        <v/>
      </c>
      <c r="M954" s="2" t="inlineStr">
        <is>
          <t>03969</t>
        </is>
      </c>
      <c r="N954" s="2" t="inlineStr">
        <is>
          <t>https://app.redstat.kz/niche/03969?event_date=2026-08-01</t>
        </is>
      </c>
      <c r="O954" s="2" t="inlineStr">
        <is>
          <t>https://kaspi.kz/shop/c/phyto%20lamps/</t>
        </is>
      </c>
    </row>
    <row r="955">
      <c r="A955" s="2" t="n">
        <v>954</v>
      </c>
      <c r="B955" s="2" t="inlineStr">
        <is>
          <t>Пазлы</t>
        </is>
      </c>
      <c r="C955" s="2" t="inlineStr">
        <is>
          <t>Досуг, книги</t>
        </is>
      </c>
      <c r="D955" s="2" t="inlineStr">
        <is>
          <t>Досуг, книги → Игры для компаний → Пазлы</t>
        </is>
      </c>
      <c r="E955" s="3" t="n">
        <v>6701503</v>
      </c>
      <c r="F955" s="3" t="n">
        <v>2769</v>
      </c>
      <c r="G955" s="3">
        <f>IFERROR(E955/F955,0)</f>
        <v/>
      </c>
      <c r="H955" s="3" t="n">
        <v>723</v>
      </c>
      <c r="I955" s="2" t="n">
        <v>69</v>
      </c>
      <c r="J955" s="3">
        <f>IFERROR(E955/H955,0)</f>
        <v/>
      </c>
      <c r="K955" s="10">
        <f>E955/'По разделам'!$B$21</f>
        <v/>
      </c>
      <c r="L955" s="4">
        <f>L954+K955</f>
        <v/>
      </c>
      <c r="M955" s="2" t="inlineStr">
        <is>
          <t>02247</t>
        </is>
      </c>
      <c r="N955" s="2" t="inlineStr">
        <is>
          <t>https://app.redstat.kz/niche/02247?event_date=2026-08-01</t>
        </is>
      </c>
      <c r="O955" s="2" t="inlineStr">
        <is>
          <t>https://kaspi.kz/shop/c/puzzles/</t>
        </is>
      </c>
    </row>
    <row r="956">
      <c r="A956" s="2" t="n">
        <v>955</v>
      </c>
      <c r="B956" s="2" t="inlineStr">
        <is>
          <t>Установки для очистки системы охлаждения и замены охлаждающей жидкости</t>
        </is>
      </c>
      <c r="C956" s="2" t="inlineStr">
        <is>
          <t>Автотовары</t>
        </is>
      </c>
      <c r="D956" s="2" t="inlineStr">
        <is>
          <t>Автотовары → Автосервисное оборудование → Установки для очистки системы охлаждения и замены охлаждающей жидкости</t>
        </is>
      </c>
      <c r="E956" s="3" t="n">
        <v>6679163</v>
      </c>
      <c r="F956" s="3" t="n">
        <v>21</v>
      </c>
      <c r="G956" s="3">
        <f>IFERROR(E956/F956,0)</f>
        <v/>
      </c>
      <c r="H956" s="3" t="n">
        <v>10</v>
      </c>
      <c r="I956" s="2" t="n">
        <v>8</v>
      </c>
      <c r="J956" s="3">
        <f>IFERROR(E956/H956,0)</f>
        <v/>
      </c>
      <c r="K956" s="10">
        <f>E956/'По разделам'!$B$21</f>
        <v/>
      </c>
      <c r="L956" s="4">
        <f>L955+K956</f>
        <v/>
      </c>
      <c r="M956" s="2" t="inlineStr">
        <is>
          <t>04923</t>
        </is>
      </c>
      <c r="N956" s="2" t="inlineStr">
        <is>
          <t>https://app.redstat.kz/niche/04923?event_date=2026-08-01</t>
        </is>
      </c>
      <c r="O956" s="2" t="inlineStr">
        <is>
          <t>https://kaspi.kz/shop/c/installations%20for%20cleaning%20the%20cooling%20system%20and%20changing%20the%20coolant/</t>
        </is>
      </c>
    </row>
    <row r="957">
      <c r="A957" s="2" t="n">
        <v>956</v>
      </c>
      <c r="B957" s="2" t="inlineStr">
        <is>
          <t>GPS навигаторы</t>
        </is>
      </c>
      <c r="C957" s="2" t="inlineStr">
        <is>
          <t>Автотовары</t>
        </is>
      </c>
      <c r="D957" s="2" t="inlineStr">
        <is>
          <t>Автотовары → Автоэлектроника → GPS навигаторы</t>
        </is>
      </c>
      <c r="E957" s="3" t="n">
        <v>6662087</v>
      </c>
      <c r="F957" s="3" t="n">
        <v>35</v>
      </c>
      <c r="G957" s="3">
        <f>IFERROR(E957/F957,0)</f>
        <v/>
      </c>
      <c r="H957" s="3" t="n">
        <v>19</v>
      </c>
      <c r="I957" s="2" t="n">
        <v>3</v>
      </c>
      <c r="J957" s="3">
        <f>IFERROR(E957/H957,0)</f>
        <v/>
      </c>
      <c r="K957" s="10">
        <f>E957/'По разделам'!$B$21</f>
        <v/>
      </c>
      <c r="L957" s="4">
        <f>L956+K957</f>
        <v/>
      </c>
      <c r="M957" s="2" t="inlineStr">
        <is>
          <t>00078</t>
        </is>
      </c>
      <c r="N957" s="2" t="inlineStr">
        <is>
          <t>https://app.redstat.kz/niche/00078?event_date=2026-08-01</t>
        </is>
      </c>
      <c r="O957" s="2" t="inlineStr">
        <is>
          <t>https://kaspi.kz/shop/c/gps%20navigators/</t>
        </is>
      </c>
    </row>
    <row r="958">
      <c r="A958" s="2" t="n">
        <v>957</v>
      </c>
      <c r="B958" s="2" t="inlineStr">
        <is>
          <t>Гравитационные ботинки</t>
        </is>
      </c>
      <c r="C958" s="2" t="inlineStr">
        <is>
          <t>Спорт, туризм</t>
        </is>
      </c>
      <c r="D958" s="2" t="inlineStr">
        <is>
          <t>Спорт, туризм → Тренажеры → Гравитационные ботинки</t>
        </is>
      </c>
      <c r="E958" s="3" t="n">
        <v>6618741</v>
      </c>
      <c r="F958" s="3" t="n">
        <v>538</v>
      </c>
      <c r="G958" s="3">
        <f>IFERROR(E958/F958,0)</f>
        <v/>
      </c>
      <c r="H958" s="3" t="n">
        <v>32</v>
      </c>
      <c r="I958" s="2" t="n">
        <v>18</v>
      </c>
      <c r="J958" s="3">
        <f>IFERROR(E958/H958,0)</f>
        <v/>
      </c>
      <c r="K958" s="10">
        <f>E958/'По разделам'!$B$21</f>
        <v/>
      </c>
      <c r="L958" s="4">
        <f>L957+K958</f>
        <v/>
      </c>
      <c r="M958" s="2" t="inlineStr">
        <is>
          <t>01018</t>
        </is>
      </c>
      <c r="N958" s="2" t="inlineStr">
        <is>
          <t>https://app.redstat.kz/niche/01018?event_date=2026-08-01</t>
        </is>
      </c>
      <c r="O958" s="2" t="inlineStr">
        <is>
          <t>https://kaspi.kz/shop/c/gravity%20boots/</t>
        </is>
      </c>
    </row>
    <row r="959">
      <c r="A959" s="2" t="n">
        <v>958</v>
      </c>
      <c r="B959" s="2" t="inlineStr">
        <is>
          <t>Шарнирно-губцевый инструмент</t>
        </is>
      </c>
      <c r="C959" s="2" t="inlineStr">
        <is>
          <t>Строительство, ремонт</t>
        </is>
      </c>
      <c r="D959" s="2" t="inlineStr">
        <is>
          <t>Строительство, ремонт → Ручные инструменты → Шарнирно-губцевый инструмент → Шарнирно-губцевый инструмент</t>
        </is>
      </c>
      <c r="E959" s="3" t="n">
        <v>6576701</v>
      </c>
      <c r="F959" s="3" t="n">
        <v>1553</v>
      </c>
      <c r="G959" s="3">
        <f>IFERROR(E959/F959,0)</f>
        <v/>
      </c>
      <c r="H959" s="3" t="n">
        <v>256</v>
      </c>
      <c r="I959" s="2" t="n">
        <v>69</v>
      </c>
      <c r="J959" s="3">
        <f>IFERROR(E959/H959,0)</f>
        <v/>
      </c>
      <c r="K959" s="10">
        <f>E959/'По разделам'!$B$21</f>
        <v/>
      </c>
      <c r="L959" s="4">
        <f>L958+K959</f>
        <v/>
      </c>
      <c r="M959" s="2" t="inlineStr">
        <is>
          <t>q5aa032d3ab40343</t>
        </is>
      </c>
      <c r="N959" s="2" t="inlineStr">
        <is>
          <t>https://app.redstat.kz/niche/q5aa032d3ab40343?event_date=2026-08-01</t>
        </is>
      </c>
      <c r="O959" s="2" t="inlineStr"/>
    </row>
    <row r="960">
      <c r="A960" s="2" t="n">
        <v>959</v>
      </c>
      <c r="B960" s="2" t="inlineStr">
        <is>
          <t>Ковры</t>
        </is>
      </c>
      <c r="C960" s="2" t="inlineStr">
        <is>
          <t>Товары для дома и дачи</t>
        </is>
      </c>
      <c r="D960" s="2" t="inlineStr">
        <is>
          <t>Товары для дома и дачи → Домашний текстиль → Ковры и ковровые дорожки → Ковры</t>
        </is>
      </c>
      <c r="E960" s="3" t="n">
        <v>6574489</v>
      </c>
      <c r="F960" s="3" t="n">
        <v>510</v>
      </c>
      <c r="G960" s="3">
        <f>IFERROR(E960/F960,0)</f>
        <v/>
      </c>
      <c r="H960" s="3" t="n">
        <v>302</v>
      </c>
      <c r="I960" s="2" t="n">
        <v>67</v>
      </c>
      <c r="J960" s="3">
        <f>IFERROR(E960/H960,0)</f>
        <v/>
      </c>
      <c r="K960" s="10">
        <f>E960/'По разделам'!$B$21</f>
        <v/>
      </c>
      <c r="L960" s="4">
        <f>L959+K960</f>
        <v/>
      </c>
      <c r="M960" s="2" t="inlineStr">
        <is>
          <t>05148</t>
        </is>
      </c>
      <c r="N960" s="2" t="inlineStr">
        <is>
          <t>https://app.redstat.kz/niche/05148?event_date=2026-08-01</t>
        </is>
      </c>
      <c r="O960" s="2" t="inlineStr">
        <is>
          <t>https://kaspi.kz/shop/c/area%20rugs/</t>
        </is>
      </c>
    </row>
    <row r="961">
      <c r="A961" s="2" t="n">
        <v>960</v>
      </c>
      <c r="B961" s="2" t="inlineStr">
        <is>
          <t>Офисные тумбы</t>
        </is>
      </c>
      <c r="C961" s="2" t="inlineStr">
        <is>
          <t>Мебель</t>
        </is>
      </c>
      <c r="D961" s="2" t="inlineStr">
        <is>
          <t>Мебель → Офис и кабинет → Офисные тумбы</t>
        </is>
      </c>
      <c r="E961" s="3" t="n">
        <v>6535573</v>
      </c>
      <c r="F961" s="3" t="n">
        <v>196</v>
      </c>
      <c r="G961" s="3">
        <f>IFERROR(E961/F961,0)</f>
        <v/>
      </c>
      <c r="H961" s="3" t="n">
        <v>65</v>
      </c>
      <c r="I961" s="2" t="n">
        <v>24</v>
      </c>
      <c r="J961" s="3">
        <f>IFERROR(E961/H961,0)</f>
        <v/>
      </c>
      <c r="K961" s="10">
        <f>E961/'По разделам'!$B$21</f>
        <v/>
      </c>
      <c r="L961" s="4">
        <f>L960+K961</f>
        <v/>
      </c>
      <c r="M961" s="2" t="inlineStr">
        <is>
          <t>05222</t>
        </is>
      </c>
      <c r="N961" s="2" t="inlineStr">
        <is>
          <t>https://app.redstat.kz/niche/05222?event_date=2026-08-01</t>
        </is>
      </c>
      <c r="O961" s="2" t="inlineStr">
        <is>
          <t>https://kaspi.kz/shop/c/office%20cabinets/</t>
        </is>
      </c>
    </row>
    <row r="962">
      <c r="A962" s="2" t="n">
        <v>961</v>
      </c>
      <c r="B962" s="2" t="inlineStr">
        <is>
          <t>Рамки для автомобильных номеров</t>
        </is>
      </c>
      <c r="C962" s="2" t="inlineStr">
        <is>
          <t>Автотовары</t>
        </is>
      </c>
      <c r="D962" s="2" t="inlineStr">
        <is>
          <t>Автотовары → Защита и внешний тюнинг → Рамки для автомобильных номеров</t>
        </is>
      </c>
      <c r="E962" s="3" t="n">
        <v>6520160</v>
      </c>
      <c r="F962" s="3" t="n">
        <v>2173</v>
      </c>
      <c r="G962" s="3">
        <f>IFERROR(E962/F962,0)</f>
        <v/>
      </c>
      <c r="H962" s="3" t="n">
        <v>159</v>
      </c>
      <c r="I962" s="2" t="n">
        <v>41</v>
      </c>
      <c r="J962" s="3">
        <f>IFERROR(E962/H962,0)</f>
        <v/>
      </c>
      <c r="K962" s="10">
        <f>E962/'По разделам'!$B$21</f>
        <v/>
      </c>
      <c r="L962" s="4">
        <f>L961+K962</f>
        <v/>
      </c>
      <c r="M962" s="2" t="inlineStr">
        <is>
          <t>04718</t>
        </is>
      </c>
      <c r="N962" s="2" t="inlineStr">
        <is>
          <t>https://app.redstat.kz/niche/04718?event_date=2026-08-01</t>
        </is>
      </c>
      <c r="O962" s="2" t="inlineStr">
        <is>
          <t>https://kaspi.kz/shop/c/license%20plate%20frames/</t>
        </is>
      </c>
    </row>
    <row r="963">
      <c r="A963" s="2" t="n">
        <v>962</v>
      </c>
      <c r="B963" s="2" t="inlineStr">
        <is>
          <t>Бритвенные головки и сетки</t>
        </is>
      </c>
      <c r="C963" s="2" t="inlineStr">
        <is>
          <t>Красота и здоровье</t>
        </is>
      </c>
      <c r="D963" s="2" t="inlineStr">
        <is>
          <t>Красота и здоровье → Техника и оборудование для красоты → Бритвенные головки и сетки</t>
        </is>
      </c>
      <c r="E963" s="3" t="n">
        <v>6519915</v>
      </c>
      <c r="F963" s="3" t="n">
        <v>395</v>
      </c>
      <c r="G963" s="3">
        <f>IFERROR(E963/F963,0)</f>
        <v/>
      </c>
      <c r="H963" s="3" t="n">
        <v>67</v>
      </c>
      <c r="I963" s="2" t="n">
        <v>14</v>
      </c>
      <c r="J963" s="3">
        <f>IFERROR(E963/H963,0)</f>
        <v/>
      </c>
      <c r="K963" s="10">
        <f>E963/'По разделам'!$B$21</f>
        <v/>
      </c>
      <c r="L963" s="4">
        <f>L962+K963</f>
        <v/>
      </c>
      <c r="M963" s="2" t="inlineStr">
        <is>
          <t>06232</t>
        </is>
      </c>
      <c r="N963" s="2" t="inlineStr">
        <is>
          <t>https://app.redstat.kz/niche/06232?event_date=2026-08-01</t>
        </is>
      </c>
      <c r="O963" s="2" t="inlineStr">
        <is>
          <t>https://kaspi.kz/shop/c/shaving%20heads%20and%20foils/</t>
        </is>
      </c>
    </row>
    <row r="964">
      <c r="A964" s="2" t="n">
        <v>963</v>
      </c>
      <c r="B964" s="2" t="inlineStr">
        <is>
          <t>Бейджи и держатели</t>
        </is>
      </c>
      <c r="C964" s="2" t="inlineStr">
        <is>
          <t>Канцелярские товары</t>
        </is>
      </c>
      <c r="D964" s="2" t="inlineStr">
        <is>
          <t>Канцелярские товары → Офисные принадлежности → Бейджи и держатели</t>
        </is>
      </c>
      <c r="E964" s="3" t="n">
        <v>6510784</v>
      </c>
      <c r="F964" s="3" t="n">
        <v>6677</v>
      </c>
      <c r="G964" s="3">
        <f>IFERROR(E964/F964,0)</f>
        <v/>
      </c>
      <c r="H964" s="3" t="n">
        <v>332</v>
      </c>
      <c r="I964" s="2" t="n">
        <v>42</v>
      </c>
      <c r="J964" s="3">
        <f>IFERROR(E964/H964,0)</f>
        <v/>
      </c>
      <c r="K964" s="10">
        <f>E964/'По разделам'!$B$21</f>
        <v/>
      </c>
      <c r="L964" s="4">
        <f>L963+K964</f>
        <v/>
      </c>
      <c r="M964" s="2" t="inlineStr">
        <is>
          <t>05072</t>
        </is>
      </c>
      <c r="N964" s="2" t="inlineStr">
        <is>
          <t>https://app.redstat.kz/niche/05072?event_date=2026-08-01</t>
        </is>
      </c>
      <c r="O964" s="2" t="inlineStr">
        <is>
          <t>https://kaspi.kz/shop/c/badges%20and%20badge%20holders/</t>
        </is>
      </c>
    </row>
    <row r="965">
      <c r="A965" s="2" t="n">
        <v>964</v>
      </c>
      <c r="B965" s="2" t="inlineStr">
        <is>
          <t>Подарочные наборы для малышей</t>
        </is>
      </c>
      <c r="C965" s="2" t="inlineStr">
        <is>
          <t>Детские товары</t>
        </is>
      </c>
      <c r="D965" s="2" t="inlineStr">
        <is>
          <t>Детские товары → Для малыша и мамы → Подарочные наборы для малышей</t>
        </is>
      </c>
      <c r="E965" s="3" t="n">
        <v>6480105</v>
      </c>
      <c r="F965" s="3" t="n">
        <v>992</v>
      </c>
      <c r="G965" s="3">
        <f>IFERROR(E965/F965,0)</f>
        <v/>
      </c>
      <c r="H965" s="3" t="n">
        <v>105</v>
      </c>
      <c r="I965" s="2" t="n">
        <v>22</v>
      </c>
      <c r="J965" s="3">
        <f>IFERROR(E965/H965,0)</f>
        <v/>
      </c>
      <c r="K965" s="10">
        <f>E965/'По разделам'!$B$21</f>
        <v/>
      </c>
      <c r="L965" s="4">
        <f>L964+K965</f>
        <v/>
      </c>
      <c r="M965" s="2" t="inlineStr">
        <is>
          <t>06678</t>
        </is>
      </c>
      <c r="N965" s="2" t="inlineStr">
        <is>
          <t>https://app.redstat.kz/niche/06678?event_date=2026-08-01</t>
        </is>
      </c>
      <c r="O965" s="2" t="inlineStr">
        <is>
          <t>https://kaspi.kz/shop/c/gift%20sets%20for%20babies/</t>
        </is>
      </c>
    </row>
    <row r="966">
      <c r="A966" s="2" t="n">
        <v>965</v>
      </c>
      <c r="B966" s="2" t="inlineStr">
        <is>
          <t>Автомобильные подушки</t>
        </is>
      </c>
      <c r="C966" s="2" t="inlineStr">
        <is>
          <t>Автотовары</t>
        </is>
      </c>
      <c r="D966" s="2" t="inlineStr">
        <is>
          <t>Автотовары → Автоаксессуары → Автомобильные подушки</t>
        </is>
      </c>
      <c r="E966" s="3" t="n">
        <v>6459604</v>
      </c>
      <c r="F966" s="3" t="n">
        <v>1460</v>
      </c>
      <c r="G966" s="3">
        <f>IFERROR(E966/F966,0)</f>
        <v/>
      </c>
      <c r="H966" s="3" t="n">
        <v>102</v>
      </c>
      <c r="I966" s="2" t="n">
        <v>28</v>
      </c>
      <c r="J966" s="3">
        <f>IFERROR(E966/H966,0)</f>
        <v/>
      </c>
      <c r="K966" s="10">
        <f>E966/'По разделам'!$B$21</f>
        <v/>
      </c>
      <c r="L966" s="4">
        <f>L965+K966</f>
        <v/>
      </c>
      <c r="M966" s="2" t="inlineStr">
        <is>
          <t>05203</t>
        </is>
      </c>
      <c r="N966" s="2" t="inlineStr">
        <is>
          <t>https://app.redstat.kz/niche/05203?event_date=2026-08-01</t>
        </is>
      </c>
      <c r="O966" s="2" t="inlineStr">
        <is>
          <t>https://kaspi.kz/shop/c/car%20pillows/</t>
        </is>
      </c>
    </row>
    <row r="967">
      <c r="A967" s="2" t="n">
        <v>966</v>
      </c>
      <c r="B967" s="2" t="inlineStr">
        <is>
          <t>Горнолыжная одежда</t>
        </is>
      </c>
      <c r="C967" s="2" t="inlineStr">
        <is>
          <t>Спорт, туризм</t>
        </is>
      </c>
      <c r="D967" s="2" t="inlineStr">
        <is>
          <t>Спорт, туризм → Зимний спорт → Горнолыжная одежда → Горнолыжная одежда</t>
        </is>
      </c>
      <c r="E967" s="3" t="n">
        <v>6450417</v>
      </c>
      <c r="F967" s="3" t="n">
        <v>128</v>
      </c>
      <c r="G967" s="3">
        <f>IFERROR(E967/F967,0)</f>
        <v/>
      </c>
      <c r="H967" s="3" t="n">
        <v>111</v>
      </c>
      <c r="I967" s="2" t="n">
        <v>27</v>
      </c>
      <c r="J967" s="3">
        <f>IFERROR(E967/H967,0)</f>
        <v/>
      </c>
      <c r="K967" s="10">
        <f>E967/'По разделам'!$B$21</f>
        <v/>
      </c>
      <c r="L967" s="4">
        <f>L966+K967</f>
        <v/>
      </c>
      <c r="M967" s="2" t="inlineStr">
        <is>
          <t>q1a8f7f238149aa3</t>
        </is>
      </c>
      <c r="N967" s="2" t="inlineStr">
        <is>
          <t>https://app.redstat.kz/niche/q1a8f7f238149aa3?event_date=2026-08-01</t>
        </is>
      </c>
      <c r="O967" s="2" t="inlineStr"/>
    </row>
    <row r="968">
      <c r="A968" s="2" t="n">
        <v>967</v>
      </c>
      <c r="B968" s="2" t="inlineStr">
        <is>
          <t>Нарды</t>
        </is>
      </c>
      <c r="C968" s="2" t="inlineStr">
        <is>
          <t>Досуг, книги</t>
        </is>
      </c>
      <c r="D968" s="2" t="inlineStr">
        <is>
          <t>Досуг, книги → Игры для компаний → Нарды</t>
        </is>
      </c>
      <c r="E968" s="3" t="n">
        <v>6428430</v>
      </c>
      <c r="F968" s="3" t="n">
        <v>292</v>
      </c>
      <c r="G968" s="3">
        <f>IFERROR(E968/F968,0)</f>
        <v/>
      </c>
      <c r="H968" s="3" t="n">
        <v>93</v>
      </c>
      <c r="I968" s="2" t="n">
        <v>16</v>
      </c>
      <c r="J968" s="3">
        <f>IFERROR(E968/H968,0)</f>
        <v/>
      </c>
      <c r="K968" s="10">
        <f>E968/'По разделам'!$B$21</f>
        <v/>
      </c>
      <c r="L968" s="4">
        <f>L967+K968</f>
        <v/>
      </c>
      <c r="M968" s="2" t="inlineStr">
        <is>
          <t>03052</t>
        </is>
      </c>
      <c r="N968" s="2" t="inlineStr">
        <is>
          <t>https://app.redstat.kz/niche/03052?event_date=2026-08-01</t>
        </is>
      </c>
      <c r="O968" s="2" t="inlineStr">
        <is>
          <t>https://kaspi.kz/shop/c/backgammon%20sets/</t>
        </is>
      </c>
    </row>
    <row r="969">
      <c r="A969" s="2" t="n">
        <v>968</v>
      </c>
      <c r="B969" s="2" t="inlineStr">
        <is>
          <t>Резаки для бумаги и комплектующие</t>
        </is>
      </c>
      <c r="C969" s="2" t="inlineStr">
        <is>
          <t>Канцелярские товары</t>
        </is>
      </c>
      <c r="D969" s="2" t="inlineStr">
        <is>
          <t>Канцелярские товары → Постпечатное оборудование → Резаки для бумаги и комплектующие → Резаки для бумаги и комплектующие</t>
        </is>
      </c>
      <c r="E969" s="3" t="n">
        <v>6427980</v>
      </c>
      <c r="F969" s="3" t="n">
        <v>1112</v>
      </c>
      <c r="G969" s="3">
        <f>IFERROR(E969/F969,0)</f>
        <v/>
      </c>
      <c r="H969" s="3" t="n">
        <v>71</v>
      </c>
      <c r="I969" s="2" t="n">
        <v>21</v>
      </c>
      <c r="J969" s="3">
        <f>IFERROR(E969/H969,0)</f>
        <v/>
      </c>
      <c r="K969" s="10">
        <f>E969/'По разделам'!$B$21</f>
        <v/>
      </c>
      <c r="L969" s="4">
        <f>L968+K969</f>
        <v/>
      </c>
      <c r="M969" s="2" t="inlineStr">
        <is>
          <t>q7bf0408527c4b24</t>
        </is>
      </c>
      <c r="N969" s="2" t="inlineStr">
        <is>
          <t>https://app.redstat.kz/niche/q7bf0408527c4b24?event_date=2026-08-01</t>
        </is>
      </c>
      <c r="O969" s="2" t="inlineStr"/>
    </row>
    <row r="970">
      <c r="A970" s="2" t="n">
        <v>969</v>
      </c>
      <c r="B970" s="2" t="inlineStr">
        <is>
          <t>Шлейки и ошейники для животных</t>
        </is>
      </c>
      <c r="C970" s="2" t="inlineStr">
        <is>
          <t>Товары для животных</t>
        </is>
      </c>
      <c r="D970" s="2" t="inlineStr">
        <is>
          <t>Товары для животных → Аксессуары для животных → Шлейки и ошейники для животных</t>
        </is>
      </c>
      <c r="E970" s="3" t="n">
        <v>6422679</v>
      </c>
      <c r="F970" s="3" t="n">
        <v>2399</v>
      </c>
      <c r="G970" s="3">
        <f>IFERROR(E970/F970,0)</f>
        <v/>
      </c>
      <c r="H970" s="3" t="n">
        <v>455</v>
      </c>
      <c r="I970" s="2" t="n">
        <v>69</v>
      </c>
      <c r="J970" s="3">
        <f>IFERROR(E970/H970,0)</f>
        <v/>
      </c>
      <c r="K970" s="10">
        <f>E970/'По разделам'!$B$21</f>
        <v/>
      </c>
      <c r="L970" s="4">
        <f>L969+K970</f>
        <v/>
      </c>
      <c r="M970" s="2" t="inlineStr">
        <is>
          <t>04813</t>
        </is>
      </c>
      <c r="N970" s="2" t="inlineStr">
        <is>
          <t>https://app.redstat.kz/niche/04813?event_date=2026-08-01</t>
        </is>
      </c>
      <c r="O970" s="2" t="inlineStr">
        <is>
          <t>https://kaspi.kz/shop/c/cat%20leashes%20and%20collars/</t>
        </is>
      </c>
    </row>
    <row r="971">
      <c r="A971" s="2" t="n">
        <v>970</v>
      </c>
      <c r="B971" s="2" t="inlineStr">
        <is>
          <t>Автопалатки</t>
        </is>
      </c>
      <c r="C971" s="2" t="inlineStr">
        <is>
          <t>Автотовары</t>
        </is>
      </c>
      <c r="D971" s="2" t="inlineStr">
        <is>
          <t>Автотовары → Автоаксессуары → Автопалатки</t>
        </is>
      </c>
      <c r="E971" s="3" t="n">
        <v>6407395</v>
      </c>
      <c r="F971" s="3" t="n">
        <v>18</v>
      </c>
      <c r="G971" s="3">
        <f>IFERROR(E971/F971,0)</f>
        <v/>
      </c>
      <c r="H971" s="3" t="n">
        <v>14</v>
      </c>
      <c r="I971" s="2" t="n">
        <v>6</v>
      </c>
      <c r="J971" s="3">
        <f>IFERROR(E971/H971,0)</f>
        <v/>
      </c>
      <c r="K971" s="10">
        <f>E971/'По разделам'!$B$21</f>
        <v/>
      </c>
      <c r="L971" s="4">
        <f>L970+K971</f>
        <v/>
      </c>
      <c r="M971" s="2" t="inlineStr">
        <is>
          <t>02069</t>
        </is>
      </c>
      <c r="N971" s="2" t="inlineStr">
        <is>
          <t>https://app.redstat.kz/niche/02069?event_date=2026-08-01</t>
        </is>
      </c>
      <c r="O971" s="2" t="inlineStr">
        <is>
          <t>https://kaspi.kz/shop/c/car%20tents/</t>
        </is>
      </c>
    </row>
    <row r="972">
      <c r="A972" s="2" t="n">
        <v>971</v>
      </c>
      <c r="B972" s="2" t="inlineStr">
        <is>
          <t>Танцевальная обувь для девочек</t>
        </is>
      </c>
      <c r="C972" s="2" t="inlineStr">
        <is>
          <t>Обувь</t>
        </is>
      </c>
      <c r="D972" s="2" t="inlineStr">
        <is>
          <t>Обувь → Обувь для девочек → Танцевальная обувь для девочек</t>
        </is>
      </c>
      <c r="E972" s="3" t="n">
        <v>6376496</v>
      </c>
      <c r="F972" s="3" t="n">
        <v>3827</v>
      </c>
      <c r="G972" s="3">
        <f>IFERROR(E972/F972,0)</f>
        <v/>
      </c>
      <c r="H972" s="3" t="n">
        <v>579</v>
      </c>
      <c r="I972" s="2" t="n">
        <v>28</v>
      </c>
      <c r="J972" s="3">
        <f>IFERROR(E972/H972,0)</f>
        <v/>
      </c>
      <c r="K972" s="10">
        <f>E972/'По разделам'!$B$21</f>
        <v/>
      </c>
      <c r="L972" s="4">
        <f>L971+K972</f>
        <v/>
      </c>
      <c r="M972" s="2" t="inlineStr">
        <is>
          <t>02735</t>
        </is>
      </c>
      <c r="N972" s="2" t="inlineStr">
        <is>
          <t>https://app.redstat.kz/niche/02735?event_date=2026-08-01</t>
        </is>
      </c>
      <c r="O972" s="2" t="inlineStr">
        <is>
          <t>https://kaspi.kz/shop/c/girl%20dance%20shoes/</t>
        </is>
      </c>
    </row>
    <row r="973">
      <c r="A973" s="2" t="n">
        <v>972</v>
      </c>
      <c r="B973" s="2" t="inlineStr">
        <is>
          <t>Дом, досуг, хобби</t>
        </is>
      </c>
      <c r="C973" s="2" t="inlineStr">
        <is>
          <t>Досуг, книги</t>
        </is>
      </c>
      <c r="D973" s="2" t="inlineStr">
        <is>
          <t>Досуг, книги → Книги → Дом, досуг, хобби</t>
        </is>
      </c>
      <c r="E973" s="3" t="n">
        <v>6356833</v>
      </c>
      <c r="F973" s="3" t="n">
        <v>611</v>
      </c>
      <c r="G973" s="3">
        <f>IFERROR(E973/F973,0)</f>
        <v/>
      </c>
      <c r="H973" s="3" t="n">
        <v>256</v>
      </c>
      <c r="I973" s="2" t="n">
        <v>47</v>
      </c>
      <c r="J973" s="3">
        <f>IFERROR(E973/H973,0)</f>
        <v/>
      </c>
      <c r="K973" s="10">
        <f>E973/'По разделам'!$B$21</f>
        <v/>
      </c>
      <c r="L973" s="4">
        <f>L972+K973</f>
        <v/>
      </c>
      <c r="M973" s="2" t="inlineStr">
        <is>
          <t>00715</t>
        </is>
      </c>
      <c r="N973" s="2" t="inlineStr">
        <is>
          <t>https://app.redstat.kz/niche/00715?event_date=2026-08-01</t>
        </is>
      </c>
      <c r="O973" s="2" t="inlineStr">
        <is>
          <t>https://kaspi.kz/shop/c/hobby%20books/</t>
        </is>
      </c>
    </row>
    <row r="974">
      <c r="A974" s="2" t="n">
        <v>973</v>
      </c>
      <c r="B974" s="2" t="inlineStr">
        <is>
          <t>Аксессуары для досок</t>
        </is>
      </c>
      <c r="C974" s="2" t="inlineStr">
        <is>
          <t>Канцелярские товары</t>
        </is>
      </c>
      <c r="D974" s="2" t="inlineStr">
        <is>
          <t>Канцелярские товары → Демонстрационные доски → Аксессуары для досок</t>
        </is>
      </c>
      <c r="E974" s="3" t="n">
        <v>6285293</v>
      </c>
      <c r="F974" s="3" t="n">
        <v>4976</v>
      </c>
      <c r="G974" s="3">
        <f>IFERROR(E974/F974,0)</f>
        <v/>
      </c>
      <c r="H974" s="3" t="n">
        <v>221</v>
      </c>
      <c r="I974" s="2" t="n">
        <v>52</v>
      </c>
      <c r="J974" s="3">
        <f>IFERROR(E974/H974,0)</f>
        <v/>
      </c>
      <c r="K974" s="10">
        <f>E974/'По разделам'!$B$21</f>
        <v/>
      </c>
      <c r="L974" s="4">
        <f>L973+K974</f>
        <v/>
      </c>
      <c r="M974" s="2" t="inlineStr">
        <is>
          <t>04252</t>
        </is>
      </c>
      <c r="N974" s="2" t="inlineStr">
        <is>
          <t>https://app.redstat.kz/niche/04252?event_date=2026-08-01</t>
        </is>
      </c>
      <c r="O974" s="2" t="inlineStr">
        <is>
          <t>https://kaspi.kz/shop/c/office%20boards%20accessories/</t>
        </is>
      </c>
    </row>
    <row r="975">
      <c r="A975" s="2" t="n">
        <v>974</v>
      </c>
      <c r="B975" s="2" t="inlineStr">
        <is>
          <t>Упаковочное оборудование</t>
        </is>
      </c>
      <c r="C975" s="2" t="inlineStr">
        <is>
          <t>Товары для дома и дачи</t>
        </is>
      </c>
      <c r="D975" s="2" t="inlineStr">
        <is>
          <t>Товары для дома и дачи → Хозяйственные товары → Упаковочное оборудование</t>
        </is>
      </c>
      <c r="E975" s="3" t="n">
        <v>6284198</v>
      </c>
      <c r="F975" s="3" t="n">
        <v>465</v>
      </c>
      <c r="G975" s="3">
        <f>IFERROR(E975/F975,0)</f>
        <v/>
      </c>
      <c r="H975" s="3" t="n">
        <v>117</v>
      </c>
      <c r="I975" s="2" t="n">
        <v>25</v>
      </c>
      <c r="J975" s="3">
        <f>IFERROR(E975/H975,0)</f>
        <v/>
      </c>
      <c r="K975" s="10">
        <f>E975/'По разделам'!$B$21</f>
        <v/>
      </c>
      <c r="L975" s="4">
        <f>L974+K975</f>
        <v/>
      </c>
      <c r="M975" s="2" t="inlineStr">
        <is>
          <t>06616</t>
        </is>
      </c>
      <c r="N975" s="2" t="inlineStr">
        <is>
          <t>https://app.redstat.kz/niche/06616?event_date=2026-08-01</t>
        </is>
      </c>
      <c r="O975" s="2" t="inlineStr">
        <is>
          <t>https://kaspi.kz/shop/c/packaging%20equipment/</t>
        </is>
      </c>
    </row>
    <row r="976">
      <c r="A976" s="2" t="n">
        <v>975</v>
      </c>
      <c r="B976" s="2" t="inlineStr">
        <is>
          <t>Снековые автоматы</t>
        </is>
      </c>
      <c r="C976" s="2" t="inlineStr">
        <is>
          <t>Бытовая техника</t>
        </is>
      </c>
      <c r="D976" s="2" t="inlineStr">
        <is>
          <t>Бытовая техника → Торговые автоматы → Снековые автоматы</t>
        </is>
      </c>
      <c r="E976" s="3" t="n">
        <v>6280835</v>
      </c>
      <c r="F976" s="3" t="n">
        <v>31</v>
      </c>
      <c r="G976" s="3">
        <f>IFERROR(E976/F976,0)</f>
        <v/>
      </c>
      <c r="H976" s="3" t="n">
        <v>15</v>
      </c>
      <c r="I976" s="2" t="n">
        <v>3</v>
      </c>
      <c r="J976" s="3">
        <f>IFERROR(E976/H976,0)</f>
        <v/>
      </c>
      <c r="K976" s="10">
        <f>E976/'По разделам'!$B$21</f>
        <v/>
      </c>
      <c r="L976" s="4">
        <f>L975+K976</f>
        <v/>
      </c>
      <c r="M976" s="2" t="inlineStr">
        <is>
          <t>04907</t>
        </is>
      </c>
      <c r="N976" s="2" t="inlineStr">
        <is>
          <t>https://app.redstat.kz/niche/04907?event_date=2026-08-01</t>
        </is>
      </c>
      <c r="O976" s="2" t="inlineStr">
        <is>
          <t>https://kaspi.kz/shop/c/snack%20machines/</t>
        </is>
      </c>
    </row>
    <row r="977">
      <c r="A977" s="2" t="n">
        <v>976</v>
      </c>
      <c r="B977" s="2" t="inlineStr">
        <is>
          <t>Кухонные инструменты</t>
        </is>
      </c>
      <c r="C977" s="2" t="inlineStr">
        <is>
          <t>Товары для дома и дачи</t>
        </is>
      </c>
      <c r="D977" s="2" t="inlineStr">
        <is>
          <t>Товары для дома и дачи → Посуда и принадлежности → Кухонные принадлежности → Кухонные инструменты</t>
        </is>
      </c>
      <c r="E977" s="3" t="n">
        <v>6253815</v>
      </c>
      <c r="F977" s="3" t="n">
        <v>3052</v>
      </c>
      <c r="G977" s="3">
        <f>IFERROR(E977/F977,0)</f>
        <v/>
      </c>
      <c r="H977" s="3" t="n">
        <v>1084</v>
      </c>
      <c r="I977" s="2" t="n">
        <v>274</v>
      </c>
      <c r="J977" s="3">
        <f>IFERROR(E977/H977,0)</f>
        <v/>
      </c>
      <c r="K977" s="10">
        <f>E977/'По разделам'!$B$21</f>
        <v/>
      </c>
      <c r="L977" s="4">
        <f>L976+K977</f>
        <v/>
      </c>
      <c r="M977" s="2" t="inlineStr">
        <is>
          <t>03344</t>
        </is>
      </c>
      <c r="N977" s="2" t="inlineStr">
        <is>
          <t>https://app.redstat.kz/niche/03344?event_date=2026-08-01</t>
        </is>
      </c>
      <c r="O977" s="2" t="inlineStr">
        <is>
          <t>https://kaspi.kz/shop/c/kitchen%20utensils/</t>
        </is>
      </c>
    </row>
    <row r="978">
      <c r="A978" s="2" t="n">
        <v>977</v>
      </c>
      <c r="B978" s="2" t="inlineStr">
        <is>
          <t>Кардиганы и джемперы для мальчиков</t>
        </is>
      </c>
      <c r="C978" s="2" t="inlineStr">
        <is>
          <t>Одежда</t>
        </is>
      </c>
      <c r="D978" s="2" t="inlineStr">
        <is>
          <t>Одежда → Мальчикам → Кардиганы и джемперы для мальчиков</t>
        </is>
      </c>
      <c r="E978" s="3" t="n">
        <v>6230582</v>
      </c>
      <c r="F978" s="3" t="n">
        <v>877</v>
      </c>
      <c r="G978" s="3">
        <f>IFERROR(E978/F978,0)</f>
        <v/>
      </c>
      <c r="H978" s="3" t="n">
        <v>223</v>
      </c>
      <c r="I978" s="2" t="n">
        <v>37</v>
      </c>
      <c r="J978" s="3">
        <f>IFERROR(E978/H978,0)</f>
        <v/>
      </c>
      <c r="K978" s="10">
        <f>E978/'По разделам'!$B$21</f>
        <v/>
      </c>
      <c r="L978" s="4">
        <f>L977+K978</f>
        <v/>
      </c>
      <c r="M978" s="2" t="inlineStr">
        <is>
          <t>01380</t>
        </is>
      </c>
      <c r="N978" s="2" t="inlineStr">
        <is>
          <t>https://app.redstat.kz/niche/01380?event_date=2026-08-01</t>
        </is>
      </c>
      <c r="O978" s="2" t="inlineStr">
        <is>
          <t>https://kaspi.kz/shop/c/boy%20cardigans%20and%20pullovers/</t>
        </is>
      </c>
    </row>
    <row r="979">
      <c r="A979" s="2" t="n">
        <v>978</v>
      </c>
      <c r="B979" s="2" t="inlineStr">
        <is>
          <t>Диски для штанг</t>
        </is>
      </c>
      <c r="C979" s="2" t="inlineStr">
        <is>
          <t>Спорт, туризм</t>
        </is>
      </c>
      <c r="D979" s="2" t="inlineStr">
        <is>
          <t>Спорт, туризм → Тренажеры → Диски для штанг</t>
        </is>
      </c>
      <c r="E979" s="3" t="n">
        <v>6217861</v>
      </c>
      <c r="F979" s="3" t="n">
        <v>367</v>
      </c>
      <c r="G979" s="3">
        <f>IFERROR(E979/F979,0)</f>
        <v/>
      </c>
      <c r="H979" s="3" t="n">
        <v>80</v>
      </c>
      <c r="I979" s="2" t="n">
        <v>16</v>
      </c>
      <c r="J979" s="3">
        <f>IFERROR(E979/H979,0)</f>
        <v/>
      </c>
      <c r="K979" s="10">
        <f>E979/'По разделам'!$B$21</f>
        <v/>
      </c>
      <c r="L979" s="4">
        <f>L978+K979</f>
        <v/>
      </c>
      <c r="M979" s="2" t="inlineStr">
        <is>
          <t>01740</t>
        </is>
      </c>
      <c r="N979" s="2" t="inlineStr">
        <is>
          <t>https://app.redstat.kz/niche/01740?event_date=2026-08-01</t>
        </is>
      </c>
      <c r="O979" s="2" t="inlineStr">
        <is>
          <t>https://kaspi.kz/shop/c/barbell%20plates/</t>
        </is>
      </c>
    </row>
    <row r="980">
      <c r="A980" s="2" t="n">
        <v>979</v>
      </c>
      <c r="B980" s="2" t="inlineStr">
        <is>
          <t>Салфетки матирующие и для снятия макияжа</t>
        </is>
      </c>
      <c r="C980" s="2" t="inlineStr">
        <is>
          <t>Красота и здоровье</t>
        </is>
      </c>
      <c r="D980" s="2" t="inlineStr">
        <is>
          <t>Красота и здоровье → Уход за лицом → Салфетки матирующие и для снятия макияжа</t>
        </is>
      </c>
      <c r="E980" s="3" t="n">
        <v>6215132</v>
      </c>
      <c r="F980" s="3" t="n">
        <v>8357</v>
      </c>
      <c r="G980" s="3">
        <f>IFERROR(E980/F980,0)</f>
        <v/>
      </c>
      <c r="H980" s="3" t="n">
        <v>152</v>
      </c>
      <c r="I980" s="2" t="n">
        <v>60</v>
      </c>
      <c r="J980" s="3">
        <f>IFERROR(E980/H980,0)</f>
        <v/>
      </c>
      <c r="K980" s="10">
        <f>E980/'По разделам'!$B$21</f>
        <v/>
      </c>
      <c r="L980" s="4">
        <f>L979+K980</f>
        <v/>
      </c>
      <c r="M980" s="2" t="inlineStr">
        <is>
          <t>06690</t>
        </is>
      </c>
      <c r="N980" s="2" t="inlineStr">
        <is>
          <t>https://app.redstat.kz/niche/06690?event_date=2026-08-01</t>
        </is>
      </c>
      <c r="O980" s="2" t="inlineStr">
        <is>
          <t>https://kaspi.kz/shop/c/matting%20napkins/</t>
        </is>
      </c>
    </row>
    <row r="981">
      <c r="A981" s="2" t="n">
        <v>980</v>
      </c>
      <c r="B981" s="2" t="inlineStr">
        <is>
          <t>Интерактивные доски</t>
        </is>
      </c>
      <c r="C981" s="2" t="inlineStr">
        <is>
          <t>ТВ, Аудио, Видео</t>
        </is>
      </c>
      <c r="D981" s="2" t="inlineStr">
        <is>
          <t>ТВ, Аудио, Видео → Видеотехника → Интерактивные доски</t>
        </is>
      </c>
      <c r="E981" s="3" t="n">
        <v>6111886</v>
      </c>
      <c r="F981" s="3" t="n">
        <v>15</v>
      </c>
      <c r="G981" s="3">
        <f>IFERROR(E981/F981,0)</f>
        <v/>
      </c>
      <c r="H981" s="3" t="n">
        <v>7</v>
      </c>
      <c r="I981" s="2" t="n">
        <v>3</v>
      </c>
      <c r="J981" s="3">
        <f>IFERROR(E981/H981,0)</f>
        <v/>
      </c>
      <c r="K981" s="10">
        <f>E981/'По разделам'!$B$21</f>
        <v/>
      </c>
      <c r="L981" s="4">
        <f>L980+K981</f>
        <v/>
      </c>
      <c r="M981" s="2" t="inlineStr">
        <is>
          <t>02403</t>
        </is>
      </c>
      <c r="N981" s="2" t="inlineStr">
        <is>
          <t>https://app.redstat.kz/niche/02403?event_date=2026-08-01</t>
        </is>
      </c>
      <c r="O981" s="2" t="inlineStr">
        <is>
          <t>https://kaspi.kz/shop/c/interactive%20whiteboards/</t>
        </is>
      </c>
    </row>
    <row r="982">
      <c r="A982" s="2" t="n">
        <v>981</v>
      </c>
      <c r="B982" s="2" t="inlineStr">
        <is>
          <t>Клеи, герметики и фиксаторы для ремонта автомобилей</t>
        </is>
      </c>
      <c r="C982" s="2" t="inlineStr">
        <is>
          <t>Автотовары</t>
        </is>
      </c>
      <c r="D982" s="2" t="inlineStr">
        <is>
          <t>Автотовары → Автохимия и автокосметика → Клеи, герметики и фиксаторы для ремонта автомобилей → Клеи, герметики и фиксаторы для ремонта автомобилей</t>
        </is>
      </c>
      <c r="E982" s="3" t="n">
        <v>6088889</v>
      </c>
      <c r="F982" s="3" t="n">
        <v>2283</v>
      </c>
      <c r="G982" s="3">
        <f>IFERROR(E982/F982,0)</f>
        <v/>
      </c>
      <c r="H982" s="3" t="n">
        <v>191</v>
      </c>
      <c r="I982" s="2" t="n">
        <v>54</v>
      </c>
      <c r="J982" s="3">
        <f>IFERROR(E982/H982,0)</f>
        <v/>
      </c>
      <c r="K982" s="10">
        <f>E982/'По разделам'!$B$21</f>
        <v/>
      </c>
      <c r="L982" s="4">
        <f>L981+K982</f>
        <v/>
      </c>
      <c r="M982" s="2" t="inlineStr">
        <is>
          <t>q6e8adc7675a6c1b</t>
        </is>
      </c>
      <c r="N982" s="2" t="inlineStr">
        <is>
          <t>https://app.redstat.kz/niche/q6e8adc7675a6c1b?event_date=2026-08-01</t>
        </is>
      </c>
      <c r="O982" s="2" t="inlineStr"/>
    </row>
    <row r="983">
      <c r="A983" s="2" t="n">
        <v>982</v>
      </c>
      <c r="B983" s="2" t="inlineStr">
        <is>
          <t>Корма для грызунов</t>
        </is>
      </c>
      <c r="C983" s="2" t="inlineStr">
        <is>
          <t>Товары для животных</t>
        </is>
      </c>
      <c r="D983" s="2" t="inlineStr">
        <is>
          <t>Товары для животных → Для грызунов → Корма для грызунов</t>
        </is>
      </c>
      <c r="E983" s="3" t="n">
        <v>6052012</v>
      </c>
      <c r="F983" s="3" t="n">
        <v>2510</v>
      </c>
      <c r="G983" s="3">
        <f>IFERROR(E983/F983,0)</f>
        <v/>
      </c>
      <c r="H983" s="3" t="n">
        <v>187</v>
      </c>
      <c r="I983" s="2" t="n">
        <v>30</v>
      </c>
      <c r="J983" s="3">
        <f>IFERROR(E983/H983,0)</f>
        <v/>
      </c>
      <c r="K983" s="10">
        <f>E983/'По разделам'!$B$21</f>
        <v/>
      </c>
      <c r="L983" s="4">
        <f>L982+K983</f>
        <v/>
      </c>
      <c r="M983" s="2" t="inlineStr">
        <is>
          <t>04218</t>
        </is>
      </c>
      <c r="N983" s="2" t="inlineStr">
        <is>
          <t>https://app.redstat.kz/niche/04218?event_date=2026-08-01</t>
        </is>
      </c>
      <c r="O983" s="2" t="inlineStr">
        <is>
          <t>https://kaspi.kz/shop/c/rodents%20food/</t>
        </is>
      </c>
    </row>
    <row r="984">
      <c r="A984" s="2" t="n">
        <v>983</v>
      </c>
      <c r="B984" s="2" t="inlineStr">
        <is>
          <t>Брызговики</t>
        </is>
      </c>
      <c r="C984" s="2" t="inlineStr">
        <is>
          <t>Автотовары</t>
        </is>
      </c>
      <c r="D984" s="2" t="inlineStr">
        <is>
          <t>Автотовары → Защита и внешний тюнинг → Брызговики</t>
        </is>
      </c>
      <c r="E984" s="3" t="n">
        <v>6009779</v>
      </c>
      <c r="F984" s="3" t="n">
        <v>923</v>
      </c>
      <c r="G984" s="3">
        <f>IFERROR(E984/F984,0)</f>
        <v/>
      </c>
      <c r="H984" s="3" t="n">
        <v>208</v>
      </c>
      <c r="I984" s="2" t="n">
        <v>51</v>
      </c>
      <c r="J984" s="3">
        <f>IFERROR(E984/H984,0)</f>
        <v/>
      </c>
      <c r="K984" s="10">
        <f>E984/'По разделам'!$B$21</f>
        <v/>
      </c>
      <c r="L984" s="4">
        <f>L983+K984</f>
        <v/>
      </c>
      <c r="M984" s="2" t="inlineStr">
        <is>
          <t>01960</t>
        </is>
      </c>
      <c r="N984" s="2" t="inlineStr">
        <is>
          <t>https://app.redstat.kz/niche/01960?event_date=2026-08-01</t>
        </is>
      </c>
      <c r="O984" s="2" t="inlineStr">
        <is>
          <t>https://kaspi.kz/shop/c/car%20mudguards/</t>
        </is>
      </c>
    </row>
    <row r="985">
      <c r="A985" s="2" t="n">
        <v>984</v>
      </c>
      <c r="B985" s="2" t="inlineStr">
        <is>
          <t>Комбикорма для сельскохозяйственных животных</t>
        </is>
      </c>
      <c r="C985" s="2" t="inlineStr">
        <is>
          <t>Товары для животных</t>
        </is>
      </c>
      <c r="D985" s="2" t="inlineStr">
        <is>
          <t>Товары для животных → Для сельскохозяйственных животных → Комбикорма для сельскохозяйственных животных</t>
        </is>
      </c>
      <c r="E985" s="3" t="n">
        <v>5999457</v>
      </c>
      <c r="F985" s="3" t="n">
        <v>709</v>
      </c>
      <c r="G985" s="3">
        <f>IFERROR(E985/F985,0)</f>
        <v/>
      </c>
      <c r="H985" s="3" t="n">
        <v>121</v>
      </c>
      <c r="I985" s="2" t="n">
        <v>27</v>
      </c>
      <c r="J985" s="3">
        <f>IFERROR(E985/H985,0)</f>
        <v/>
      </c>
      <c r="K985" s="10">
        <f>E985/'По разделам'!$B$21</f>
        <v/>
      </c>
      <c r="L985" s="4">
        <f>L984+K985</f>
        <v/>
      </c>
      <c r="M985" s="2" t="inlineStr">
        <is>
          <t>04214</t>
        </is>
      </c>
      <c r="N985" s="2" t="inlineStr">
        <is>
          <t>https://app.redstat.kz/niche/04214?event_date=2026-08-01</t>
        </is>
      </c>
      <c r="O985" s="2" t="inlineStr">
        <is>
          <t>https://kaspi.kz/shop/c/compound%20feed/</t>
        </is>
      </c>
    </row>
    <row r="986">
      <c r="A986" s="2" t="n">
        <v>985</v>
      </c>
      <c r="B986" s="2" t="inlineStr">
        <is>
          <t>Насосы для перекачки технических жидкостей</t>
        </is>
      </c>
      <c r="C986" s="2" t="inlineStr">
        <is>
          <t>Автотовары</t>
        </is>
      </c>
      <c r="D986" s="2" t="inlineStr">
        <is>
          <t>Автотовары → Автосервисное оборудование → Насосы для перекачки технических жидкостей</t>
        </is>
      </c>
      <c r="E986" s="3" t="n">
        <v>5986655</v>
      </c>
      <c r="F986" s="3" t="n">
        <v>295</v>
      </c>
      <c r="G986" s="3">
        <f>IFERROR(E986/F986,0)</f>
        <v/>
      </c>
      <c r="H986" s="3" t="n">
        <v>72</v>
      </c>
      <c r="I986" s="2" t="n">
        <v>37</v>
      </c>
      <c r="J986" s="3">
        <f>IFERROR(E986/H986,0)</f>
        <v/>
      </c>
      <c r="K986" s="10">
        <f>E986/'По разделам'!$B$21</f>
        <v/>
      </c>
      <c r="L986" s="4">
        <f>L985+K986</f>
        <v/>
      </c>
      <c r="M986" s="2" t="inlineStr">
        <is>
          <t>04082</t>
        </is>
      </c>
      <c r="N986" s="2" t="inlineStr">
        <is>
          <t>https://app.redstat.kz/niche/04082?event_date=2026-08-01</t>
        </is>
      </c>
      <c r="O986" s="2" t="inlineStr">
        <is>
          <t>https://kaspi.kz/shop/c/pumps%20for%20transferring%20technical%20liquids/</t>
        </is>
      </c>
    </row>
    <row r="987">
      <c r="A987" s="2" t="n">
        <v>986</v>
      </c>
      <c r="B987" s="2" t="inlineStr">
        <is>
          <t>Платья и сарафаны для девочек</t>
        </is>
      </c>
      <c r="C987" s="2" t="inlineStr">
        <is>
          <t>Одежда</t>
        </is>
      </c>
      <c r="D987" s="2" t="inlineStr">
        <is>
          <t>Одежда → Девочкам → Платья и сарафаны для девочек</t>
        </is>
      </c>
      <c r="E987" s="3" t="n">
        <v>5966203</v>
      </c>
      <c r="F987" s="3" t="n">
        <v>1160</v>
      </c>
      <c r="G987" s="3">
        <f>IFERROR(E987/F987,0)</f>
        <v/>
      </c>
      <c r="H987" s="3" t="n">
        <v>411</v>
      </c>
      <c r="I987" s="2" t="n">
        <v>55</v>
      </c>
      <c r="J987" s="3">
        <f>IFERROR(E987/H987,0)</f>
        <v/>
      </c>
      <c r="K987" s="10">
        <f>E987/'По разделам'!$B$21</f>
        <v/>
      </c>
      <c r="L987" s="4">
        <f>L986+K987</f>
        <v/>
      </c>
      <c r="M987" s="2" t="inlineStr">
        <is>
          <t>01411</t>
        </is>
      </c>
      <c r="N987" s="2" t="inlineStr">
        <is>
          <t>https://app.redstat.kz/niche/01411?event_date=2026-08-01</t>
        </is>
      </c>
      <c r="O987" s="2" t="inlineStr">
        <is>
          <t>https://kaspi.kz/shop/c/girl%20dresses/</t>
        </is>
      </c>
    </row>
    <row r="988">
      <c r="A988" s="2" t="n">
        <v>987</v>
      </c>
      <c r="B988" s="2" t="inlineStr">
        <is>
          <t>Носки и пинетки для малышей</t>
        </is>
      </c>
      <c r="C988" s="2" t="inlineStr">
        <is>
          <t>Одежда</t>
        </is>
      </c>
      <c r="D988" s="2" t="inlineStr">
        <is>
          <t>Одежда → Одежда для малышей → Носки и пинетки для малышей</t>
        </is>
      </c>
      <c r="E988" s="3" t="n">
        <v>5942083</v>
      </c>
      <c r="F988" s="3" t="n">
        <v>3675</v>
      </c>
      <c r="G988" s="3">
        <f>IFERROR(E988/F988,0)</f>
        <v/>
      </c>
      <c r="H988" s="3" t="n">
        <v>548</v>
      </c>
      <c r="I988" s="2" t="n">
        <v>98</v>
      </c>
      <c r="J988" s="3">
        <f>IFERROR(E988/H988,0)</f>
        <v/>
      </c>
      <c r="K988" s="10">
        <f>E988/'По разделам'!$B$21</f>
        <v/>
      </c>
      <c r="L988" s="4">
        <f>L987+K988</f>
        <v/>
      </c>
      <c r="M988" s="2" t="inlineStr">
        <is>
          <t>02658</t>
        </is>
      </c>
      <c r="N988" s="2" t="inlineStr">
        <is>
          <t>https://app.redstat.kz/niche/02658?event_date=2026-08-01</t>
        </is>
      </c>
      <c r="O988" s="2" t="inlineStr">
        <is>
          <t>https://kaspi.kz/shop/c/baby%20socks/</t>
        </is>
      </c>
    </row>
    <row r="989">
      <c r="A989" s="2" t="n">
        <v>988</v>
      </c>
      <c r="B989" s="2" t="inlineStr">
        <is>
          <t>Софтбоксы</t>
        </is>
      </c>
      <c r="C989" s="2" t="inlineStr">
        <is>
          <t>ТВ, Аудио, Видео</t>
        </is>
      </c>
      <c r="D989" s="2" t="inlineStr">
        <is>
          <t>ТВ, Аудио, Видео → Фото- и видеокамеры → Софтбоксы</t>
        </is>
      </c>
      <c r="E989" s="3" t="n">
        <v>5939103</v>
      </c>
      <c r="F989" s="3" t="n">
        <v>281</v>
      </c>
      <c r="G989" s="3">
        <f>IFERROR(E989/F989,0)</f>
        <v/>
      </c>
      <c r="H989" s="3" t="n">
        <v>65</v>
      </c>
      <c r="I989" s="2" t="n">
        <v>20</v>
      </c>
      <c r="J989" s="3">
        <f>IFERROR(E989/H989,0)</f>
        <v/>
      </c>
      <c r="K989" s="10">
        <f>E989/'По разделам'!$B$21</f>
        <v/>
      </c>
      <c r="L989" s="4">
        <f>L988+K989</f>
        <v/>
      </c>
      <c r="M989" s="2" t="inlineStr">
        <is>
          <t>01685</t>
        </is>
      </c>
      <c r="N989" s="2" t="inlineStr">
        <is>
          <t>https://app.redstat.kz/niche/01685?event_date=2026-08-01</t>
        </is>
      </c>
      <c r="O989" s="2" t="inlineStr">
        <is>
          <t>https://kaspi.kz/shop/c/soft%20boxes/</t>
        </is>
      </c>
    </row>
    <row r="990">
      <c r="A990" s="2" t="n">
        <v>989</v>
      </c>
      <c r="B990" s="2" t="inlineStr">
        <is>
          <t>Светофильтры</t>
        </is>
      </c>
      <c r="C990" s="2" t="inlineStr">
        <is>
          <t>ТВ, Аудио, Видео</t>
        </is>
      </c>
      <c r="D990" s="2" t="inlineStr">
        <is>
          <t>ТВ, Аудио, Видео → Фото- и видеокамеры → Светофильтры</t>
        </is>
      </c>
      <c r="E990" s="3" t="n">
        <v>5897555</v>
      </c>
      <c r="F990" s="3" t="n">
        <v>232</v>
      </c>
      <c r="G990" s="3">
        <f>IFERROR(E990/F990,0)</f>
        <v/>
      </c>
      <c r="H990" s="3" t="n">
        <v>104</v>
      </c>
      <c r="I990" s="2" t="n">
        <v>16</v>
      </c>
      <c r="J990" s="3">
        <f>IFERROR(E990/H990,0)</f>
        <v/>
      </c>
      <c r="K990" s="10">
        <f>E990/'По разделам'!$B$21</f>
        <v/>
      </c>
      <c r="L990" s="4">
        <f>L989+K990</f>
        <v/>
      </c>
      <c r="M990" s="2" t="inlineStr">
        <is>
          <t>03697</t>
        </is>
      </c>
      <c r="N990" s="2" t="inlineStr">
        <is>
          <t>https://app.redstat.kz/niche/03697?event_date=2026-08-01</t>
        </is>
      </c>
      <c r="O990" s="2" t="inlineStr">
        <is>
          <t>https://kaspi.kz/shop/c/light%20filters/</t>
        </is>
      </c>
    </row>
    <row r="991">
      <c r="A991" s="2" t="n">
        <v>990</v>
      </c>
      <c r="B991" s="2" t="inlineStr">
        <is>
          <t>Комплектующие для строительного инвентаря</t>
        </is>
      </c>
      <c r="C991" s="2" t="inlineStr">
        <is>
          <t>Строительство, ремонт</t>
        </is>
      </c>
      <c r="D991" s="2" t="inlineStr">
        <is>
          <t>Строительство, ремонт → Строительный инвентарь → Комплектующие для строительного инвентаря → Комплектующие для строительного инвентаря</t>
        </is>
      </c>
      <c r="E991" s="3" t="n">
        <v>5864369</v>
      </c>
      <c r="F991" s="3" t="n">
        <v>874</v>
      </c>
      <c r="G991" s="3">
        <f>IFERROR(E991/F991,0)</f>
        <v/>
      </c>
      <c r="H991" s="3" t="n">
        <v>157</v>
      </c>
      <c r="I991" s="2" t="n">
        <v>34</v>
      </c>
      <c r="J991" s="3">
        <f>IFERROR(E991/H991,0)</f>
        <v/>
      </c>
      <c r="K991" s="10">
        <f>E991/'По разделам'!$B$21</f>
        <v/>
      </c>
      <c r="L991" s="4">
        <f>L990+K991</f>
        <v/>
      </c>
      <c r="M991" s="2" t="inlineStr">
        <is>
          <t>qe94b0a5818122ad</t>
        </is>
      </c>
      <c r="N991" s="2" t="inlineStr">
        <is>
          <t>https://app.redstat.kz/niche/qe94b0a5818122ad?event_date=2026-08-01</t>
        </is>
      </c>
      <c r="O991" s="2" t="inlineStr"/>
    </row>
    <row r="992">
      <c r="A992" s="2" t="n">
        <v>991</v>
      </c>
      <c r="B992" s="2" t="inlineStr">
        <is>
          <t>Аксессуары для кухонных моек</t>
        </is>
      </c>
      <c r="C992" s="2" t="inlineStr">
        <is>
          <t>Товары для дома и дачи</t>
        </is>
      </c>
      <c r="D992" s="2" t="inlineStr">
        <is>
          <t>Товары для дома и дачи → Хозяйственные товары → Аксессуары для кухонных моек</t>
        </is>
      </c>
      <c r="E992" s="3" t="n">
        <v>5845959</v>
      </c>
      <c r="F992" s="3" t="n">
        <v>5285</v>
      </c>
      <c r="G992" s="3">
        <f>IFERROR(E992/F992,0)</f>
        <v/>
      </c>
      <c r="H992" s="3" t="n">
        <v>336</v>
      </c>
      <c r="I992" s="2" t="n">
        <v>83</v>
      </c>
      <c r="J992" s="3">
        <f>IFERROR(E992/H992,0)</f>
        <v/>
      </c>
      <c r="K992" s="10">
        <f>E992/'По разделам'!$B$21</f>
        <v/>
      </c>
      <c r="L992" s="4">
        <f>L991+K992</f>
        <v/>
      </c>
      <c r="M992" s="2" t="inlineStr">
        <is>
          <t>06648</t>
        </is>
      </c>
      <c r="N992" s="2" t="inlineStr">
        <is>
          <t>https://app.redstat.kz/niche/06648?event_date=2026-08-01</t>
        </is>
      </c>
      <c r="O992" s="2" t="inlineStr">
        <is>
          <t>https://kaspi.kz/shop/c/accessories%20for%20kitchen%20sinks/</t>
        </is>
      </c>
    </row>
    <row r="993">
      <c r="A993" s="2" t="n">
        <v>992</v>
      </c>
      <c r="B993" s="2" t="inlineStr">
        <is>
          <t>Ботинки для девочек</t>
        </is>
      </c>
      <c r="C993" s="2" t="inlineStr">
        <is>
          <t>Обувь</t>
        </is>
      </c>
      <c r="D993" s="2" t="inlineStr">
        <is>
          <t>Обувь → Обувь для девочек → Ботинки для девочек</t>
        </is>
      </c>
      <c r="E993" s="3" t="n">
        <v>5798106</v>
      </c>
      <c r="F993" s="3" t="n">
        <v>329</v>
      </c>
      <c r="G993" s="3">
        <f>IFERROR(E993/F993,0)</f>
        <v/>
      </c>
      <c r="H993" s="3" t="n">
        <v>234</v>
      </c>
      <c r="I993" s="2" t="n">
        <v>55</v>
      </c>
      <c r="J993" s="3">
        <f>IFERROR(E993/H993,0)</f>
        <v/>
      </c>
      <c r="K993" s="10">
        <f>E993/'По разделам'!$B$21</f>
        <v/>
      </c>
      <c r="L993" s="4">
        <f>L992+K993</f>
        <v/>
      </c>
      <c r="M993" s="2" t="inlineStr">
        <is>
          <t>01089</t>
        </is>
      </c>
      <c r="N993" s="2" t="inlineStr">
        <is>
          <t>https://app.redstat.kz/niche/01089?event_date=2026-08-01</t>
        </is>
      </c>
      <c r="O993" s="2" t="inlineStr">
        <is>
          <t>https://kaspi.kz/shop/c/girl%20boots/</t>
        </is>
      </c>
    </row>
    <row r="994">
      <c r="A994" s="2" t="n">
        <v>993</v>
      </c>
      <c r="B994" s="2" t="inlineStr">
        <is>
          <t>Фонари строительные</t>
        </is>
      </c>
      <c r="C994" s="2" t="inlineStr">
        <is>
          <t>Строительство, ремонт</t>
        </is>
      </c>
      <c r="D994" s="2" t="inlineStr">
        <is>
          <t>Строительство, ремонт → Строительный инвентарь → Фонари строительные</t>
        </is>
      </c>
      <c r="E994" s="3" t="n">
        <v>5736564</v>
      </c>
      <c r="F994" s="3" t="n">
        <v>557</v>
      </c>
      <c r="G994" s="3">
        <f>IFERROR(E994/F994,0)</f>
        <v/>
      </c>
      <c r="H994" s="3" t="n">
        <v>101</v>
      </c>
      <c r="I994" s="2" t="n">
        <v>39</v>
      </c>
      <c r="J994" s="3">
        <f>IFERROR(E994/H994,0)</f>
        <v/>
      </c>
      <c r="K994" s="10">
        <f>E994/'По разделам'!$B$21</f>
        <v/>
      </c>
      <c r="L994" s="4">
        <f>L993+K994</f>
        <v/>
      </c>
      <c r="M994" s="2" t="inlineStr">
        <is>
          <t>02110</t>
        </is>
      </c>
      <c r="N994" s="2" t="inlineStr">
        <is>
          <t>https://app.redstat.kz/niche/02110?event_date=2026-08-01</t>
        </is>
      </c>
      <c r="O994" s="2" t="inlineStr">
        <is>
          <t>https://kaspi.kz/shop/c/building%20flashlights/</t>
        </is>
      </c>
    </row>
    <row r="995">
      <c r="A995" s="2" t="n">
        <v>994</v>
      </c>
      <c r="B995" s="2" t="inlineStr">
        <is>
          <t>Ботинки для малышей</t>
        </is>
      </c>
      <c r="C995" s="2" t="inlineStr">
        <is>
          <t>Обувь</t>
        </is>
      </c>
      <c r="D995" s="2" t="inlineStr">
        <is>
          <t>Обувь → Обувь для малышей → Ботинки для малышей</t>
        </is>
      </c>
      <c r="E995" s="3" t="n">
        <v>5733368</v>
      </c>
      <c r="F995" s="3" t="n">
        <v>264</v>
      </c>
      <c r="G995" s="3">
        <f>IFERROR(E995/F995,0)</f>
        <v/>
      </c>
      <c r="H995" s="3" t="n">
        <v>200</v>
      </c>
      <c r="I995" s="2" t="n">
        <v>28</v>
      </c>
      <c r="J995" s="3">
        <f>IFERROR(E995/H995,0)</f>
        <v/>
      </c>
      <c r="K995" s="10">
        <f>E995/'По разделам'!$B$21</f>
        <v/>
      </c>
      <c r="L995" s="4">
        <f>L994+K995</f>
        <v/>
      </c>
      <c r="M995" s="2" t="inlineStr">
        <is>
          <t>07250</t>
        </is>
      </c>
      <c r="N995" s="2" t="inlineStr">
        <is>
          <t>https://app.redstat.kz/niche/07250?event_date=2026-08-01</t>
        </is>
      </c>
      <c r="O995" s="2" t="inlineStr">
        <is>
          <t>https://kaspi.kz/shop/c/boots%20for%20babies/</t>
        </is>
      </c>
    </row>
    <row r="996">
      <c r="A996" s="2" t="n">
        <v>995</v>
      </c>
      <c r="B996" s="2" t="inlineStr">
        <is>
          <t>Трансмиссионные стойки</t>
        </is>
      </c>
      <c r="C996" s="2" t="inlineStr">
        <is>
          <t>Автотовары</t>
        </is>
      </c>
      <c r="D996" s="2" t="inlineStr">
        <is>
          <t>Автотовары → Автосервисное оборудование → Трансмиссионные стойки</t>
        </is>
      </c>
      <c r="E996" s="3" t="n">
        <v>5721820</v>
      </c>
      <c r="F996" s="3" t="n">
        <v>81</v>
      </c>
      <c r="G996" s="3">
        <f>IFERROR(E996/F996,0)</f>
        <v/>
      </c>
      <c r="H996" s="3" t="n">
        <v>21</v>
      </c>
      <c r="I996" s="2" t="n">
        <v>8</v>
      </c>
      <c r="J996" s="3">
        <f>IFERROR(E996/H996,0)</f>
        <v/>
      </c>
      <c r="K996" s="10">
        <f>E996/'По разделам'!$B$21</f>
        <v/>
      </c>
      <c r="L996" s="4">
        <f>L995+K996</f>
        <v/>
      </c>
      <c r="M996" s="2" t="inlineStr">
        <is>
          <t>03864</t>
        </is>
      </c>
      <c r="N996" s="2" t="inlineStr">
        <is>
          <t>https://app.redstat.kz/niche/03864?event_date=2026-08-01</t>
        </is>
      </c>
      <c r="O996" s="2" t="inlineStr">
        <is>
          <t>https://kaspi.kz/shop/c/transmission%20racks/</t>
        </is>
      </c>
    </row>
    <row r="997">
      <c r="A997" s="2" t="n">
        <v>996</v>
      </c>
      <c r="B997" s="2" t="inlineStr">
        <is>
          <t>Воздушная система</t>
        </is>
      </c>
      <c r="C997" s="2" t="inlineStr">
        <is>
          <t>Автотовары</t>
        </is>
      </c>
      <c r="D997" s="2" t="inlineStr">
        <is>
          <t>Автотовары → Автозапчасти → Воздушная система → Воздушная система</t>
        </is>
      </c>
      <c r="E997" s="3" t="n">
        <v>5712194</v>
      </c>
      <c r="F997" s="3" t="n">
        <v>184</v>
      </c>
      <c r="G997" s="3">
        <f>IFERROR(E997/F997,0)</f>
        <v/>
      </c>
      <c r="H997" s="3" t="n">
        <v>104</v>
      </c>
      <c r="I997" s="2" t="n">
        <v>52</v>
      </c>
      <c r="J997" s="3">
        <f>IFERROR(E997/H997,0)</f>
        <v/>
      </c>
      <c r="K997" s="10">
        <f>E997/'По разделам'!$B$21</f>
        <v/>
      </c>
      <c r="L997" s="4">
        <f>L996+K997</f>
        <v/>
      </c>
      <c r="M997" s="2" t="inlineStr">
        <is>
          <t>qef2fc9d6205ade2</t>
        </is>
      </c>
      <c r="N997" s="2" t="inlineStr">
        <is>
          <t>https://app.redstat.kz/niche/qef2fc9d6205ade2?event_date=2026-08-01</t>
        </is>
      </c>
      <c r="O997" s="2" t="inlineStr"/>
    </row>
    <row r="998">
      <c r="A998" s="2" t="n">
        <v>997</v>
      </c>
      <c r="B998" s="2" t="inlineStr">
        <is>
          <t>Аксессуары для шин</t>
        </is>
      </c>
      <c r="C998" s="2" t="inlineStr">
        <is>
          <t>Автотовары</t>
        </is>
      </c>
      <c r="D998" s="2" t="inlineStr">
        <is>
          <t>Автотовары → Шины → Аксессуары для шин → Аксессуары для шин</t>
        </is>
      </c>
      <c r="E998" s="3" t="n">
        <v>5679524</v>
      </c>
      <c r="F998" s="3" t="n">
        <v>212</v>
      </c>
      <c r="G998" s="3">
        <f>IFERROR(E998/F998,0)</f>
        <v/>
      </c>
      <c r="H998" s="3" t="n">
        <v>82</v>
      </c>
      <c r="I998" s="2" t="n">
        <v>33</v>
      </c>
      <c r="J998" s="3">
        <f>IFERROR(E998/H998,0)</f>
        <v/>
      </c>
      <c r="K998" s="10">
        <f>E998/'По разделам'!$B$21</f>
        <v/>
      </c>
      <c r="L998" s="4">
        <f>L997+K998</f>
        <v/>
      </c>
      <c r="M998" s="2" t="inlineStr">
        <is>
          <t>qcdaa7402556bd7b</t>
        </is>
      </c>
      <c r="N998" s="2" t="inlineStr">
        <is>
          <t>https://app.redstat.kz/niche/qcdaa7402556bd7b?event_date=2026-08-01</t>
        </is>
      </c>
      <c r="O998" s="2" t="inlineStr"/>
    </row>
    <row r="999">
      <c r="A999" s="2" t="n">
        <v>998</v>
      </c>
      <c r="B999" s="2" t="inlineStr">
        <is>
          <t>Плунжерные шприцы для смазки</t>
        </is>
      </c>
      <c r="C999" s="2" t="inlineStr">
        <is>
          <t>Автотовары</t>
        </is>
      </c>
      <c r="D999" s="2" t="inlineStr">
        <is>
          <t>Автотовары → Автоинструменты → Плунжерные шприцы для смазки</t>
        </is>
      </c>
      <c r="E999" s="3" t="n">
        <v>5674306</v>
      </c>
      <c r="F999" s="3" t="n">
        <v>436</v>
      </c>
      <c r="G999" s="3">
        <f>IFERROR(E999/F999,0)</f>
        <v/>
      </c>
      <c r="H999" s="3" t="n">
        <v>52</v>
      </c>
      <c r="I999" s="2" t="n">
        <v>27</v>
      </c>
      <c r="J999" s="3">
        <f>IFERROR(E999/H999,0)</f>
        <v/>
      </c>
      <c r="K999" s="10">
        <f>E999/'По разделам'!$B$21</f>
        <v/>
      </c>
      <c r="L999" s="4">
        <f>L998+K999</f>
        <v/>
      </c>
      <c r="M999" s="2" t="inlineStr">
        <is>
          <t>04444</t>
        </is>
      </c>
      <c r="N999" s="2" t="inlineStr">
        <is>
          <t>https://app.redstat.kz/niche/04444?event_date=2026-08-01</t>
        </is>
      </c>
      <c r="O999" s="2" t="inlineStr">
        <is>
          <t>https://kaspi.kz/shop/c/plunger%20grease%20guns/</t>
        </is>
      </c>
    </row>
    <row r="1000">
      <c r="A1000" s="2" t="n">
        <v>999</v>
      </c>
      <c r="B1000" s="2" t="inlineStr">
        <is>
          <t>Кардиганы и джемперы для девочек</t>
        </is>
      </c>
      <c r="C1000" s="2" t="inlineStr">
        <is>
          <t>Одежда</t>
        </is>
      </c>
      <c r="D1000" s="2" t="inlineStr">
        <is>
          <t>Одежда → Девочкам → Кардиганы и джемперы для девочек</t>
        </is>
      </c>
      <c r="E1000" s="3" t="n">
        <v>5642635</v>
      </c>
      <c r="F1000" s="3" t="n">
        <v>1114</v>
      </c>
      <c r="G1000" s="3">
        <f>IFERROR(E1000/F1000,0)</f>
        <v/>
      </c>
      <c r="H1000" s="3" t="n">
        <v>309</v>
      </c>
      <c r="I1000" s="2" t="n">
        <v>41</v>
      </c>
      <c r="J1000" s="3">
        <f>IFERROR(E1000/H1000,0)</f>
        <v/>
      </c>
      <c r="K1000" s="10">
        <f>E1000/'По разделам'!$B$21</f>
        <v/>
      </c>
      <c r="L1000" s="4">
        <f>L999+K1000</f>
        <v/>
      </c>
      <c r="M1000" s="2" t="inlineStr">
        <is>
          <t>01379</t>
        </is>
      </c>
      <c r="N1000" s="2" t="inlineStr">
        <is>
          <t>https://app.redstat.kz/niche/01379?event_date=2026-08-01</t>
        </is>
      </c>
      <c r="O1000" s="2" t="inlineStr">
        <is>
          <t>https://kaspi.kz/shop/c/girl%20cardigans%20and%20pullovers/</t>
        </is>
      </c>
    </row>
    <row r="1001">
      <c r="A1001" s="2" t="n">
        <v>1000</v>
      </c>
      <c r="B1001" s="2" t="inlineStr">
        <is>
          <t>Баскетбол</t>
        </is>
      </c>
      <c r="C1001" s="2" t="inlineStr">
        <is>
          <t>Спорт, туризм</t>
        </is>
      </c>
      <c r="D1001" s="2" t="inlineStr">
        <is>
          <t>Спорт, туризм → Командные виды спорта → Баскетбол → Баскетбол</t>
        </is>
      </c>
      <c r="E1001" s="3" t="n">
        <v>5609944</v>
      </c>
      <c r="F1001" s="3" t="n">
        <v>480</v>
      </c>
      <c r="G1001" s="3">
        <f>IFERROR(E1001/F1001,0)</f>
        <v/>
      </c>
      <c r="H1001" s="3" t="n">
        <v>114</v>
      </c>
      <c r="I1001" s="2" t="n">
        <v>27</v>
      </c>
      <c r="J1001" s="3">
        <f>IFERROR(E1001/H1001,0)</f>
        <v/>
      </c>
      <c r="K1001" s="10">
        <f>E1001/'По разделам'!$B$21</f>
        <v/>
      </c>
      <c r="L1001" s="4">
        <f>L1000+K1001</f>
        <v/>
      </c>
      <c r="M1001" s="2" t="inlineStr">
        <is>
          <t>q61e6e6145f77ecd</t>
        </is>
      </c>
      <c r="N1001" s="2" t="inlineStr">
        <is>
          <t>https://app.redstat.kz/niche/q61e6e6145f77ecd?event_date=2026-08-01</t>
        </is>
      </c>
      <c r="O1001" s="2" t="inlineStr"/>
    </row>
    <row r="1002">
      <c r="A1002" s="2" t="n">
        <v>1001</v>
      </c>
      <c r="B1002" s="2" t="inlineStr">
        <is>
          <t>Перчатки для единоборств</t>
        </is>
      </c>
      <c r="C1002" s="2" t="inlineStr">
        <is>
          <t>Спорт, туризм</t>
        </is>
      </c>
      <c r="D1002" s="2" t="inlineStr">
        <is>
          <t>Спорт, туризм → Единоборства → Перчатки для единоборств</t>
        </is>
      </c>
      <c r="E1002" s="3" t="n">
        <v>5585704</v>
      </c>
      <c r="F1002" s="3" t="n">
        <v>920</v>
      </c>
      <c r="G1002" s="3">
        <f>IFERROR(E1002/F1002,0)</f>
        <v/>
      </c>
      <c r="H1002" s="3" t="n">
        <v>302</v>
      </c>
      <c r="I1002" s="2" t="n">
        <v>41</v>
      </c>
      <c r="J1002" s="3">
        <f>IFERROR(E1002/H1002,0)</f>
        <v/>
      </c>
      <c r="K1002" s="10">
        <f>E1002/'По разделам'!$B$21</f>
        <v/>
      </c>
      <c r="L1002" s="4">
        <f>L1001+K1002</f>
        <v/>
      </c>
      <c r="M1002" s="2" t="inlineStr">
        <is>
          <t>01546</t>
        </is>
      </c>
      <c r="N1002" s="2" t="inlineStr">
        <is>
          <t>https://app.redstat.kz/niche/01546?event_date=2026-08-01</t>
        </is>
      </c>
      <c r="O1002" s="2" t="inlineStr">
        <is>
          <t>https://kaspi.kz/shop/c/training%20gloves/</t>
        </is>
      </c>
    </row>
    <row r="1003">
      <c r="A1003" s="2" t="n">
        <v>1002</v>
      </c>
      <c r="B1003" s="2" t="inlineStr">
        <is>
          <t>Маски для сна</t>
        </is>
      </c>
      <c r="C1003" s="2" t="inlineStr">
        <is>
          <t>Аксессуары</t>
        </is>
      </c>
      <c r="D1003" s="2" t="inlineStr">
        <is>
          <t>Аксессуары → Маски для сна</t>
        </is>
      </c>
      <c r="E1003" s="3" t="n">
        <v>5574643</v>
      </c>
      <c r="F1003" s="3" t="n">
        <v>3282</v>
      </c>
      <c r="G1003" s="3">
        <f>IFERROR(E1003/F1003,0)</f>
        <v/>
      </c>
      <c r="H1003" s="3" t="n">
        <v>153</v>
      </c>
      <c r="I1003" s="2" t="n">
        <v>48</v>
      </c>
      <c r="J1003" s="3">
        <f>IFERROR(E1003/H1003,0)</f>
        <v/>
      </c>
      <c r="K1003" s="10">
        <f>E1003/'По разделам'!$B$21</f>
        <v/>
      </c>
      <c r="L1003" s="4">
        <f>L1002+K1003</f>
        <v/>
      </c>
      <c r="M1003" s="2" t="inlineStr">
        <is>
          <t>06323</t>
        </is>
      </c>
      <c r="N1003" s="2" t="inlineStr">
        <is>
          <t>https://app.redstat.kz/niche/06323?event_date=2026-08-01</t>
        </is>
      </c>
      <c r="O1003" s="2" t="inlineStr">
        <is>
          <t>https://kaspi.kz/shop/c/sleep%20masks/</t>
        </is>
      </c>
    </row>
    <row r="1004">
      <c r="A1004" s="2" t="n">
        <v>1003</v>
      </c>
      <c r="B1004" s="2" t="inlineStr">
        <is>
          <t>Силовые рамы и машины Смита</t>
        </is>
      </c>
      <c r="C1004" s="2" t="inlineStr">
        <is>
          <t>Спорт, туризм</t>
        </is>
      </c>
      <c r="D1004" s="2" t="inlineStr">
        <is>
          <t>Спорт, туризм → Тренажеры → Силовые рамы и машины Смита</t>
        </is>
      </c>
      <c r="E1004" s="3" t="n">
        <v>5523479</v>
      </c>
      <c r="F1004" s="3" t="n">
        <v>8</v>
      </c>
      <c r="G1004" s="3">
        <f>IFERROR(E1004/F1004,0)</f>
        <v/>
      </c>
      <c r="H1004" s="3" t="n">
        <v>6</v>
      </c>
      <c r="I1004" s="2" t="n">
        <v>3</v>
      </c>
      <c r="J1004" s="3">
        <f>IFERROR(E1004/H1004,0)</f>
        <v/>
      </c>
      <c r="K1004" s="10">
        <f>E1004/'По разделам'!$B$21</f>
        <v/>
      </c>
      <c r="L1004" s="4">
        <f>L1003+K1004</f>
        <v/>
      </c>
      <c r="M1004" s="2" t="inlineStr">
        <is>
          <t>02026</t>
        </is>
      </c>
      <c r="N1004" s="2" t="inlineStr">
        <is>
          <t>https://app.redstat.kz/niche/02026?event_date=2026-08-01</t>
        </is>
      </c>
      <c r="O1004" s="2" t="inlineStr">
        <is>
          <t>https://kaspi.kz/shop/c/weight%20racks/</t>
        </is>
      </c>
    </row>
    <row r="1005">
      <c r="A1005" s="2" t="n">
        <v>1004</v>
      </c>
      <c r="B1005" s="2" t="inlineStr">
        <is>
          <t>Крючки для одежды</t>
        </is>
      </c>
      <c r="C1005" s="2" t="inlineStr">
        <is>
          <t>Мебель</t>
        </is>
      </c>
      <c r="D1005" s="2" t="inlineStr">
        <is>
          <t>Мебель → Прихожая → Крючки для одежды</t>
        </is>
      </c>
      <c r="E1005" s="3" t="n">
        <v>5490179</v>
      </c>
      <c r="F1005" s="3" t="n">
        <v>3252</v>
      </c>
      <c r="G1005" s="3">
        <f>IFERROR(E1005/F1005,0)</f>
        <v/>
      </c>
      <c r="H1005" s="3" t="n">
        <v>275</v>
      </c>
      <c r="I1005" s="2" t="n">
        <v>51</v>
      </c>
      <c r="J1005" s="3">
        <f>IFERROR(E1005/H1005,0)</f>
        <v/>
      </c>
      <c r="K1005" s="10">
        <f>E1005/'По разделам'!$B$21</f>
        <v/>
      </c>
      <c r="L1005" s="4">
        <f>L1004+K1005</f>
        <v/>
      </c>
      <c r="M1005" s="2" t="inlineStr">
        <is>
          <t>09275</t>
        </is>
      </c>
      <c r="N1005" s="2" t="inlineStr">
        <is>
          <t>https://app.redstat.kz/niche/09275?event_date=2026-08-01</t>
        </is>
      </c>
      <c r="O1005" s="2" t="inlineStr">
        <is>
          <t>https://kaspi.kz/shop/c/clothes%20hooks/</t>
        </is>
      </c>
    </row>
    <row r="1006">
      <c r="A1006" s="2" t="n">
        <v>1005</v>
      </c>
      <c r="B1006" s="2" t="inlineStr">
        <is>
          <t>Наборы для покера</t>
        </is>
      </c>
      <c r="C1006" s="2" t="inlineStr">
        <is>
          <t>Досуг, книги</t>
        </is>
      </c>
      <c r="D1006" s="2" t="inlineStr">
        <is>
          <t>Досуг, книги → Игры для компаний → Наборы для покера</t>
        </is>
      </c>
      <c r="E1006" s="3" t="n">
        <v>5465693</v>
      </c>
      <c r="F1006" s="3" t="n">
        <v>422</v>
      </c>
      <c r="G1006" s="3">
        <f>IFERROR(E1006/F1006,0)</f>
        <v/>
      </c>
      <c r="H1006" s="3" t="n">
        <v>64</v>
      </c>
      <c r="I1006" s="2" t="n">
        <v>16</v>
      </c>
      <c r="J1006" s="3">
        <f>IFERROR(E1006/H1006,0)</f>
        <v/>
      </c>
      <c r="K1006" s="10">
        <f>E1006/'По разделам'!$B$21</f>
        <v/>
      </c>
      <c r="L1006" s="4">
        <f>L1005+K1006</f>
        <v/>
      </c>
      <c r="M1006" s="2" t="inlineStr">
        <is>
          <t>02817</t>
        </is>
      </c>
      <c r="N1006" s="2" t="inlineStr">
        <is>
          <t>https://app.redstat.kz/niche/02817?event_date=2026-08-01</t>
        </is>
      </c>
      <c r="O1006" s="2" t="inlineStr">
        <is>
          <t>https://kaspi.kz/shop/c/poker%20sets/</t>
        </is>
      </c>
    </row>
    <row r="1007">
      <c r="A1007" s="2" t="n">
        <v>1006</v>
      </c>
      <c r="B1007" s="2" t="inlineStr">
        <is>
          <t>Парафин косметический</t>
        </is>
      </c>
      <c r="C1007" s="2" t="inlineStr">
        <is>
          <t>Красота и здоровье</t>
        </is>
      </c>
      <c r="D1007" s="2" t="inlineStr">
        <is>
          <t>Красота и здоровье → Уход за телом → Парафин косметический</t>
        </is>
      </c>
      <c r="E1007" s="3" t="n">
        <v>5435391</v>
      </c>
      <c r="F1007" s="3" t="n">
        <v>2115</v>
      </c>
      <c r="G1007" s="3">
        <f>IFERROR(E1007/F1007,0)</f>
        <v/>
      </c>
      <c r="H1007" s="3" t="n">
        <v>102</v>
      </c>
      <c r="I1007" s="2" t="n">
        <v>25</v>
      </c>
      <c r="J1007" s="3">
        <f>IFERROR(E1007/H1007,0)</f>
        <v/>
      </c>
      <c r="K1007" s="10">
        <f>E1007/'По разделам'!$B$21</f>
        <v/>
      </c>
      <c r="L1007" s="4">
        <f>L1006+K1007</f>
        <v/>
      </c>
      <c r="M1007" s="2" t="inlineStr">
        <is>
          <t>05200</t>
        </is>
      </c>
      <c r="N1007" s="2" t="inlineStr">
        <is>
          <t>https://app.redstat.kz/niche/05200?event_date=2026-08-01</t>
        </is>
      </c>
      <c r="O1007" s="2" t="inlineStr">
        <is>
          <t>https://kaspi.kz/shop/c/cosmetic%20paraffin/</t>
        </is>
      </c>
    </row>
    <row r="1008">
      <c r="A1008" s="2" t="n">
        <v>1007</v>
      </c>
      <c r="B1008" s="2" t="inlineStr">
        <is>
          <t>Карнавальные костюмы для девочек</t>
        </is>
      </c>
      <c r="C1008" s="2" t="inlineStr">
        <is>
          <t>Одежда</t>
        </is>
      </c>
      <c r="D1008" s="2" t="inlineStr">
        <is>
          <t>Одежда → Девочкам → Карнавальные костюмы для девочек</t>
        </is>
      </c>
      <c r="E1008" s="3" t="n">
        <v>5433747</v>
      </c>
      <c r="F1008" s="3" t="n">
        <v>773</v>
      </c>
      <c r="G1008" s="3">
        <f>IFERROR(E1008/F1008,0)</f>
        <v/>
      </c>
      <c r="H1008" s="3" t="n">
        <v>137</v>
      </c>
      <c r="I1008" s="2" t="n">
        <v>13</v>
      </c>
      <c r="J1008" s="3">
        <f>IFERROR(E1008/H1008,0)</f>
        <v/>
      </c>
      <c r="K1008" s="10">
        <f>E1008/'По разделам'!$B$21</f>
        <v/>
      </c>
      <c r="L1008" s="4">
        <f>L1007+K1008</f>
        <v/>
      </c>
      <c r="M1008" s="2" t="inlineStr">
        <is>
          <t>05482</t>
        </is>
      </c>
      <c r="N1008" s="2" t="inlineStr">
        <is>
          <t>https://app.redstat.kz/niche/05482?event_date=2026-08-01</t>
        </is>
      </c>
      <c r="O1008" s="2" t="inlineStr">
        <is>
          <t>https://kaspi.kz/shop/c/girl%20costumes/</t>
        </is>
      </c>
    </row>
    <row r="1009">
      <c r="A1009" s="2" t="n">
        <v>1008</v>
      </c>
      <c r="B1009" s="2" t="inlineStr">
        <is>
          <t>Сетевые хранилища</t>
        </is>
      </c>
      <c r="C1009" s="2" t="inlineStr">
        <is>
          <t>Компьютеры</t>
        </is>
      </c>
      <c r="D1009" s="2" t="inlineStr">
        <is>
          <t>Компьютеры → Сетевое оборудование → Сетевые хранилища</t>
        </is>
      </c>
      <c r="E1009" s="3" t="n">
        <v>5423084</v>
      </c>
      <c r="F1009" s="3" t="n">
        <v>16</v>
      </c>
      <c r="G1009" s="3">
        <f>IFERROR(E1009/F1009,0)</f>
        <v/>
      </c>
      <c r="H1009" s="3" t="n">
        <v>11</v>
      </c>
      <c r="I1009" s="2" t="n">
        <v>2</v>
      </c>
      <c r="J1009" s="3">
        <f>IFERROR(E1009/H1009,0)</f>
        <v/>
      </c>
      <c r="K1009" s="10">
        <f>E1009/'По разделам'!$B$21</f>
        <v/>
      </c>
      <c r="L1009" s="4">
        <f>L1008+K1009</f>
        <v/>
      </c>
      <c r="M1009" s="2" t="inlineStr">
        <is>
          <t>03043</t>
        </is>
      </c>
      <c r="N1009" s="2" t="inlineStr">
        <is>
          <t>https://app.redstat.kz/niche/03043?event_date=2026-08-01</t>
        </is>
      </c>
      <c r="O1009" s="2" t="inlineStr">
        <is>
          <t>https://kaspi.kz/shop/c/nas/</t>
        </is>
      </c>
    </row>
    <row r="1010">
      <c r="A1010" s="2" t="n">
        <v>1009</v>
      </c>
      <c r="B1010" s="2" t="inlineStr">
        <is>
          <t>Конверты для малышей</t>
        </is>
      </c>
      <c r="C1010" s="2" t="inlineStr">
        <is>
          <t>Одежда</t>
        </is>
      </c>
      <c r="D1010" s="2" t="inlineStr">
        <is>
          <t>Одежда → Одежда для малышей → Конверты для малышей</t>
        </is>
      </c>
      <c r="E1010" s="3" t="n">
        <v>5404692</v>
      </c>
      <c r="F1010" s="3" t="n">
        <v>352</v>
      </c>
      <c r="G1010" s="3">
        <f>IFERROR(E1010/F1010,0)</f>
        <v/>
      </c>
      <c r="H1010" s="3" t="n">
        <v>131</v>
      </c>
      <c r="I1010" s="2" t="n">
        <v>39</v>
      </c>
      <c r="J1010" s="3">
        <f>IFERROR(E1010/H1010,0)</f>
        <v/>
      </c>
      <c r="K1010" s="10">
        <f>E1010/'По разделам'!$B$21</f>
        <v/>
      </c>
      <c r="L1010" s="4">
        <f>L1009+K1010</f>
        <v/>
      </c>
      <c r="M1010" s="2" t="inlineStr">
        <is>
          <t>01132</t>
        </is>
      </c>
      <c r="N1010" s="2" t="inlineStr">
        <is>
          <t>https://app.redstat.kz/niche/01132?event_date=2026-08-01</t>
        </is>
      </c>
      <c r="O1010" s="2" t="inlineStr">
        <is>
          <t>https://kaspi.kz/shop/c/swaddling%20blankets/</t>
        </is>
      </c>
    </row>
    <row r="1011">
      <c r="A1011" s="2" t="n">
        <v>1010</v>
      </c>
      <c r="B1011" s="2" t="inlineStr">
        <is>
          <t>Броши бижутерные</t>
        </is>
      </c>
      <c r="C1011" s="2" t="inlineStr">
        <is>
          <t>Украшения</t>
        </is>
      </c>
      <c r="D1011" s="2" t="inlineStr">
        <is>
          <t>Украшения → Броши → Броши бижутерные</t>
        </is>
      </c>
      <c r="E1011" s="3" t="n">
        <v>5401931</v>
      </c>
      <c r="F1011" s="3" t="n">
        <v>3269</v>
      </c>
      <c r="G1011" s="3">
        <f>IFERROR(E1011/F1011,0)</f>
        <v/>
      </c>
      <c r="H1011" s="3" t="n">
        <v>373</v>
      </c>
      <c r="I1011" s="2" t="n">
        <v>60</v>
      </c>
      <c r="J1011" s="3">
        <f>IFERROR(E1011/H1011,0)</f>
        <v/>
      </c>
      <c r="K1011" s="10">
        <f>E1011/'По разделам'!$B$21</f>
        <v/>
      </c>
      <c r="L1011" s="4">
        <f>L1010+K1011</f>
        <v/>
      </c>
      <c r="M1011" s="2" t="inlineStr">
        <is>
          <t>01759</t>
        </is>
      </c>
      <c r="N1011" s="2" t="inlineStr">
        <is>
          <t>https://app.redstat.kz/niche/01759?event_date=2026-08-01</t>
        </is>
      </c>
      <c r="O1011" s="2" t="inlineStr">
        <is>
          <t>https://kaspi.kz/shop/c/imitation%20brooches/</t>
        </is>
      </c>
    </row>
    <row r="1012">
      <c r="A1012" s="2" t="n">
        <v>1011</v>
      </c>
      <c r="B1012" s="2" t="inlineStr">
        <is>
          <t>Блоки для йоги</t>
        </is>
      </c>
      <c r="C1012" s="2" t="inlineStr">
        <is>
          <t>Спорт, туризм</t>
        </is>
      </c>
      <c r="D1012" s="2" t="inlineStr">
        <is>
          <t>Спорт, туризм → Йога и пилатес → Блоки для йоги</t>
        </is>
      </c>
      <c r="E1012" s="3" t="n">
        <v>5394417</v>
      </c>
      <c r="F1012" s="3" t="n">
        <v>2088</v>
      </c>
      <c r="G1012" s="3">
        <f>IFERROR(E1012/F1012,0)</f>
        <v/>
      </c>
      <c r="H1012" s="3" t="n">
        <v>133</v>
      </c>
      <c r="I1012" s="2" t="n">
        <v>38</v>
      </c>
      <c r="J1012" s="3">
        <f>IFERROR(E1012/H1012,0)</f>
        <v/>
      </c>
      <c r="K1012" s="10">
        <f>E1012/'По разделам'!$B$21</f>
        <v/>
      </c>
      <c r="L1012" s="4">
        <f>L1011+K1012</f>
        <v/>
      </c>
      <c r="M1012" s="2" t="inlineStr">
        <is>
          <t>04821</t>
        </is>
      </c>
      <c r="N1012" s="2" t="inlineStr">
        <is>
          <t>https://app.redstat.kz/niche/04821?event_date=2026-08-01</t>
        </is>
      </c>
      <c r="O1012" s="2" t="inlineStr">
        <is>
          <t>https://kaspi.kz/shop/c/yoga%20blocks/</t>
        </is>
      </c>
    </row>
    <row r="1013">
      <c r="A1013" s="2" t="n">
        <v>1012</v>
      </c>
      <c r="B1013" s="2" t="inlineStr">
        <is>
          <t>Рекуператоры</t>
        </is>
      </c>
      <c r="C1013" s="2" t="inlineStr">
        <is>
          <t>Бытовая техника</t>
        </is>
      </c>
      <c r="D1013" s="2" t="inlineStr">
        <is>
          <t>Бытовая техника → Климатическая техника → Рекуператоры</t>
        </is>
      </c>
      <c r="E1013" s="3" t="n">
        <v>5369420</v>
      </c>
      <c r="F1013" s="3" t="n">
        <v>24</v>
      </c>
      <c r="G1013" s="3">
        <f>IFERROR(E1013/F1013,0)</f>
        <v/>
      </c>
      <c r="H1013" s="3" t="n">
        <v>15</v>
      </c>
      <c r="I1013" s="2" t="n">
        <v>6</v>
      </c>
      <c r="J1013" s="3">
        <f>IFERROR(E1013/H1013,0)</f>
        <v/>
      </c>
      <c r="K1013" s="10">
        <f>E1013/'По разделам'!$B$21</f>
        <v/>
      </c>
      <c r="L1013" s="4">
        <f>L1012+K1013</f>
        <v/>
      </c>
      <c r="M1013" s="2" t="inlineStr">
        <is>
          <t>03746</t>
        </is>
      </c>
      <c r="N1013" s="2" t="inlineStr">
        <is>
          <t>https://app.redstat.kz/niche/03746?event_date=2026-08-01</t>
        </is>
      </c>
      <c r="O1013" s="2" t="inlineStr">
        <is>
          <t>https://kaspi.kz/shop/c/recuperators/</t>
        </is>
      </c>
    </row>
    <row r="1014">
      <c r="A1014" s="2" t="n">
        <v>1013</v>
      </c>
      <c r="B1014" s="2" t="inlineStr">
        <is>
          <t>Электроодеяла</t>
        </is>
      </c>
      <c r="C1014" s="2" t="inlineStr">
        <is>
          <t>Товары для дома и дачи</t>
        </is>
      </c>
      <c r="D1014" s="2" t="inlineStr">
        <is>
          <t>Товары для дома и дачи → Домашний текстиль → Электроодеяла</t>
        </is>
      </c>
      <c r="E1014" s="3" t="n">
        <v>5351331</v>
      </c>
      <c r="F1014" s="3" t="n">
        <v>75</v>
      </c>
      <c r="G1014" s="3">
        <f>IFERROR(E1014/F1014,0)</f>
        <v/>
      </c>
      <c r="H1014" s="3" t="n">
        <v>22</v>
      </c>
      <c r="I1014" s="2" t="n">
        <v>7</v>
      </c>
      <c r="J1014" s="3">
        <f>IFERROR(E1014/H1014,0)</f>
        <v/>
      </c>
      <c r="K1014" s="10">
        <f>E1014/'По разделам'!$B$21</f>
        <v/>
      </c>
      <c r="L1014" s="4">
        <f>L1013+K1014</f>
        <v/>
      </c>
      <c r="M1014" s="2" t="inlineStr">
        <is>
          <t>06680</t>
        </is>
      </c>
      <c r="N1014" s="2" t="inlineStr">
        <is>
          <t>https://app.redstat.kz/niche/06680?event_date=2026-08-01</t>
        </is>
      </c>
      <c r="O1014" s="2" t="inlineStr">
        <is>
          <t>https://kaspi.kz/shop/c/electric%20blankets/</t>
        </is>
      </c>
    </row>
    <row r="1015">
      <c r="A1015" s="2" t="n">
        <v>1014</v>
      </c>
      <c r="B1015" s="2" t="inlineStr">
        <is>
          <t>Коврики для ванной</t>
        </is>
      </c>
      <c r="C1015" s="2" t="inlineStr">
        <is>
          <t>Товары для дома и дачи</t>
        </is>
      </c>
      <c r="D1015" s="2" t="inlineStr">
        <is>
          <t>Товары для дома и дачи → Хозяйственные товары → Аксессуары для ванной и туалета → Коврики для ванной</t>
        </is>
      </c>
      <c r="E1015" s="3" t="n">
        <v>5328478</v>
      </c>
      <c r="F1015" s="3" t="n">
        <v>1599</v>
      </c>
      <c r="G1015" s="3">
        <f>IFERROR(E1015/F1015,0)</f>
        <v/>
      </c>
      <c r="H1015" s="3" t="n">
        <v>682</v>
      </c>
      <c r="I1015" s="2" t="n">
        <v>201</v>
      </c>
      <c r="J1015" s="3">
        <f>IFERROR(E1015/H1015,0)</f>
        <v/>
      </c>
      <c r="K1015" s="10">
        <f>E1015/'По разделам'!$B$21</f>
        <v/>
      </c>
      <c r="L1015" s="4">
        <f>L1014+K1015</f>
        <v/>
      </c>
      <c r="M1015" s="2" t="inlineStr">
        <is>
          <t>01568</t>
        </is>
      </c>
      <c r="N1015" s="2" t="inlineStr">
        <is>
          <t>https://app.redstat.kz/niche/01568?event_date=2026-08-01</t>
        </is>
      </c>
      <c r="O1015" s="2" t="inlineStr">
        <is>
          <t>https://kaspi.kz/shop/c/bath%20rugs/</t>
        </is>
      </c>
    </row>
    <row r="1016">
      <c r="A1016" s="2" t="n">
        <v>1015</v>
      </c>
      <c r="B1016" s="2" t="inlineStr">
        <is>
          <t>Строительная химия</t>
        </is>
      </c>
      <c r="C1016" s="2" t="inlineStr">
        <is>
          <t>Строительство, ремонт</t>
        </is>
      </c>
      <c r="D1016" s="2" t="inlineStr">
        <is>
          <t>Строительство, ремонт → Лакокрасочные материалы → Строительная химия</t>
        </is>
      </c>
      <c r="E1016" s="3" t="n">
        <v>5315076</v>
      </c>
      <c r="F1016" s="3" t="n">
        <v>578</v>
      </c>
      <c r="G1016" s="3">
        <f>IFERROR(E1016/F1016,0)</f>
        <v/>
      </c>
      <c r="H1016" s="3" t="n">
        <v>121</v>
      </c>
      <c r="I1016" s="2" t="n">
        <v>46</v>
      </c>
      <c r="J1016" s="3">
        <f>IFERROR(E1016/H1016,0)</f>
        <v/>
      </c>
      <c r="K1016" s="10">
        <f>E1016/'По разделам'!$B$21</f>
        <v/>
      </c>
      <c r="L1016" s="4">
        <f>L1015+K1016</f>
        <v/>
      </c>
      <c r="M1016" s="2" t="inlineStr">
        <is>
          <t>04119</t>
        </is>
      </c>
      <c r="N1016" s="2" t="inlineStr">
        <is>
          <t>https://app.redstat.kz/niche/04119?event_date=2026-08-01</t>
        </is>
      </c>
      <c r="O1016" s="2" t="inlineStr">
        <is>
          <t>https://kaspi.kz/shop/c/construction%20chemistry/</t>
        </is>
      </c>
    </row>
    <row r="1017">
      <c r="A1017" s="2" t="n">
        <v>1016</v>
      </c>
      <c r="B1017" s="2" t="inlineStr">
        <is>
          <t>Насадки для фена</t>
        </is>
      </c>
      <c r="C1017" s="2" t="inlineStr">
        <is>
          <t>Красота и здоровье</t>
        </is>
      </c>
      <c r="D1017" s="2" t="inlineStr">
        <is>
          <t>Красота и здоровье → Техника и оборудование для красоты → Насадки для фена</t>
        </is>
      </c>
      <c r="E1017" s="3" t="n">
        <v>5292093</v>
      </c>
      <c r="F1017" s="3" t="n">
        <v>1494</v>
      </c>
      <c r="G1017" s="3">
        <f>IFERROR(E1017/F1017,0)</f>
        <v/>
      </c>
      <c r="H1017" s="3" t="n">
        <v>54</v>
      </c>
      <c r="I1017" s="2" t="n">
        <v>14</v>
      </c>
      <c r="J1017" s="3">
        <f>IFERROR(E1017/H1017,0)</f>
        <v/>
      </c>
      <c r="K1017" s="10">
        <f>E1017/'По разделам'!$B$21</f>
        <v/>
      </c>
      <c r="L1017" s="4">
        <f>L1016+K1017</f>
        <v/>
      </c>
      <c r="M1017" s="2" t="inlineStr">
        <is>
          <t>06707</t>
        </is>
      </c>
      <c r="N1017" s="2" t="inlineStr">
        <is>
          <t>https://app.redstat.kz/niche/06707?event_date=2026-08-01</t>
        </is>
      </c>
      <c r="O1017" s="2" t="inlineStr">
        <is>
          <t>https://kaspi.kz/shop/c/hair%20dryer%20attachments/</t>
        </is>
      </c>
    </row>
    <row r="1018">
      <c r="A1018" s="2" t="n">
        <v>1017</v>
      </c>
      <c r="B1018" s="2" t="inlineStr">
        <is>
          <t>Сумки и ящики для охоты</t>
        </is>
      </c>
      <c r="C1018" s="2" t="inlineStr">
        <is>
          <t>Спорт, туризм</t>
        </is>
      </c>
      <c r="D1018" s="2" t="inlineStr">
        <is>
          <t>Спорт, туризм → Товары для охоты и стрельбы → Сумки и ящики для охоты</t>
        </is>
      </c>
      <c r="E1018" s="3" t="n">
        <v>5282234</v>
      </c>
      <c r="F1018" s="3" t="n">
        <v>539</v>
      </c>
      <c r="G1018" s="3">
        <f>IFERROR(E1018/F1018,0)</f>
        <v/>
      </c>
      <c r="H1018" s="3" t="n">
        <v>176</v>
      </c>
      <c r="I1018" s="2" t="n">
        <v>44</v>
      </c>
      <c r="J1018" s="3">
        <f>IFERROR(E1018/H1018,0)</f>
        <v/>
      </c>
      <c r="K1018" s="10">
        <f>E1018/'По разделам'!$B$21</f>
        <v/>
      </c>
      <c r="L1018" s="4">
        <f>L1017+K1018</f>
        <v/>
      </c>
      <c r="M1018" s="2" t="inlineStr">
        <is>
          <t>01271</t>
        </is>
      </c>
      <c r="N1018" s="2" t="inlineStr">
        <is>
          <t>https://app.redstat.kz/niche/01271?event_date=2026-08-01</t>
        </is>
      </c>
      <c r="O1018" s="2" t="inlineStr">
        <is>
          <t>https://kaspi.kz/shop/c/hunting%20bags/</t>
        </is>
      </c>
    </row>
    <row r="1019">
      <c r="A1019" s="2" t="n">
        <v>1018</v>
      </c>
      <c r="B1019" s="2" t="inlineStr">
        <is>
          <t>Пирсинг ювелирный</t>
        </is>
      </c>
      <c r="C1019" s="2" t="inlineStr">
        <is>
          <t>Украшения</t>
        </is>
      </c>
      <c r="D1019" s="2" t="inlineStr">
        <is>
          <t>Украшения → Пирсинг → Пирсинг ювелирный</t>
        </is>
      </c>
      <c r="E1019" s="3" t="n">
        <v>5266178</v>
      </c>
      <c r="F1019" s="3" t="n">
        <v>488</v>
      </c>
      <c r="G1019" s="3">
        <f>IFERROR(E1019/F1019,0)</f>
        <v/>
      </c>
      <c r="H1019" s="3" t="n">
        <v>140</v>
      </c>
      <c r="I1019" s="2" t="n">
        <v>26</v>
      </c>
      <c r="J1019" s="3">
        <f>IFERROR(E1019/H1019,0)</f>
        <v/>
      </c>
      <c r="K1019" s="10">
        <f>E1019/'По разделам'!$B$21</f>
        <v/>
      </c>
      <c r="L1019" s="4">
        <f>L1018+K1019</f>
        <v/>
      </c>
      <c r="M1019" s="2" t="inlineStr">
        <is>
          <t>01616</t>
        </is>
      </c>
      <c r="N1019" s="2" t="inlineStr">
        <is>
          <t>https://app.redstat.kz/niche/01616?event_date=2026-08-01</t>
        </is>
      </c>
      <c r="O1019" s="2" t="inlineStr">
        <is>
          <t>https://kaspi.kz/shop/c/piercing%20jewelry/</t>
        </is>
      </c>
    </row>
    <row r="1020">
      <c r="A1020" s="2" t="n">
        <v>1019</v>
      </c>
      <c r="B1020" s="2" t="inlineStr">
        <is>
          <t>Парковочные камеры</t>
        </is>
      </c>
      <c r="C1020" s="2" t="inlineStr">
        <is>
          <t>Автотовары</t>
        </is>
      </c>
      <c r="D1020" s="2" t="inlineStr">
        <is>
          <t>Автотовары → Автоэлектроника → Парковочные камеры</t>
        </is>
      </c>
      <c r="E1020" s="3" t="n">
        <v>5247970</v>
      </c>
      <c r="F1020" s="3" t="n">
        <v>413</v>
      </c>
      <c r="G1020" s="3">
        <f>IFERROR(E1020/F1020,0)</f>
        <v/>
      </c>
      <c r="H1020" s="3" t="n">
        <v>70</v>
      </c>
      <c r="I1020" s="2" t="n">
        <v>30</v>
      </c>
      <c r="J1020" s="3">
        <f>IFERROR(E1020/H1020,0)</f>
        <v/>
      </c>
      <c r="K1020" s="10">
        <f>E1020/'По разделам'!$B$21</f>
        <v/>
      </c>
      <c r="L1020" s="4">
        <f>L1019+K1020</f>
        <v/>
      </c>
      <c r="M1020" s="2" t="inlineStr">
        <is>
          <t>01419</t>
        </is>
      </c>
      <c r="N1020" s="2" t="inlineStr">
        <is>
          <t>https://app.redstat.kz/niche/01419?event_date=2026-08-01</t>
        </is>
      </c>
      <c r="O1020" s="2" t="inlineStr">
        <is>
          <t>https://kaspi.kz/shop/c/parking%20cameras/</t>
        </is>
      </c>
    </row>
    <row r="1021">
      <c r="A1021" s="2" t="n">
        <v>1020</v>
      </c>
      <c r="B1021" s="2" t="inlineStr">
        <is>
          <t>Боди и песочники для малышей</t>
        </is>
      </c>
      <c r="C1021" s="2" t="inlineStr">
        <is>
          <t>Одежда</t>
        </is>
      </c>
      <c r="D1021" s="2" t="inlineStr">
        <is>
          <t>Одежда → Одежда для малышей → Боди и песочники для малышей</t>
        </is>
      </c>
      <c r="E1021" s="3" t="n">
        <v>5221248</v>
      </c>
      <c r="F1021" s="3" t="n">
        <v>1777</v>
      </c>
      <c r="G1021" s="3">
        <f>IFERROR(E1021/F1021,0)</f>
        <v/>
      </c>
      <c r="H1021" s="3" t="n">
        <v>465</v>
      </c>
      <c r="I1021" s="2" t="n">
        <v>39</v>
      </c>
      <c r="J1021" s="3">
        <f>IFERROR(E1021/H1021,0)</f>
        <v/>
      </c>
      <c r="K1021" s="10">
        <f>E1021/'По разделам'!$B$21</f>
        <v/>
      </c>
      <c r="L1021" s="4">
        <f>L1020+K1021</f>
        <v/>
      </c>
      <c r="M1021" s="2" t="inlineStr">
        <is>
          <t>00938</t>
        </is>
      </c>
      <c r="N1021" s="2" t="inlineStr">
        <is>
          <t>https://app.redstat.kz/niche/00938?event_date=2026-08-01</t>
        </is>
      </c>
      <c r="O1021" s="2" t="inlineStr">
        <is>
          <t>https://kaspi.kz/shop/c/baby%20bodysuits%20and%20rompers/</t>
        </is>
      </c>
    </row>
    <row r="1022">
      <c r="A1022" s="2" t="n">
        <v>1021</v>
      </c>
      <c r="B1022" s="2" t="inlineStr">
        <is>
          <t>Комплекты шин</t>
        </is>
      </c>
      <c r="C1022" s="2" t="inlineStr">
        <is>
          <t>Автотовары</t>
        </is>
      </c>
      <c r="D1022" s="2" t="inlineStr">
        <is>
          <t>Автотовары → Шины → Комплекты шин</t>
        </is>
      </c>
      <c r="E1022" s="3" t="n">
        <v>5213200</v>
      </c>
      <c r="F1022" s="3" t="n">
        <v>34</v>
      </c>
      <c r="G1022" s="3">
        <f>IFERROR(E1022/F1022,0)</f>
        <v/>
      </c>
      <c r="H1022" s="3" t="n">
        <v>25</v>
      </c>
      <c r="I1022" s="2" t="n">
        <v>7</v>
      </c>
      <c r="J1022" s="3">
        <f>IFERROR(E1022/H1022,0)</f>
        <v/>
      </c>
      <c r="K1022" s="10">
        <f>E1022/'По разделам'!$B$21</f>
        <v/>
      </c>
      <c r="L1022" s="4">
        <f>L1021+K1022</f>
        <v/>
      </c>
      <c r="M1022" s="2" t="inlineStr">
        <is>
          <t>07446</t>
        </is>
      </c>
      <c r="N1022" s="2" t="inlineStr">
        <is>
          <t>https://app.redstat.kz/niche/07446?event_date=2026-08-01</t>
        </is>
      </c>
      <c r="O1022" s="2" t="inlineStr">
        <is>
          <t>https://kaspi.kz/shop/c/tire%20sets/</t>
        </is>
      </c>
    </row>
    <row r="1023">
      <c r="A1023" s="2" t="n">
        <v>1022</v>
      </c>
      <c r="B1023" s="2" t="inlineStr">
        <is>
          <t>Отделка потолка</t>
        </is>
      </c>
      <c r="C1023" s="2" t="inlineStr">
        <is>
          <t>Строительство, ремонт</t>
        </is>
      </c>
      <c r="D1023" s="2" t="inlineStr">
        <is>
          <t>Строительство, ремонт → Отделочные материалы → Отделка потолка → Отделка потолка</t>
        </is>
      </c>
      <c r="E1023" s="3" t="n">
        <v>5182084</v>
      </c>
      <c r="F1023" s="3" t="n">
        <v>535</v>
      </c>
      <c r="G1023" s="3">
        <f>IFERROR(E1023/F1023,0)</f>
        <v/>
      </c>
      <c r="H1023" s="3" t="n">
        <v>110</v>
      </c>
      <c r="I1023" s="2" t="n">
        <v>17</v>
      </c>
      <c r="J1023" s="3">
        <f>IFERROR(E1023/H1023,0)</f>
        <v/>
      </c>
      <c r="K1023" s="10">
        <f>E1023/'По разделам'!$B$21</f>
        <v/>
      </c>
      <c r="L1023" s="4">
        <f>L1022+K1023</f>
        <v/>
      </c>
      <c r="M1023" s="2" t="inlineStr">
        <is>
          <t>qd4c572da5baa85b</t>
        </is>
      </c>
      <c r="N1023" s="2" t="inlineStr">
        <is>
          <t>https://app.redstat.kz/niche/qd4c572da5baa85b?event_date=2026-08-01</t>
        </is>
      </c>
      <c r="O1023" s="2" t="inlineStr"/>
    </row>
    <row r="1024">
      <c r="A1024" s="2" t="n">
        <v>1023</v>
      </c>
      <c r="B1024" s="2" t="inlineStr">
        <is>
          <t>Наборы спортивной защиты</t>
        </is>
      </c>
      <c r="C1024" s="2" t="inlineStr">
        <is>
          <t>Спорт, туризм</t>
        </is>
      </c>
      <c r="D1024" s="2" t="inlineStr">
        <is>
          <t>Спорт, туризм → Спортивная защита и экипировка → Наборы спортивной защиты</t>
        </is>
      </c>
      <c r="E1024" s="3" t="n">
        <v>5122216</v>
      </c>
      <c r="F1024" s="3" t="n">
        <v>752</v>
      </c>
      <c r="G1024" s="3">
        <f>IFERROR(E1024/F1024,0)</f>
        <v/>
      </c>
      <c r="H1024" s="3" t="n">
        <v>264</v>
      </c>
      <c r="I1024" s="2" t="n">
        <v>59</v>
      </c>
      <c r="J1024" s="3">
        <f>IFERROR(E1024/H1024,0)</f>
        <v/>
      </c>
      <c r="K1024" s="10">
        <f>E1024/'По разделам'!$B$21</f>
        <v/>
      </c>
      <c r="L1024" s="4">
        <f>L1023+K1024</f>
        <v/>
      </c>
      <c r="M1024" s="2" t="inlineStr">
        <is>
          <t>01514</t>
        </is>
      </c>
      <c r="N1024" s="2" t="inlineStr">
        <is>
          <t>https://app.redstat.kz/niche/01514?event_date=2026-08-01</t>
        </is>
      </c>
      <c r="O1024" s="2" t="inlineStr">
        <is>
          <t>https://kaspi.kz/shop/c/sports%20protection%20kits/</t>
        </is>
      </c>
    </row>
    <row r="1025">
      <c r="A1025" s="2" t="n">
        <v>1024</v>
      </c>
      <c r="B1025" s="2" t="inlineStr">
        <is>
          <t>Шорты для мальчиков</t>
        </is>
      </c>
      <c r="C1025" s="2" t="inlineStr">
        <is>
          <t>Одежда</t>
        </is>
      </c>
      <c r="D1025" s="2" t="inlineStr">
        <is>
          <t>Одежда → Мальчикам → Шорты для мальчиков</t>
        </is>
      </c>
      <c r="E1025" s="3" t="n">
        <v>5094205</v>
      </c>
      <c r="F1025" s="3" t="n">
        <v>2511</v>
      </c>
      <c r="G1025" s="3">
        <f>IFERROR(E1025/F1025,0)</f>
        <v/>
      </c>
      <c r="H1025" s="3" t="n">
        <v>336</v>
      </c>
      <c r="I1025" s="2" t="n">
        <v>42</v>
      </c>
      <c r="J1025" s="3">
        <f>IFERROR(E1025/H1025,0)</f>
        <v/>
      </c>
      <c r="K1025" s="10">
        <f>E1025/'По разделам'!$B$21</f>
        <v/>
      </c>
      <c r="L1025" s="4">
        <f>L1024+K1025</f>
        <v/>
      </c>
      <c r="M1025" s="2" t="inlineStr">
        <is>
          <t>01594</t>
        </is>
      </c>
      <c r="N1025" s="2" t="inlineStr">
        <is>
          <t>https://app.redstat.kz/niche/01594?event_date=2026-08-01</t>
        </is>
      </c>
      <c r="O1025" s="2" t="inlineStr">
        <is>
          <t>https://kaspi.kz/shop/c/boy%20shorts/</t>
        </is>
      </c>
    </row>
    <row r="1026">
      <c r="A1026" s="2" t="n">
        <v>1025</v>
      </c>
      <c r="B1026" s="2" t="inlineStr">
        <is>
          <t>Товары для дайвинга и подводной охоты</t>
        </is>
      </c>
      <c r="C1026" s="2" t="inlineStr">
        <is>
          <t>Спорт, туризм</t>
        </is>
      </c>
      <c r="D1026" s="2" t="inlineStr">
        <is>
          <t>Спорт, туризм → Товары для охоты и стрельбы → Товары для дайвинга и подводной охоты → Товары для дайвинга и подводной охоты</t>
        </is>
      </c>
      <c r="E1026" s="3" t="n">
        <v>5091922</v>
      </c>
      <c r="F1026" s="3" t="n">
        <v>181</v>
      </c>
      <c r="G1026" s="3">
        <f>IFERROR(E1026/F1026,0)</f>
        <v/>
      </c>
      <c r="H1026" s="3" t="n">
        <v>106</v>
      </c>
      <c r="I1026" s="2" t="n">
        <v>12</v>
      </c>
      <c r="J1026" s="3">
        <f>IFERROR(E1026/H1026,0)</f>
        <v/>
      </c>
      <c r="K1026" s="10">
        <f>E1026/'По разделам'!$B$21</f>
        <v/>
      </c>
      <c r="L1026" s="4">
        <f>L1025+K1026</f>
        <v/>
      </c>
      <c r="M1026" s="2" t="inlineStr">
        <is>
          <t>qb1f979072c1d8c3</t>
        </is>
      </c>
      <c r="N1026" s="2" t="inlineStr">
        <is>
          <t>https://app.redstat.kz/niche/qb1f979072c1d8c3?event_date=2026-08-01</t>
        </is>
      </c>
      <c r="O1026" s="2" t="inlineStr"/>
    </row>
    <row r="1027">
      <c r="A1027" s="2" t="n">
        <v>1026</v>
      </c>
      <c r="B1027" s="2" t="inlineStr">
        <is>
          <t>Падел-теннис</t>
        </is>
      </c>
      <c r="C1027" s="2" t="inlineStr">
        <is>
          <t>Спорт, туризм</t>
        </is>
      </c>
      <c r="D1027" s="2" t="inlineStr">
        <is>
          <t>Спорт, туризм → Теннис и бадминтон → Падел-теннис → Падел-теннис</t>
        </is>
      </c>
      <c r="E1027" s="3" t="n">
        <v>5087010</v>
      </c>
      <c r="F1027" s="3" t="n">
        <v>100</v>
      </c>
      <c r="G1027" s="3">
        <f>IFERROR(E1027/F1027,0)</f>
        <v/>
      </c>
      <c r="H1027" s="3" t="n">
        <v>39</v>
      </c>
      <c r="I1027" s="2" t="n">
        <v>13</v>
      </c>
      <c r="J1027" s="3">
        <f>IFERROR(E1027/H1027,0)</f>
        <v/>
      </c>
      <c r="K1027" s="10">
        <f>E1027/'По разделам'!$B$21</f>
        <v/>
      </c>
      <c r="L1027" s="4">
        <f>L1026+K1027</f>
        <v/>
      </c>
      <c r="M1027" s="2" t="inlineStr">
        <is>
          <t>qb328f28c6c110e5</t>
        </is>
      </c>
      <c r="N1027" s="2" t="inlineStr">
        <is>
          <t>https://app.redstat.kz/niche/qb328f28c6c110e5?event_date=2026-08-01</t>
        </is>
      </c>
      <c r="O1027" s="2" t="inlineStr"/>
    </row>
    <row r="1028">
      <c r="A1028" s="2" t="n">
        <v>1027</v>
      </c>
      <c r="B1028" s="2" t="inlineStr">
        <is>
          <t>Игрушки для купания</t>
        </is>
      </c>
      <c r="C1028" s="2" t="inlineStr">
        <is>
          <t>Детские товары</t>
        </is>
      </c>
      <c r="D1028" s="2" t="inlineStr">
        <is>
          <t>Детские товары → Игрушки → Игрушки для купания</t>
        </is>
      </c>
      <c r="E1028" s="3" t="n">
        <v>5071075</v>
      </c>
      <c r="F1028" s="3" t="n">
        <v>2837</v>
      </c>
      <c r="G1028" s="3">
        <f>IFERROR(E1028/F1028,0)</f>
        <v/>
      </c>
      <c r="H1028" s="3" t="n">
        <v>197</v>
      </c>
      <c r="I1028" s="2" t="n">
        <v>65</v>
      </c>
      <c r="J1028" s="3">
        <f>IFERROR(E1028/H1028,0)</f>
        <v/>
      </c>
      <c r="K1028" s="10">
        <f>E1028/'По разделам'!$B$21</f>
        <v/>
      </c>
      <c r="L1028" s="4">
        <f>L1027+K1028</f>
        <v/>
      </c>
      <c r="M1028" s="2" t="inlineStr">
        <is>
          <t>01573</t>
        </is>
      </c>
      <c r="N1028" s="2" t="inlineStr">
        <is>
          <t>https://app.redstat.kz/niche/01573?event_date=2026-08-01</t>
        </is>
      </c>
      <c r="O1028" s="2" t="inlineStr">
        <is>
          <t>https://kaspi.kz/shop/c/bath%20toys/</t>
        </is>
      </c>
    </row>
    <row r="1029">
      <c r="A1029" s="2" t="n">
        <v>1028</v>
      </c>
      <c r="B1029" s="2" t="inlineStr">
        <is>
          <t>Брошюровщики</t>
        </is>
      </c>
      <c r="C1029" s="2" t="inlineStr">
        <is>
          <t>Компьютеры</t>
        </is>
      </c>
      <c r="D1029" s="2" t="inlineStr">
        <is>
          <t>Компьютеры → Оргтехника и расходные материалы → Брошюровщики</t>
        </is>
      </c>
      <c r="E1029" s="3" t="n">
        <v>5056014</v>
      </c>
      <c r="F1029" s="3" t="n">
        <v>174</v>
      </c>
      <c r="G1029" s="3">
        <f>IFERROR(E1029/F1029,0)</f>
        <v/>
      </c>
      <c r="H1029" s="3" t="n">
        <v>31</v>
      </c>
      <c r="I1029" s="2" t="n">
        <v>11</v>
      </c>
      <c r="J1029" s="3">
        <f>IFERROR(E1029/H1029,0)</f>
        <v/>
      </c>
      <c r="K1029" s="10">
        <f>E1029/'По разделам'!$B$21</f>
        <v/>
      </c>
      <c r="L1029" s="4">
        <f>L1028+K1029</f>
        <v/>
      </c>
      <c r="M1029" s="2" t="inlineStr">
        <is>
          <t>02937</t>
        </is>
      </c>
      <c r="N1029" s="2" t="inlineStr">
        <is>
          <t>https://app.redstat.kz/niche/02937?event_date=2026-08-01</t>
        </is>
      </c>
      <c r="O1029" s="2" t="inlineStr">
        <is>
          <t>https://kaspi.kz/shop/c/stitchers/</t>
        </is>
      </c>
    </row>
    <row r="1030">
      <c r="A1030" s="2" t="n">
        <v>1029</v>
      </c>
      <c r="B1030" s="2" t="inlineStr">
        <is>
          <t>Спортивные бандажи</t>
        </is>
      </c>
      <c r="C1030" s="2" t="inlineStr">
        <is>
          <t>Спорт, туризм</t>
        </is>
      </c>
      <c r="D1030" s="2" t="inlineStr">
        <is>
          <t>Спорт, туризм → Спортивная защита и экипировка → Спортивные бандажи</t>
        </is>
      </c>
      <c r="E1030" s="3" t="n">
        <v>5045573</v>
      </c>
      <c r="F1030" s="3" t="n">
        <v>1204</v>
      </c>
      <c r="G1030" s="3">
        <f>IFERROR(E1030/F1030,0)</f>
        <v/>
      </c>
      <c r="H1030" s="3" t="n">
        <v>251</v>
      </c>
      <c r="I1030" s="2" t="n">
        <v>68</v>
      </c>
      <c r="J1030" s="3">
        <f>IFERROR(E1030/H1030,0)</f>
        <v/>
      </c>
      <c r="K1030" s="10">
        <f>E1030/'По разделам'!$B$21</f>
        <v/>
      </c>
      <c r="L1030" s="4">
        <f>L1029+K1030</f>
        <v/>
      </c>
      <c r="M1030" s="2" t="inlineStr">
        <is>
          <t>01902</t>
        </is>
      </c>
      <c r="N1030" s="2" t="inlineStr">
        <is>
          <t>https://app.redstat.kz/niche/01902?event_date=2026-08-01</t>
        </is>
      </c>
      <c r="O1030" s="2" t="inlineStr">
        <is>
          <t>https://kaspi.kz/shop/c/sports%20supports/</t>
        </is>
      </c>
    </row>
    <row r="1031">
      <c r="A1031" s="2" t="n">
        <v>1030</v>
      </c>
      <c r="B1031" s="2" t="inlineStr">
        <is>
          <t>Обложки для документов</t>
        </is>
      </c>
      <c r="C1031" s="2" t="inlineStr">
        <is>
          <t>Аксессуары</t>
        </is>
      </c>
      <c r="D1031" s="2" t="inlineStr">
        <is>
          <t>Аксессуары → Сумки, чемоданы, кошельки → Обложки для документов</t>
        </is>
      </c>
      <c r="E1031" s="3" t="n">
        <v>5036380</v>
      </c>
      <c r="F1031" s="3" t="n">
        <v>3946</v>
      </c>
      <c r="G1031" s="3">
        <f>IFERROR(E1031/F1031,0)</f>
        <v/>
      </c>
      <c r="H1031" s="3" t="n">
        <v>175</v>
      </c>
      <c r="I1031" s="2" t="n">
        <v>35</v>
      </c>
      <c r="J1031" s="3">
        <f>IFERROR(E1031/H1031,0)</f>
        <v/>
      </c>
      <c r="K1031" s="10">
        <f>E1031/'По разделам'!$B$21</f>
        <v/>
      </c>
      <c r="L1031" s="4">
        <f>L1030+K1031</f>
        <v/>
      </c>
      <c r="M1031" s="2" t="inlineStr">
        <is>
          <t>00936</t>
        </is>
      </c>
      <c r="N1031" s="2" t="inlineStr">
        <is>
          <t>https://app.redstat.kz/niche/00936?event_date=2026-08-01</t>
        </is>
      </c>
      <c r="O1031" s="2" t="inlineStr">
        <is>
          <t>https://kaspi.kz/shop/c/passport%20holders/</t>
        </is>
      </c>
    </row>
    <row r="1032">
      <c r="A1032" s="2" t="n">
        <v>1031</v>
      </c>
      <c r="B1032" s="2" t="inlineStr">
        <is>
          <t>Ролики для пресса</t>
        </is>
      </c>
      <c r="C1032" s="2" t="inlineStr">
        <is>
          <t>Спорт, туризм</t>
        </is>
      </c>
      <c r="D1032" s="2" t="inlineStr">
        <is>
          <t>Спорт, туризм → Товары для фитнеса → Ролики для пресса</t>
        </is>
      </c>
      <c r="E1032" s="3" t="n">
        <v>4947885</v>
      </c>
      <c r="F1032" s="3" t="n">
        <v>1117</v>
      </c>
      <c r="G1032" s="3">
        <f>IFERROR(E1032/F1032,0)</f>
        <v/>
      </c>
      <c r="H1032" s="3" t="n">
        <v>117</v>
      </c>
      <c r="I1032" s="2" t="n">
        <v>49</v>
      </c>
      <c r="J1032" s="3">
        <f>IFERROR(E1032/H1032,0)</f>
        <v/>
      </c>
      <c r="K1032" s="10">
        <f>E1032/'По разделам'!$B$21</f>
        <v/>
      </c>
      <c r="L1032" s="4">
        <f>L1031+K1032</f>
        <v/>
      </c>
      <c r="M1032" s="2" t="inlineStr">
        <is>
          <t>01694</t>
        </is>
      </c>
      <c r="N1032" s="2" t="inlineStr">
        <is>
          <t>https://app.redstat.kz/niche/01694?event_date=2026-08-01</t>
        </is>
      </c>
      <c r="O1032" s="2" t="inlineStr">
        <is>
          <t>https://kaspi.kz/shop/c/ab%20rollers/</t>
        </is>
      </c>
    </row>
    <row r="1033">
      <c r="A1033" s="2" t="n">
        <v>1032</v>
      </c>
      <c r="B1033" s="2" t="inlineStr">
        <is>
          <t>Лаки и морилки</t>
        </is>
      </c>
      <c r="C1033" s="2" t="inlineStr">
        <is>
          <t>Строительство, ремонт</t>
        </is>
      </c>
      <c r="D1033" s="2" t="inlineStr">
        <is>
          <t>Строительство, ремонт → Лакокрасочные материалы → Лаки и морилки → Лаки и морилки</t>
        </is>
      </c>
      <c r="E1033" s="3" t="n">
        <v>4941614</v>
      </c>
      <c r="F1033" s="3" t="n">
        <v>447</v>
      </c>
      <c r="G1033" s="3">
        <f>IFERROR(E1033/F1033,0)</f>
        <v/>
      </c>
      <c r="H1033" s="3" t="n">
        <v>120</v>
      </c>
      <c r="I1033" s="2" t="n">
        <v>47</v>
      </c>
      <c r="J1033" s="3">
        <f>IFERROR(E1033/H1033,0)</f>
        <v/>
      </c>
      <c r="K1033" s="10">
        <f>E1033/'По разделам'!$B$21</f>
        <v/>
      </c>
      <c r="L1033" s="4">
        <f>L1032+K1033</f>
        <v/>
      </c>
      <c r="M1033" s="2" t="inlineStr">
        <is>
          <t>q9abf9e05406d289</t>
        </is>
      </c>
      <c r="N1033" s="2" t="inlineStr">
        <is>
          <t>https://app.redstat.kz/niche/q9abf9e05406d289?event_date=2026-08-01</t>
        </is>
      </c>
      <c r="O1033" s="2" t="inlineStr"/>
    </row>
    <row r="1034">
      <c r="A1034" s="2" t="n">
        <v>1033</v>
      </c>
      <c r="B1034" s="2" t="inlineStr">
        <is>
          <t>Магнитные крепления</t>
        </is>
      </c>
      <c r="C1034" s="2" t="inlineStr">
        <is>
          <t>Строительство, ремонт</t>
        </is>
      </c>
      <c r="D1034" s="2" t="inlineStr">
        <is>
          <t>Строительство, ремонт → Строительный крепеж → Магнитные крепления</t>
        </is>
      </c>
      <c r="E1034" s="3" t="n">
        <v>4931142</v>
      </c>
      <c r="F1034" s="3" t="n">
        <v>1115</v>
      </c>
      <c r="G1034" s="3">
        <f>IFERROR(E1034/F1034,0)</f>
        <v/>
      </c>
      <c r="H1034" s="3" t="n">
        <v>135</v>
      </c>
      <c r="I1034" s="2" t="n">
        <v>19</v>
      </c>
      <c r="J1034" s="3">
        <f>IFERROR(E1034/H1034,0)</f>
        <v/>
      </c>
      <c r="K1034" s="10">
        <f>E1034/'По разделам'!$B$21</f>
        <v/>
      </c>
      <c r="L1034" s="4">
        <f>L1033+K1034</f>
        <v/>
      </c>
      <c r="M1034" s="2" t="inlineStr">
        <is>
          <t>03247</t>
        </is>
      </c>
      <c r="N1034" s="2" t="inlineStr">
        <is>
          <t>https://app.redstat.kz/niche/03247?event_date=2026-08-01</t>
        </is>
      </c>
      <c r="O1034" s="2" t="inlineStr">
        <is>
          <t>https://kaspi.kz/shop/c/magnetic%20mounts/</t>
        </is>
      </c>
    </row>
    <row r="1035">
      <c r="A1035" s="2" t="n">
        <v>1034</v>
      </c>
      <c r="B1035" s="2" t="inlineStr">
        <is>
          <t>Женские слипоны и эспадрильи</t>
        </is>
      </c>
      <c r="C1035" s="2" t="inlineStr">
        <is>
          <t>Обувь</t>
        </is>
      </c>
      <c r="D1035" s="2" t="inlineStr">
        <is>
          <t>Обувь → Женская обувь → Женские слипоны и эспадрильи</t>
        </is>
      </c>
      <c r="E1035" s="3" t="n">
        <v>4914633</v>
      </c>
      <c r="F1035" s="3" t="n">
        <v>388</v>
      </c>
      <c r="G1035" s="3">
        <f>IFERROR(E1035/F1035,0)</f>
        <v/>
      </c>
      <c r="H1035" s="3" t="n">
        <v>183</v>
      </c>
      <c r="I1035" s="2" t="n">
        <v>57</v>
      </c>
      <c r="J1035" s="3">
        <f>IFERROR(E1035/H1035,0)</f>
        <v/>
      </c>
      <c r="K1035" s="10">
        <f>E1035/'По разделам'!$B$21</f>
        <v/>
      </c>
      <c r="L1035" s="4">
        <f>L1034+K1035</f>
        <v/>
      </c>
      <c r="M1035" s="2" t="inlineStr">
        <is>
          <t>03989</t>
        </is>
      </c>
      <c r="N1035" s="2" t="inlineStr">
        <is>
          <t>https://app.redstat.kz/niche/03989?event_date=2026-08-01</t>
        </is>
      </c>
      <c r="O1035" s="2" t="inlineStr">
        <is>
          <t>https://kaspi.kz/shop/c/women%20slip-ons/</t>
        </is>
      </c>
    </row>
    <row r="1036">
      <c r="A1036" s="2" t="n">
        <v>1035</v>
      </c>
      <c r="B1036" s="2" t="inlineStr">
        <is>
          <t>Налокотники и нарукавники</t>
        </is>
      </c>
      <c r="C1036" s="2" t="inlineStr">
        <is>
          <t>Спорт, туризм</t>
        </is>
      </c>
      <c r="D1036" s="2" t="inlineStr">
        <is>
          <t>Спорт, туризм → Спортивная защита и экипировка → Налокотники и нарукавники</t>
        </is>
      </c>
      <c r="E1036" s="3" t="n">
        <v>4901935</v>
      </c>
      <c r="F1036" s="3" t="n">
        <v>3143</v>
      </c>
      <c r="G1036" s="3">
        <f>IFERROR(E1036/F1036,0)</f>
        <v/>
      </c>
      <c r="H1036" s="3" t="n">
        <v>272</v>
      </c>
      <c r="I1036" s="2" t="n">
        <v>46</v>
      </c>
      <c r="J1036" s="3">
        <f>IFERROR(E1036/H1036,0)</f>
        <v/>
      </c>
      <c r="K1036" s="10">
        <f>E1036/'По разделам'!$B$21</f>
        <v/>
      </c>
      <c r="L1036" s="4">
        <f>L1035+K1036</f>
        <v/>
      </c>
      <c r="M1036" s="2" t="inlineStr">
        <is>
          <t>01340</t>
        </is>
      </c>
      <c r="N1036" s="2" t="inlineStr">
        <is>
          <t>https://app.redstat.kz/niche/01340?event_date=2026-08-01</t>
        </is>
      </c>
      <c r="O1036" s="2" t="inlineStr">
        <is>
          <t>https://kaspi.kz/shop/c/elbow%20pads/</t>
        </is>
      </c>
    </row>
    <row r="1037">
      <c r="A1037" s="2" t="n">
        <v>1036</v>
      </c>
      <c r="B1037" s="2" t="inlineStr">
        <is>
          <t>Воздуховоды и комплектующие</t>
        </is>
      </c>
      <c r="C1037" s="2" t="inlineStr">
        <is>
          <t>Строительство, ремонт</t>
        </is>
      </c>
      <c r="D1037" s="2" t="inlineStr">
        <is>
          <t>Строительство, ремонт → Вентиляция → Воздуховоды и комплектующие</t>
        </is>
      </c>
      <c r="E1037" s="3" t="n">
        <v>4875233</v>
      </c>
      <c r="F1037" s="3" t="n">
        <v>551</v>
      </c>
      <c r="G1037" s="3">
        <f>IFERROR(E1037/F1037,0)</f>
        <v/>
      </c>
      <c r="H1037" s="3" t="n">
        <v>186</v>
      </c>
      <c r="I1037" s="2" t="n">
        <v>24</v>
      </c>
      <c r="J1037" s="3">
        <f>IFERROR(E1037/H1037,0)</f>
        <v/>
      </c>
      <c r="K1037" s="10">
        <f>E1037/'По разделам'!$B$21</f>
        <v/>
      </c>
      <c r="L1037" s="4">
        <f>L1036+K1037</f>
        <v/>
      </c>
      <c r="M1037" s="2" t="inlineStr">
        <is>
          <t>06675</t>
        </is>
      </c>
      <c r="N1037" s="2" t="inlineStr">
        <is>
          <t>https://app.redstat.kz/niche/06675?event_date=2026-08-01</t>
        </is>
      </c>
      <c r="O1037" s="2" t="inlineStr">
        <is>
          <t>https://kaspi.kz/shop/c/duct%20connectors/</t>
        </is>
      </c>
    </row>
    <row r="1038">
      <c r="A1038" s="2" t="n">
        <v>1037</v>
      </c>
      <c r="B1038" s="2" t="inlineStr">
        <is>
          <t>Видеомикшеры</t>
        </is>
      </c>
      <c r="C1038" s="2" t="inlineStr">
        <is>
          <t>ТВ, Аудио, Видео</t>
        </is>
      </c>
      <c r="D1038" s="2" t="inlineStr">
        <is>
          <t>ТВ, Аудио, Видео → Видеотехника → Видеомикшеры</t>
        </is>
      </c>
      <c r="E1038" s="3" t="n">
        <v>4863313</v>
      </c>
      <c r="F1038" s="3" t="n">
        <v>11</v>
      </c>
      <c r="G1038" s="3">
        <f>IFERROR(E1038/F1038,0)</f>
        <v/>
      </c>
      <c r="H1038" s="3" t="n">
        <v>8</v>
      </c>
      <c r="I1038" s="2" t="n">
        <v>5</v>
      </c>
      <c r="J1038" s="3">
        <f>IFERROR(E1038/H1038,0)</f>
        <v/>
      </c>
      <c r="K1038" s="10">
        <f>E1038/'По разделам'!$B$21</f>
        <v/>
      </c>
      <c r="L1038" s="4">
        <f>L1037+K1038</f>
        <v/>
      </c>
      <c r="M1038" s="2" t="inlineStr">
        <is>
          <t>04414</t>
        </is>
      </c>
      <c r="N1038" s="2" t="inlineStr">
        <is>
          <t>https://app.redstat.kz/niche/04414?event_date=2026-08-01</t>
        </is>
      </c>
      <c r="O1038" s="2" t="inlineStr">
        <is>
          <t>https://kaspi.kz/shop/c/video%20switchers/</t>
        </is>
      </c>
    </row>
    <row r="1039">
      <c r="A1039" s="2" t="n">
        <v>1038</v>
      </c>
      <c r="B1039" s="2" t="inlineStr">
        <is>
          <t>Амулеты, талисманы и зеркала</t>
        </is>
      </c>
      <c r="C1039" s="2" t="inlineStr">
        <is>
          <t>Досуг, книги</t>
        </is>
      </c>
      <c r="D1039" s="2" t="inlineStr">
        <is>
          <t>Досуг, книги → Гадания и эзотерика → Амулеты, талисманы и зеркала</t>
        </is>
      </c>
      <c r="E1039" s="3" t="n">
        <v>4836399</v>
      </c>
      <c r="F1039" s="3" t="n">
        <v>1621</v>
      </c>
      <c r="G1039" s="3">
        <f>IFERROR(E1039/F1039,0)</f>
        <v/>
      </c>
      <c r="H1039" s="3" t="n">
        <v>412</v>
      </c>
      <c r="I1039" s="2" t="n">
        <v>37</v>
      </c>
      <c r="J1039" s="3">
        <f>IFERROR(E1039/H1039,0)</f>
        <v/>
      </c>
      <c r="K1039" s="10">
        <f>E1039/'По разделам'!$B$21</f>
        <v/>
      </c>
      <c r="L1039" s="4">
        <f>L1038+K1039</f>
        <v/>
      </c>
      <c r="M1039" s="2" t="inlineStr">
        <is>
          <t>06071</t>
        </is>
      </c>
      <c r="N1039" s="2" t="inlineStr">
        <is>
          <t>https://app.redstat.kz/niche/06071?event_date=2026-08-01</t>
        </is>
      </c>
      <c r="O1039" s="2" t="inlineStr">
        <is>
          <t>https://kaspi.kz/shop/c/amulets%20talismans%20and%20charms/</t>
        </is>
      </c>
    </row>
    <row r="1040">
      <c r="A1040" s="2" t="n">
        <v>1039</v>
      </c>
      <c r="B1040" s="2" t="inlineStr">
        <is>
          <t>Кофейные автоматы</t>
        </is>
      </c>
      <c r="C1040" s="2" t="inlineStr">
        <is>
          <t>Бытовая техника</t>
        </is>
      </c>
      <c r="D1040" s="2" t="inlineStr">
        <is>
          <t>Бытовая техника → Торговые автоматы → Кофейные автоматы</t>
        </is>
      </c>
      <c r="E1040" s="3" t="n">
        <v>4770978</v>
      </c>
      <c r="F1040" s="3" t="n">
        <v>4</v>
      </c>
      <c r="G1040" s="3">
        <f>IFERROR(E1040/F1040,0)</f>
        <v/>
      </c>
      <c r="H1040" s="3" t="n">
        <v>3</v>
      </c>
      <c r="I1040" s="2" t="n">
        <v>2</v>
      </c>
      <c r="J1040" s="3">
        <f>IFERROR(E1040/H1040,0)</f>
        <v/>
      </c>
      <c r="K1040" s="10">
        <f>E1040/'По разделам'!$B$21</f>
        <v/>
      </c>
      <c r="L1040" s="4">
        <f>L1039+K1040</f>
        <v/>
      </c>
      <c r="M1040" s="2" t="inlineStr">
        <is>
          <t>04911</t>
        </is>
      </c>
      <c r="N1040" s="2" t="inlineStr">
        <is>
          <t>https://app.redstat.kz/niche/04911?event_date=2026-08-01</t>
        </is>
      </c>
      <c r="O1040" s="2" t="inlineStr">
        <is>
          <t>https://kaspi.kz/shop/c/vending%20coffee%20machines/</t>
        </is>
      </c>
    </row>
    <row r="1041">
      <c r="A1041" s="2" t="n">
        <v>1040</v>
      </c>
      <c r="B1041" s="2" t="inlineStr">
        <is>
          <t>Национальные костюмы для девочек</t>
        </is>
      </c>
      <c r="C1041" s="2" t="inlineStr">
        <is>
          <t>Одежда</t>
        </is>
      </c>
      <c r="D1041" s="2" t="inlineStr">
        <is>
          <t>Одежда → Девочкам → Национальные костюмы для девочек</t>
        </is>
      </c>
      <c r="E1041" s="3" t="n">
        <v>4770724</v>
      </c>
      <c r="F1041" s="3" t="n">
        <v>748</v>
      </c>
      <c r="G1041" s="3">
        <f>IFERROR(E1041/F1041,0)</f>
        <v/>
      </c>
      <c r="H1041" s="3" t="n">
        <v>137</v>
      </c>
      <c r="I1041" s="2" t="n">
        <v>12</v>
      </c>
      <c r="J1041" s="3">
        <f>IFERROR(E1041/H1041,0)</f>
        <v/>
      </c>
      <c r="K1041" s="10">
        <f>E1041/'По разделам'!$B$21</f>
        <v/>
      </c>
      <c r="L1041" s="4">
        <f>L1040+K1041</f>
        <v/>
      </c>
      <c r="M1041" s="2" t="inlineStr">
        <is>
          <t>07170</t>
        </is>
      </c>
      <c r="N1041" s="2" t="inlineStr">
        <is>
          <t>https://app.redstat.kz/niche/07170?event_date=2026-08-01</t>
        </is>
      </c>
      <c r="O1041" s="2" t="inlineStr">
        <is>
          <t>https://kaspi.kz/shop/c/girl%20national%20costumes/</t>
        </is>
      </c>
    </row>
    <row r="1042">
      <c r="A1042" s="2" t="n">
        <v>1041</v>
      </c>
      <c r="B1042" s="2" t="inlineStr">
        <is>
          <t>Карты Таро</t>
        </is>
      </c>
      <c r="C1042" s="2" t="inlineStr">
        <is>
          <t>Досуг, книги</t>
        </is>
      </c>
      <c r="D1042" s="2" t="inlineStr">
        <is>
          <t>Досуг, книги → Гадания и эзотерика → Карты Таро</t>
        </is>
      </c>
      <c r="E1042" s="3" t="n">
        <v>4721273</v>
      </c>
      <c r="F1042" s="3" t="n">
        <v>1018</v>
      </c>
      <c r="G1042" s="3">
        <f>IFERROR(E1042/F1042,0)</f>
        <v/>
      </c>
      <c r="H1042" s="3" t="n">
        <v>230</v>
      </c>
      <c r="I1042" s="2" t="n">
        <v>29</v>
      </c>
      <c r="J1042" s="3">
        <f>IFERROR(E1042/H1042,0)</f>
        <v/>
      </c>
      <c r="K1042" s="10">
        <f>E1042/'По разделам'!$B$21</f>
        <v/>
      </c>
      <c r="L1042" s="4">
        <f>L1041+K1042</f>
        <v/>
      </c>
      <c r="M1042" s="2" t="inlineStr">
        <is>
          <t>03928</t>
        </is>
      </c>
      <c r="N1042" s="2" t="inlineStr">
        <is>
          <t>https://app.redstat.kz/niche/03928?event_date=2026-08-01</t>
        </is>
      </c>
      <c r="O1042" s="2" t="inlineStr">
        <is>
          <t>https://kaspi.kz/shop/c/tarot%20cards/</t>
        </is>
      </c>
    </row>
    <row r="1043">
      <c r="A1043" s="2" t="n">
        <v>1042</v>
      </c>
      <c r="B1043" s="2" t="inlineStr">
        <is>
          <t>Страйкбол, пейнтбол, стрельба по мишеням</t>
        </is>
      </c>
      <c r="C1043" s="2" t="inlineStr">
        <is>
          <t>Спорт, туризм</t>
        </is>
      </c>
      <c r="D1043" s="2" t="inlineStr">
        <is>
          <t>Спорт, туризм → Товары для охоты и стрельбы → Страйкбол, пейнтбол, стрельба по мишеням → Страйкбол, пейнтбол, стрельба по мишеням</t>
        </is>
      </c>
      <c r="E1043" s="3" t="n">
        <v>4714916</v>
      </c>
      <c r="F1043" s="3" t="n">
        <v>786</v>
      </c>
      <c r="G1043" s="3">
        <f>IFERROR(E1043/F1043,0)</f>
        <v/>
      </c>
      <c r="H1043" s="3" t="n">
        <v>76</v>
      </c>
      <c r="I1043" s="2" t="n">
        <v>22</v>
      </c>
      <c r="J1043" s="3">
        <f>IFERROR(E1043/H1043,0)</f>
        <v/>
      </c>
      <c r="K1043" s="10">
        <f>E1043/'По разделам'!$B$21</f>
        <v/>
      </c>
      <c r="L1043" s="4">
        <f>L1042+K1043</f>
        <v/>
      </c>
      <c r="M1043" s="2" t="inlineStr">
        <is>
          <t>q3f492e442e3ded9</t>
        </is>
      </c>
      <c r="N1043" s="2" t="inlineStr">
        <is>
          <t>https://app.redstat.kz/niche/q3f492e442e3ded9?event_date=2026-08-01</t>
        </is>
      </c>
      <c r="O1043" s="2" t="inlineStr"/>
    </row>
    <row r="1044">
      <c r="A1044" s="2" t="n">
        <v>1043</v>
      </c>
      <c r="B1044" s="2" t="inlineStr">
        <is>
          <t>Смычковые</t>
        </is>
      </c>
      <c r="C1044" s="2" t="inlineStr">
        <is>
          <t>Досуг, книги</t>
        </is>
      </c>
      <c r="D1044" s="2" t="inlineStr">
        <is>
          <t>Досуг, книги → Музыкальные инструменты → Смычковые → Смычковые</t>
        </is>
      </c>
      <c r="E1044" s="3" t="n">
        <v>4693663</v>
      </c>
      <c r="F1044" s="3" t="n">
        <v>77</v>
      </c>
      <c r="G1044" s="3">
        <f>IFERROR(E1044/F1044,0)</f>
        <v/>
      </c>
      <c r="H1044" s="3" t="n">
        <v>33</v>
      </c>
      <c r="I1044" s="2" t="n">
        <v>11</v>
      </c>
      <c r="J1044" s="3">
        <f>IFERROR(E1044/H1044,0)</f>
        <v/>
      </c>
      <c r="K1044" s="10">
        <f>E1044/'По разделам'!$B$21</f>
        <v/>
      </c>
      <c r="L1044" s="4">
        <f>L1043+K1044</f>
        <v/>
      </c>
      <c r="M1044" s="2" t="inlineStr">
        <is>
          <t>qd7d7be51adfc881</t>
        </is>
      </c>
      <c r="N1044" s="2" t="inlineStr">
        <is>
          <t>https://app.redstat.kz/niche/qd7d7be51adfc881?event_date=2026-08-01</t>
        </is>
      </c>
      <c r="O1044" s="2" t="inlineStr"/>
    </row>
    <row r="1045">
      <c r="A1045" s="2" t="n">
        <v>1044</v>
      </c>
      <c r="B1045" s="2" t="inlineStr">
        <is>
          <t>Ресепшены</t>
        </is>
      </c>
      <c r="C1045" s="2" t="inlineStr">
        <is>
          <t>Мебель</t>
        </is>
      </c>
      <c r="D1045" s="2" t="inlineStr">
        <is>
          <t>Мебель → Офис и кабинет → Ресепшены</t>
        </is>
      </c>
      <c r="E1045" s="3" t="n">
        <v>4644777</v>
      </c>
      <c r="F1045" s="3" t="n">
        <v>59</v>
      </c>
      <c r="G1045" s="3">
        <f>IFERROR(E1045/F1045,0)</f>
        <v/>
      </c>
      <c r="H1045" s="3" t="n">
        <v>21</v>
      </c>
      <c r="I1045" s="2" t="n">
        <v>3</v>
      </c>
      <c r="J1045" s="3">
        <f>IFERROR(E1045/H1045,0)</f>
        <v/>
      </c>
      <c r="K1045" s="10">
        <f>E1045/'По разделам'!$B$21</f>
        <v/>
      </c>
      <c r="L1045" s="4">
        <f>L1044+K1045</f>
        <v/>
      </c>
      <c r="M1045" s="2" t="inlineStr">
        <is>
          <t>05234</t>
        </is>
      </c>
      <c r="N1045" s="2" t="inlineStr">
        <is>
          <t>https://app.redstat.kz/niche/05234?event_date=2026-08-01</t>
        </is>
      </c>
      <c r="O1045" s="2" t="inlineStr">
        <is>
          <t>https://kaspi.kz/shop/c/reception/</t>
        </is>
      </c>
    </row>
    <row r="1046">
      <c r="A1046" s="2" t="n">
        <v>1045</v>
      </c>
      <c r="B1046" s="2" t="inlineStr">
        <is>
          <t>Медицина</t>
        </is>
      </c>
      <c r="C1046" s="2" t="inlineStr">
        <is>
          <t>Досуг, книги</t>
        </is>
      </c>
      <c r="D1046" s="2" t="inlineStr">
        <is>
          <t>Досуг, книги → Книги → Медицина</t>
        </is>
      </c>
      <c r="E1046" s="3" t="n">
        <v>4642661</v>
      </c>
      <c r="F1046" s="3" t="n">
        <v>480</v>
      </c>
      <c r="G1046" s="3">
        <f>IFERROR(E1046/F1046,0)</f>
        <v/>
      </c>
      <c r="H1046" s="3" t="n">
        <v>222</v>
      </c>
      <c r="I1046" s="2" t="n">
        <v>40</v>
      </c>
      <c r="J1046" s="3">
        <f>IFERROR(E1046/H1046,0)</f>
        <v/>
      </c>
      <c r="K1046" s="10">
        <f>E1046/'По разделам'!$B$21</f>
        <v/>
      </c>
      <c r="L1046" s="4">
        <f>L1045+K1046</f>
        <v/>
      </c>
      <c r="M1046" s="2" t="inlineStr">
        <is>
          <t>00718</t>
        </is>
      </c>
      <c r="N1046" s="2" t="inlineStr">
        <is>
          <t>https://app.redstat.kz/niche/00718?event_date=2026-08-01</t>
        </is>
      </c>
      <c r="O1046" s="2" t="inlineStr">
        <is>
          <t>https://kaspi.kz/shop/c/medical%20books/</t>
        </is>
      </c>
    </row>
    <row r="1047">
      <c r="A1047" s="2" t="n">
        <v>1046</v>
      </c>
      <c r="B1047" s="2" t="inlineStr">
        <is>
          <t>Искусство и культура</t>
        </is>
      </c>
      <c r="C1047" s="2" t="inlineStr">
        <is>
          <t>Досуг, книги</t>
        </is>
      </c>
      <c r="D1047" s="2" t="inlineStr">
        <is>
          <t>Досуг, книги → Книги → Искусство и культура</t>
        </is>
      </c>
      <c r="E1047" s="3" t="n">
        <v>4634294</v>
      </c>
      <c r="F1047" s="3" t="n">
        <v>508</v>
      </c>
      <c r="G1047" s="3">
        <f>IFERROR(E1047/F1047,0)</f>
        <v/>
      </c>
      <c r="H1047" s="3" t="n">
        <v>166</v>
      </c>
      <c r="I1047" s="2" t="n">
        <v>52</v>
      </c>
      <c r="J1047" s="3">
        <f>IFERROR(E1047/H1047,0)</f>
        <v/>
      </c>
      <c r="K1047" s="10">
        <f>E1047/'По разделам'!$B$21</f>
        <v/>
      </c>
      <c r="L1047" s="4">
        <f>L1046+K1047</f>
        <v/>
      </c>
      <c r="M1047" s="2" t="inlineStr">
        <is>
          <t>00714</t>
        </is>
      </c>
      <c r="N1047" s="2" t="inlineStr">
        <is>
          <t>https://app.redstat.kz/niche/00714?event_date=2026-08-01</t>
        </is>
      </c>
      <c r="O1047" s="2" t="inlineStr">
        <is>
          <t>https://kaspi.kz/shop/c/arts%20books/</t>
        </is>
      </c>
    </row>
    <row r="1048">
      <c r="A1048" s="2" t="n">
        <v>1047</v>
      </c>
      <c r="B1048" s="2" t="inlineStr">
        <is>
          <t>Пляжная одежда для девочек</t>
        </is>
      </c>
      <c r="C1048" s="2" t="inlineStr">
        <is>
          <t>Одежда</t>
        </is>
      </c>
      <c r="D1048" s="2" t="inlineStr">
        <is>
          <t>Одежда → Девочкам → Пляжная одежда для девочек → Пляжная одежда для девочек</t>
        </is>
      </c>
      <c r="E1048" s="3" t="n">
        <v>4624984</v>
      </c>
      <c r="F1048" s="3" t="n">
        <v>863</v>
      </c>
      <c r="G1048" s="3">
        <f>IFERROR(E1048/F1048,0)</f>
        <v/>
      </c>
      <c r="H1048" s="3" t="n">
        <v>280</v>
      </c>
      <c r="I1048" s="2" t="n">
        <v>61</v>
      </c>
      <c r="J1048" s="3">
        <f>IFERROR(E1048/H1048,0)</f>
        <v/>
      </c>
      <c r="K1048" s="10">
        <f>E1048/'По разделам'!$B$21</f>
        <v/>
      </c>
      <c r="L1048" s="4">
        <f>L1047+K1048</f>
        <v/>
      </c>
      <c r="M1048" s="2" t="inlineStr">
        <is>
          <t>q9e1f6412bd8710a</t>
        </is>
      </c>
      <c r="N1048" s="2" t="inlineStr">
        <is>
          <t>https://app.redstat.kz/niche/q9e1f6412bd8710a?event_date=2026-08-01</t>
        </is>
      </c>
      <c r="O1048" s="2" t="inlineStr"/>
    </row>
    <row r="1049">
      <c r="A1049" s="2" t="n">
        <v>1048</v>
      </c>
      <c r="B1049" s="2" t="inlineStr">
        <is>
          <t>Одежда для велоспорта</t>
        </is>
      </c>
      <c r="C1049" s="2" t="inlineStr">
        <is>
          <t>Спорт, туризм</t>
        </is>
      </c>
      <c r="D1049" s="2" t="inlineStr">
        <is>
          <t>Спорт, туризм → Велоспорт → Одежда для велоспорта</t>
        </is>
      </c>
      <c r="E1049" s="3" t="n">
        <v>4624517</v>
      </c>
      <c r="F1049" s="3" t="n">
        <v>222</v>
      </c>
      <c r="G1049" s="3">
        <f>IFERROR(E1049/F1049,0)</f>
        <v/>
      </c>
      <c r="H1049" s="3" t="n">
        <v>147</v>
      </c>
      <c r="I1049" s="2" t="n">
        <v>27</v>
      </c>
      <c r="J1049" s="3">
        <f>IFERROR(E1049/H1049,0)</f>
        <v/>
      </c>
      <c r="K1049" s="10">
        <f>E1049/'По разделам'!$B$21</f>
        <v/>
      </c>
      <c r="L1049" s="4">
        <f>L1048+K1049</f>
        <v/>
      </c>
      <c r="M1049" s="2" t="inlineStr">
        <is>
          <t>07276</t>
        </is>
      </c>
      <c r="N1049" s="2" t="inlineStr">
        <is>
          <t>https://app.redstat.kz/niche/07276?event_date=2026-08-01</t>
        </is>
      </c>
      <c r="O1049" s="2" t="inlineStr">
        <is>
          <t>https://kaspi.kz/shop/c/cycling%20clothing/</t>
        </is>
      </c>
    </row>
    <row r="1050">
      <c r="A1050" s="2" t="n">
        <v>1049</v>
      </c>
      <c r="B1050" s="2" t="inlineStr">
        <is>
          <t>Аксессуары для багажных систем</t>
        </is>
      </c>
      <c r="C1050" s="2" t="inlineStr">
        <is>
          <t>Автотовары</t>
        </is>
      </c>
      <c r="D1050" s="2" t="inlineStr">
        <is>
          <t>Автотовары → Багажные системы → Аксессуары для багажных систем → Аксессуары для багажных систем</t>
        </is>
      </c>
      <c r="E1050" s="3" t="n">
        <v>4620274</v>
      </c>
      <c r="F1050" s="3" t="n">
        <v>635</v>
      </c>
      <c r="G1050" s="3">
        <f>IFERROR(E1050/F1050,0)</f>
        <v/>
      </c>
      <c r="H1050" s="3" t="n">
        <v>101</v>
      </c>
      <c r="I1050" s="2" t="n">
        <v>37</v>
      </c>
      <c r="J1050" s="3">
        <f>IFERROR(E1050/H1050,0)</f>
        <v/>
      </c>
      <c r="K1050" s="10">
        <f>E1050/'По разделам'!$B$21</f>
        <v/>
      </c>
      <c r="L1050" s="4">
        <f>L1049+K1050</f>
        <v/>
      </c>
      <c r="M1050" s="2" t="inlineStr">
        <is>
          <t>q9d669e7ce7a4bdc</t>
        </is>
      </c>
      <c r="N1050" s="2" t="inlineStr">
        <is>
          <t>https://app.redstat.kz/niche/q9d669e7ce7a4bdc?event_date=2026-08-01</t>
        </is>
      </c>
      <c r="O1050" s="2" t="inlineStr"/>
    </row>
    <row r="1051">
      <c r="A1051" s="2" t="n">
        <v>1050</v>
      </c>
      <c r="B1051" s="2" t="inlineStr">
        <is>
          <t>Клетки и домики для птиц</t>
        </is>
      </c>
      <c r="C1051" s="2" t="inlineStr">
        <is>
          <t>Товары для животных</t>
        </is>
      </c>
      <c r="D1051" s="2" t="inlineStr">
        <is>
          <t>Товары для животных → Для птиц → Клетки и домики для птиц</t>
        </is>
      </c>
      <c r="E1051" s="3" t="n">
        <v>4614363</v>
      </c>
      <c r="F1051" s="3" t="n">
        <v>378</v>
      </c>
      <c r="G1051" s="3">
        <f>IFERROR(E1051/F1051,0)</f>
        <v/>
      </c>
      <c r="H1051" s="3" t="n">
        <v>120</v>
      </c>
      <c r="I1051" s="2" t="n">
        <v>19</v>
      </c>
      <c r="J1051" s="3">
        <f>IFERROR(E1051/H1051,0)</f>
        <v/>
      </c>
      <c r="K1051" s="10">
        <f>E1051/'По разделам'!$B$21</f>
        <v/>
      </c>
      <c r="L1051" s="4">
        <f>L1050+K1051</f>
        <v/>
      </c>
      <c r="M1051" s="2" t="inlineStr">
        <is>
          <t>03117</t>
        </is>
      </c>
      <c r="N1051" s="2" t="inlineStr">
        <is>
          <t>https://app.redstat.kz/niche/03117?event_date=2026-08-01</t>
        </is>
      </c>
      <c r="O1051" s="2" t="inlineStr">
        <is>
          <t>https://kaspi.kz/shop/c/birds%20cages/</t>
        </is>
      </c>
    </row>
    <row r="1052">
      <c r="A1052" s="2" t="n">
        <v>1051</v>
      </c>
      <c r="B1052" s="2" t="inlineStr">
        <is>
          <t>Пирсинг бижутерный</t>
        </is>
      </c>
      <c r="C1052" s="2" t="inlineStr">
        <is>
          <t>Украшения</t>
        </is>
      </c>
      <c r="D1052" s="2" t="inlineStr">
        <is>
          <t>Украшения → Пирсинг → Пирсинг бижутерный</t>
        </is>
      </c>
      <c r="E1052" s="3" t="n">
        <v>4607770</v>
      </c>
      <c r="F1052" s="3" t="n">
        <v>1932</v>
      </c>
      <c r="G1052" s="3">
        <f>IFERROR(E1052/F1052,0)</f>
        <v/>
      </c>
      <c r="H1052" s="3" t="n">
        <v>433</v>
      </c>
      <c r="I1052" s="2" t="n">
        <v>29</v>
      </c>
      <c r="J1052" s="3">
        <f>IFERROR(E1052/H1052,0)</f>
        <v/>
      </c>
      <c r="K1052" s="10">
        <f>E1052/'По разделам'!$B$21</f>
        <v/>
      </c>
      <c r="L1052" s="4">
        <f>L1051+K1052</f>
        <v/>
      </c>
      <c r="M1052" s="2" t="inlineStr">
        <is>
          <t>01771</t>
        </is>
      </c>
      <c r="N1052" s="2" t="inlineStr">
        <is>
          <t>https://app.redstat.kz/niche/01771?event_date=2026-08-01</t>
        </is>
      </c>
      <c r="O1052" s="2" t="inlineStr">
        <is>
          <t>https://kaspi.kz/shop/c/imitation%20piercing%20jewelry/</t>
        </is>
      </c>
    </row>
    <row r="1053">
      <c r="A1053" s="2" t="n">
        <v>1052</v>
      </c>
      <c r="B1053" s="2" t="inlineStr">
        <is>
          <t>Инструменты для укладки плитки</t>
        </is>
      </c>
      <c r="C1053" s="2" t="inlineStr">
        <is>
          <t>Строительство, ремонт</t>
        </is>
      </c>
      <c r="D1053" s="2" t="inlineStr">
        <is>
          <t>Строительство, ремонт → Ручные инструменты → Инструменты для укладки плитки</t>
        </is>
      </c>
      <c r="E1053" s="3" t="n">
        <v>4572868</v>
      </c>
      <c r="F1053" s="3" t="n">
        <v>799</v>
      </c>
      <c r="G1053" s="3">
        <f>IFERROR(E1053/F1053,0)</f>
        <v/>
      </c>
      <c r="H1053" s="3" t="n">
        <v>145</v>
      </c>
      <c r="I1053" s="2" t="n">
        <v>38</v>
      </c>
      <c r="J1053" s="3">
        <f>IFERROR(E1053/H1053,0)</f>
        <v/>
      </c>
      <c r="K1053" s="10">
        <f>E1053/'По разделам'!$B$21</f>
        <v/>
      </c>
      <c r="L1053" s="4">
        <f>L1052+K1053</f>
        <v/>
      </c>
      <c r="M1053" s="2" t="inlineStr">
        <is>
          <t>04952</t>
        </is>
      </c>
      <c r="N1053" s="2" t="inlineStr">
        <is>
          <t>https://app.redstat.kz/niche/04952?event_date=2026-08-01</t>
        </is>
      </c>
      <c r="O1053" s="2" t="inlineStr">
        <is>
          <t>https://kaspi.kz/shop/c/tiling%20tools/</t>
        </is>
      </c>
    </row>
    <row r="1054">
      <c r="A1054" s="2" t="n">
        <v>1053</v>
      </c>
      <c r="B1054" s="2" t="inlineStr">
        <is>
          <t>Национальные костюмы для мальчиков</t>
        </is>
      </c>
      <c r="C1054" s="2" t="inlineStr">
        <is>
          <t>Одежда</t>
        </is>
      </c>
      <c r="D1054" s="2" t="inlineStr">
        <is>
          <t>Одежда → Мальчикам → Национальные костюмы для мальчиков</t>
        </is>
      </c>
      <c r="E1054" s="3" t="n">
        <v>4541059</v>
      </c>
      <c r="F1054" s="3" t="n">
        <v>760</v>
      </c>
      <c r="G1054" s="3">
        <f>IFERROR(E1054/F1054,0)</f>
        <v/>
      </c>
      <c r="H1054" s="3" t="n">
        <v>153</v>
      </c>
      <c r="I1054" s="2" t="n">
        <v>9</v>
      </c>
      <c r="J1054" s="3">
        <f>IFERROR(E1054/H1054,0)</f>
        <v/>
      </c>
      <c r="K1054" s="10">
        <f>E1054/'По разделам'!$B$21</f>
        <v/>
      </c>
      <c r="L1054" s="4">
        <f>L1053+K1054</f>
        <v/>
      </c>
      <c r="M1054" s="2" t="inlineStr">
        <is>
          <t>07168</t>
        </is>
      </c>
      <c r="N1054" s="2" t="inlineStr">
        <is>
          <t>https://app.redstat.kz/niche/07168?event_date=2026-08-01</t>
        </is>
      </c>
      <c r="O1054" s="2" t="inlineStr">
        <is>
          <t>https://kaspi.kz/shop/c/boy%20national%20costumes/</t>
        </is>
      </c>
    </row>
    <row r="1055">
      <c r="A1055" s="2" t="n">
        <v>1054</v>
      </c>
      <c r="B1055" s="2" t="inlineStr">
        <is>
          <t>Автомобильные видеоинтерфейсы и навигационные блоки</t>
        </is>
      </c>
      <c r="C1055" s="2" t="inlineStr">
        <is>
          <t>Автотовары</t>
        </is>
      </c>
      <c r="D1055" s="2" t="inlineStr">
        <is>
          <t>Автотовары → Автоэлектроника → Автомобильные видеоинтерфейсы и навигационные блоки</t>
        </is>
      </c>
      <c r="E1055" s="3" t="n">
        <v>4540987</v>
      </c>
      <c r="F1055" s="3" t="n">
        <v>85</v>
      </c>
      <c r="G1055" s="3">
        <f>IFERROR(E1055/F1055,0)</f>
        <v/>
      </c>
      <c r="H1055" s="3" t="n">
        <v>20</v>
      </c>
      <c r="I1055" s="2" t="n">
        <v>9</v>
      </c>
      <c r="J1055" s="3">
        <f>IFERROR(E1055/H1055,0)</f>
        <v/>
      </c>
      <c r="K1055" s="10">
        <f>E1055/'По разделам'!$B$21</f>
        <v/>
      </c>
      <c r="L1055" s="4">
        <f>L1054+K1055</f>
        <v/>
      </c>
      <c r="M1055" s="2" t="inlineStr">
        <is>
          <t>04619</t>
        </is>
      </c>
      <c r="N1055" s="2" t="inlineStr">
        <is>
          <t>https://app.redstat.kz/niche/04619?event_date=2026-08-01</t>
        </is>
      </c>
      <c r="O1055" s="2" t="inlineStr">
        <is>
          <t>https://kaspi.kz/shop/c/car%20video%20interfaces%20and%20navigation%20boxes/</t>
        </is>
      </c>
    </row>
    <row r="1056">
      <c r="A1056" s="2" t="n">
        <v>1055</v>
      </c>
      <c r="B1056" s="2" t="inlineStr">
        <is>
          <t>Аксессуары для аудио-видео техники</t>
        </is>
      </c>
      <c r="C1056" s="2" t="inlineStr">
        <is>
          <t>ТВ, Аудио, Видео</t>
        </is>
      </c>
      <c r="D1056" s="2" t="inlineStr">
        <is>
          <t>ТВ, Аудио, Видео → Видеотехника → Аксессуары для аудио-видео техники</t>
        </is>
      </c>
      <c r="E1056" s="3" t="n">
        <v>4536306</v>
      </c>
      <c r="F1056" s="3" t="n">
        <v>308</v>
      </c>
      <c r="G1056" s="3">
        <f>IFERROR(E1056/F1056,0)</f>
        <v/>
      </c>
      <c r="H1056" s="3" t="n">
        <v>70</v>
      </c>
      <c r="I1056" s="2" t="n">
        <v>21</v>
      </c>
      <c r="J1056" s="3">
        <f>IFERROR(E1056/H1056,0)</f>
        <v/>
      </c>
      <c r="K1056" s="10">
        <f>E1056/'По разделам'!$B$21</f>
        <v/>
      </c>
      <c r="L1056" s="4">
        <f>L1055+K1056</f>
        <v/>
      </c>
      <c r="M1056" s="2" t="inlineStr">
        <is>
          <t>06770</t>
        </is>
      </c>
      <c r="N1056" s="2" t="inlineStr">
        <is>
          <t>https://app.redstat.kz/niche/06770?event_date=2026-08-01</t>
        </is>
      </c>
      <c r="O1056" s="2" t="inlineStr">
        <is>
          <t>https://kaspi.kz/shop/search/?text=%D0%90%D0%BA%D1%81%D0%B5%D1%81%D1%81%D1%83%D0%B0%D1%80%D1%8B%20%D0%B4%D0%BB%D1%8F%20%D0%B0%D1%83%D0%B4%D0%B8%D0%BE-%D0%B2%D0%B8%D0%B4%D0%B5%D0%BE%20%D1%82%D0%B5%D1%85%D0%BD%D0%B8%D0%BA%D0%B8</t>
        </is>
      </c>
    </row>
    <row r="1057">
      <c r="A1057" s="2" t="n">
        <v>1056</v>
      </c>
      <c r="B1057" s="2" t="inlineStr">
        <is>
          <t>Домашняя одежда для мальчиков</t>
        </is>
      </c>
      <c r="C1057" s="2" t="inlineStr">
        <is>
          <t>Одежда</t>
        </is>
      </c>
      <c r="D1057" s="2" t="inlineStr">
        <is>
          <t>Одежда → Мальчикам → Домашняя одежда для мальчиков → Домашняя одежда для мальчиков</t>
        </is>
      </c>
      <c r="E1057" s="3" t="n">
        <v>4535963</v>
      </c>
      <c r="F1057" s="3" t="n">
        <v>1585</v>
      </c>
      <c r="G1057" s="3">
        <f>IFERROR(E1057/F1057,0)</f>
        <v/>
      </c>
      <c r="H1057" s="3" t="n">
        <v>406</v>
      </c>
      <c r="I1057" s="2" t="n">
        <v>45</v>
      </c>
      <c r="J1057" s="3">
        <f>IFERROR(E1057/H1057,0)</f>
        <v/>
      </c>
      <c r="K1057" s="10">
        <f>E1057/'По разделам'!$B$21</f>
        <v/>
      </c>
      <c r="L1057" s="4">
        <f>L1056+K1057</f>
        <v/>
      </c>
      <c r="M1057" s="2" t="inlineStr">
        <is>
          <t>qe9a3b2212620768</t>
        </is>
      </c>
      <c r="N1057" s="2" t="inlineStr">
        <is>
          <t>https://app.redstat.kz/niche/qe9a3b2212620768?event_date=2026-08-01</t>
        </is>
      </c>
      <c r="O1057" s="2" t="inlineStr"/>
    </row>
    <row r="1058">
      <c r="A1058" s="2" t="n">
        <v>1057</v>
      </c>
      <c r="B1058" s="2" t="inlineStr">
        <is>
          <t>Сандалии для мальчиков</t>
        </is>
      </c>
      <c r="C1058" s="2" t="inlineStr">
        <is>
          <t>Обувь</t>
        </is>
      </c>
      <c r="D1058" s="2" t="inlineStr">
        <is>
          <t>Обувь → Обувь для мальчиков → Сандалии для мальчиков</t>
        </is>
      </c>
      <c r="E1058" s="3" t="n">
        <v>4534910</v>
      </c>
      <c r="F1058" s="3" t="n">
        <v>596</v>
      </c>
      <c r="G1058" s="3">
        <f>IFERROR(E1058/F1058,0)</f>
        <v/>
      </c>
      <c r="H1058" s="3" t="n">
        <v>193</v>
      </c>
      <c r="I1058" s="2" t="n">
        <v>37</v>
      </c>
      <c r="J1058" s="3">
        <f>IFERROR(E1058/H1058,0)</f>
        <v/>
      </c>
      <c r="K1058" s="10">
        <f>E1058/'По разделам'!$B$21</f>
        <v/>
      </c>
      <c r="L1058" s="4">
        <f>L1057+K1058</f>
        <v/>
      </c>
      <c r="M1058" s="2" t="inlineStr">
        <is>
          <t>01154</t>
        </is>
      </c>
      <c r="N1058" s="2" t="inlineStr">
        <is>
          <t>https://app.redstat.kz/niche/01154?event_date=2026-08-01</t>
        </is>
      </c>
      <c r="O1058" s="2" t="inlineStr">
        <is>
          <t>https://kaspi.kz/shop/c/boy%20sandals/</t>
        </is>
      </c>
    </row>
    <row r="1059">
      <c r="A1059" s="2" t="n">
        <v>1058</v>
      </c>
      <c r="B1059" s="2" t="inlineStr">
        <is>
          <t>Переносные светильники</t>
        </is>
      </c>
      <c r="C1059" s="2" t="inlineStr">
        <is>
          <t>Товары для дома и дачи</t>
        </is>
      </c>
      <c r="D1059" s="2" t="inlineStr">
        <is>
          <t>Товары для дома и дачи → Освещение → Переносные светильники</t>
        </is>
      </c>
      <c r="E1059" s="3" t="n">
        <v>4503117</v>
      </c>
      <c r="F1059" s="3" t="n">
        <v>1211</v>
      </c>
      <c r="G1059" s="3">
        <f>IFERROR(E1059/F1059,0)</f>
        <v/>
      </c>
      <c r="H1059" s="3" t="n">
        <v>152</v>
      </c>
      <c r="I1059" s="2" t="n">
        <v>52</v>
      </c>
      <c r="J1059" s="3">
        <f>IFERROR(E1059/H1059,0)</f>
        <v/>
      </c>
      <c r="K1059" s="10">
        <f>E1059/'По разделам'!$B$21</f>
        <v/>
      </c>
      <c r="L1059" s="4">
        <f>L1058+K1059</f>
        <v/>
      </c>
      <c r="M1059" s="2" t="inlineStr">
        <is>
          <t>05668</t>
        </is>
      </c>
      <c r="N1059" s="2" t="inlineStr">
        <is>
          <t>https://app.redstat.kz/niche/05668?event_date=2026-08-01</t>
        </is>
      </c>
      <c r="O1059" s="2" t="inlineStr">
        <is>
          <t>https://kaspi.kz/shop/c/portable%20lamps/</t>
        </is>
      </c>
    </row>
    <row r="1060">
      <c r="A1060" s="2" t="n">
        <v>1059</v>
      </c>
      <c r="B1060" s="2" t="inlineStr">
        <is>
          <t>Атлетические пояса</t>
        </is>
      </c>
      <c r="C1060" s="2" t="inlineStr">
        <is>
          <t>Спорт, туризм</t>
        </is>
      </c>
      <c r="D1060" s="2" t="inlineStr">
        <is>
          <t>Спорт, туризм → Пауэрлифтинг → Атлетические пояса</t>
        </is>
      </c>
      <c r="E1060" s="3" t="n">
        <v>4423181</v>
      </c>
      <c r="F1060" s="3" t="n">
        <v>569</v>
      </c>
      <c r="G1060" s="3">
        <f>IFERROR(E1060/F1060,0)</f>
        <v/>
      </c>
      <c r="H1060" s="3" t="n">
        <v>125</v>
      </c>
      <c r="I1060" s="2" t="n">
        <v>29</v>
      </c>
      <c r="J1060" s="3">
        <f>IFERROR(E1060/H1060,0)</f>
        <v/>
      </c>
      <c r="K1060" s="10">
        <f>E1060/'По разделам'!$B$21</f>
        <v/>
      </c>
      <c r="L1060" s="4">
        <f>L1059+K1060</f>
        <v/>
      </c>
      <c r="M1060" s="2" t="inlineStr">
        <is>
          <t>03634</t>
        </is>
      </c>
      <c r="N1060" s="2" t="inlineStr">
        <is>
          <t>https://app.redstat.kz/niche/03634?event_date=2026-08-01</t>
        </is>
      </c>
      <c r="O1060" s="2" t="inlineStr">
        <is>
          <t>https://kaspi.kz/shop/c/weight%20belts/</t>
        </is>
      </c>
    </row>
    <row r="1061">
      <c r="A1061" s="2" t="n">
        <v>1060</v>
      </c>
      <c r="B1061" s="2" t="inlineStr">
        <is>
          <t>Расходные материалы для малярных работ</t>
        </is>
      </c>
      <c r="C1061" s="2" t="inlineStr">
        <is>
          <t>Строительство, ремонт</t>
        </is>
      </c>
      <c r="D1061" s="2" t="inlineStr">
        <is>
          <t>Строительство, ремонт → Лакокрасочные материалы → Расходные материалы для малярных работ → Расходные материалы для малярных работ</t>
        </is>
      </c>
      <c r="E1061" s="3" t="n">
        <v>4401821</v>
      </c>
      <c r="F1061" s="3" t="n">
        <v>900</v>
      </c>
      <c r="G1061" s="3">
        <f>IFERROR(E1061/F1061,0)</f>
        <v/>
      </c>
      <c r="H1061" s="3" t="n">
        <v>58</v>
      </c>
      <c r="I1061" s="2" t="n">
        <v>12</v>
      </c>
      <c r="J1061" s="3">
        <f>IFERROR(E1061/H1061,0)</f>
        <v/>
      </c>
      <c r="K1061" s="10">
        <f>E1061/'По разделам'!$B$21</f>
        <v/>
      </c>
      <c r="L1061" s="4">
        <f>L1060+K1061</f>
        <v/>
      </c>
      <c r="M1061" s="2" t="inlineStr">
        <is>
          <t>q8eb0fc8aded4b9e</t>
        </is>
      </c>
      <c r="N1061" s="2" t="inlineStr">
        <is>
          <t>https://app.redstat.kz/niche/q8eb0fc8aded4b9e?event_date=2026-08-01</t>
        </is>
      </c>
      <c r="O1061" s="2" t="inlineStr"/>
    </row>
    <row r="1062">
      <c r="A1062" s="2" t="n">
        <v>1061</v>
      </c>
      <c r="B1062" s="2" t="inlineStr">
        <is>
          <t>Швабры и насадки</t>
        </is>
      </c>
      <c r="C1062" s="2" t="inlineStr">
        <is>
          <t>Товары для дома и дачи</t>
        </is>
      </c>
      <c r="D1062" s="2" t="inlineStr">
        <is>
          <t>Товары для дома и дачи → Хозяйственные товары → Инвентарь для уборки → Швабры и насадки</t>
        </is>
      </c>
      <c r="E1062" s="3" t="n">
        <v>4398592</v>
      </c>
      <c r="F1062" s="3" t="n">
        <v>2046</v>
      </c>
      <c r="G1062" s="3">
        <f>IFERROR(E1062/F1062,0)</f>
        <v/>
      </c>
      <c r="H1062" s="3" t="n">
        <v>759</v>
      </c>
      <c r="I1062" s="2" t="n">
        <v>236</v>
      </c>
      <c r="J1062" s="3">
        <f>IFERROR(E1062/H1062,0)</f>
        <v/>
      </c>
      <c r="K1062" s="10">
        <f>E1062/'По разделам'!$B$21</f>
        <v/>
      </c>
      <c r="L1062" s="4">
        <f>L1061+K1062</f>
        <v/>
      </c>
      <c r="M1062" s="2" t="inlineStr">
        <is>
          <t>01036</t>
        </is>
      </c>
      <c r="N1062" s="2" t="inlineStr">
        <is>
          <t>https://app.redstat.kz/niche/01036?event_date=2026-08-01</t>
        </is>
      </c>
      <c r="O1062" s="2" t="inlineStr">
        <is>
          <t>https://kaspi.kz/shop/c/mops%20and%20mop%20heads/</t>
        </is>
      </c>
    </row>
    <row r="1063">
      <c r="A1063" s="2" t="n">
        <v>1062</v>
      </c>
      <c r="B1063" s="2" t="inlineStr">
        <is>
          <t>Пресс-станки</t>
        </is>
      </c>
      <c r="C1063" s="2" t="inlineStr">
        <is>
          <t>Автотовары</t>
        </is>
      </c>
      <c r="D1063" s="2" t="inlineStr">
        <is>
          <t>Автотовары → Автосервисное оборудование → Пресс-станки</t>
        </is>
      </c>
      <c r="E1063" s="3" t="n">
        <v>4390957</v>
      </c>
      <c r="F1063" s="3" t="n">
        <v>31</v>
      </c>
      <c r="G1063" s="3">
        <f>IFERROR(E1063/F1063,0)</f>
        <v/>
      </c>
      <c r="H1063" s="3" t="n">
        <v>17</v>
      </c>
      <c r="I1063" s="2" t="n">
        <v>6</v>
      </c>
      <c r="J1063" s="3">
        <f>IFERROR(E1063/H1063,0)</f>
        <v/>
      </c>
      <c r="K1063" s="10">
        <f>E1063/'По разделам'!$B$21</f>
        <v/>
      </c>
      <c r="L1063" s="4">
        <f>L1062+K1063</f>
        <v/>
      </c>
      <c r="M1063" s="2" t="inlineStr">
        <is>
          <t>04042</t>
        </is>
      </c>
      <c r="N1063" s="2" t="inlineStr">
        <is>
          <t>https://app.redstat.kz/niche/04042?event_date=2026-08-01</t>
        </is>
      </c>
      <c r="O1063" s="2" t="inlineStr">
        <is>
          <t>https://kaspi.kz/shop/c/press%20machines/</t>
        </is>
      </c>
    </row>
    <row r="1064">
      <c r="A1064" s="2" t="n">
        <v>1063</v>
      </c>
      <c r="B1064" s="2" t="inlineStr">
        <is>
          <t>Спецобувь для женщин</t>
        </is>
      </c>
      <c r="C1064" s="2" t="inlineStr">
        <is>
          <t>Обувь</t>
        </is>
      </c>
      <c r="D1064" s="2" t="inlineStr">
        <is>
          <t>Обувь → Женская обувь → Спецобувь для женщин</t>
        </is>
      </c>
      <c r="E1064" s="3" t="n">
        <v>4388719</v>
      </c>
      <c r="F1064" s="3" t="n">
        <v>605</v>
      </c>
      <c r="G1064" s="3">
        <f>IFERROR(E1064/F1064,0)</f>
        <v/>
      </c>
      <c r="H1064" s="3" t="n">
        <v>187</v>
      </c>
      <c r="I1064" s="2" t="n">
        <v>29</v>
      </c>
      <c r="J1064" s="3">
        <f>IFERROR(E1064/H1064,0)</f>
        <v/>
      </c>
      <c r="K1064" s="10">
        <f>E1064/'По разделам'!$B$21</f>
        <v/>
      </c>
      <c r="L1064" s="4">
        <f>L1063+K1064</f>
        <v/>
      </c>
      <c r="M1064" s="2" t="inlineStr">
        <is>
          <t>02388</t>
        </is>
      </c>
      <c r="N1064" s="2" t="inlineStr">
        <is>
          <t>https://app.redstat.kz/niche/02388?event_date=2026-08-01</t>
        </is>
      </c>
      <c r="O1064" s="2" t="inlineStr">
        <is>
          <t>https://kaspi.kz/shop/c/women%20safety%20shoes/</t>
        </is>
      </c>
    </row>
    <row r="1065">
      <c r="A1065" s="2" t="n">
        <v>1064</v>
      </c>
      <c r="B1065" s="2" t="inlineStr">
        <is>
          <t>Резьбонарезной инструмент</t>
        </is>
      </c>
      <c r="C1065" s="2" t="inlineStr">
        <is>
          <t>Строительство, ремонт</t>
        </is>
      </c>
      <c r="D1065" s="2" t="inlineStr">
        <is>
          <t>Строительство, ремонт → Ручные инструменты → Резьбонарезной инструмент → Резьбонарезной инструмент</t>
        </is>
      </c>
      <c r="E1065" s="3" t="n">
        <v>4383756</v>
      </c>
      <c r="F1065" s="3" t="n">
        <v>506</v>
      </c>
      <c r="G1065" s="3">
        <f>IFERROR(E1065/F1065,0)</f>
        <v/>
      </c>
      <c r="H1065" s="3" t="n">
        <v>92</v>
      </c>
      <c r="I1065" s="2" t="n">
        <v>41</v>
      </c>
      <c r="J1065" s="3">
        <f>IFERROR(E1065/H1065,0)</f>
        <v/>
      </c>
      <c r="K1065" s="10">
        <f>E1065/'По разделам'!$B$21</f>
        <v/>
      </c>
      <c r="L1065" s="4">
        <f>L1064+K1065</f>
        <v/>
      </c>
      <c r="M1065" s="2" t="inlineStr">
        <is>
          <t>qc32bbbfe92667c4</t>
        </is>
      </c>
      <c r="N1065" s="2" t="inlineStr">
        <is>
          <t>https://app.redstat.kz/niche/qc32bbbfe92667c4?event_date=2026-08-01</t>
        </is>
      </c>
      <c r="O1065" s="2" t="inlineStr"/>
    </row>
    <row r="1066">
      <c r="A1066" s="2" t="n">
        <v>1065</v>
      </c>
      <c r="B1066" s="2" t="inlineStr">
        <is>
          <t>Карнавальные костюмы для мальчиков</t>
        </is>
      </c>
      <c r="C1066" s="2" t="inlineStr">
        <is>
          <t>Одежда</t>
        </is>
      </c>
      <c r="D1066" s="2" t="inlineStr">
        <is>
          <t>Одежда → Мальчикам → Карнавальные костюмы для мальчиков</t>
        </is>
      </c>
      <c r="E1066" s="3" t="n">
        <v>4383463</v>
      </c>
      <c r="F1066" s="3" t="n">
        <v>782</v>
      </c>
      <c r="G1066" s="3">
        <f>IFERROR(E1066/F1066,0)</f>
        <v/>
      </c>
      <c r="H1066" s="3" t="n">
        <v>129</v>
      </c>
      <c r="I1066" s="2" t="n">
        <v>11</v>
      </c>
      <c r="J1066" s="3">
        <f>IFERROR(E1066/H1066,0)</f>
        <v/>
      </c>
      <c r="K1066" s="10">
        <f>E1066/'По разделам'!$B$21</f>
        <v/>
      </c>
      <c r="L1066" s="4">
        <f>L1065+K1066</f>
        <v/>
      </c>
      <c r="M1066" s="2" t="inlineStr">
        <is>
          <t>05074</t>
        </is>
      </c>
      <c r="N1066" s="2" t="inlineStr">
        <is>
          <t>https://app.redstat.kz/niche/05074?event_date=2026-08-01</t>
        </is>
      </c>
      <c r="O1066" s="2" t="inlineStr">
        <is>
          <t>https://kaspi.kz/shop/c/boy%20costumes/</t>
        </is>
      </c>
    </row>
    <row r="1067">
      <c r="A1067" s="2" t="n">
        <v>1066</v>
      </c>
      <c r="B1067" s="2" t="inlineStr">
        <is>
          <t>Шурупы и саморезы</t>
        </is>
      </c>
      <c r="C1067" s="2" t="inlineStr">
        <is>
          <t>Строительство, ремонт</t>
        </is>
      </c>
      <c r="D1067" s="2" t="inlineStr">
        <is>
          <t>Строительство, ремонт → Строительный крепеж → Шурупы и саморезы</t>
        </is>
      </c>
      <c r="E1067" s="3" t="n">
        <v>4379647</v>
      </c>
      <c r="F1067" s="3" t="n">
        <v>4094</v>
      </c>
      <c r="G1067" s="3">
        <f>IFERROR(E1067/F1067,0)</f>
        <v/>
      </c>
      <c r="H1067" s="3" t="n">
        <v>321</v>
      </c>
      <c r="I1067" s="2" t="n">
        <v>27</v>
      </c>
      <c r="J1067" s="3">
        <f>IFERROR(E1067/H1067,0)</f>
        <v/>
      </c>
      <c r="K1067" s="10">
        <f>E1067/'По разделам'!$B$21</f>
        <v/>
      </c>
      <c r="L1067" s="4">
        <f>L1066+K1067</f>
        <v/>
      </c>
      <c r="M1067" s="2" t="inlineStr">
        <is>
          <t>02603</t>
        </is>
      </c>
      <c r="N1067" s="2" t="inlineStr">
        <is>
          <t>https://app.redstat.kz/niche/02603?event_date=2026-08-01</t>
        </is>
      </c>
      <c r="O1067" s="2" t="inlineStr">
        <is>
          <t>https://kaspi.kz/shop/c/construction%20screws/</t>
        </is>
      </c>
    </row>
    <row r="1068">
      <c r="A1068" s="2" t="n">
        <v>1067</v>
      </c>
      <c r="B1068" s="2" t="inlineStr">
        <is>
          <t>Детская одежда для единоборств</t>
        </is>
      </c>
      <c r="C1068" s="2" t="inlineStr">
        <is>
          <t>Спорт, туризм</t>
        </is>
      </c>
      <c r="D1068" s="2" t="inlineStr">
        <is>
          <t>Спорт, туризм → Единоборства → Детская одежда для единоборств</t>
        </is>
      </c>
      <c r="E1068" s="3" t="n">
        <v>4362691</v>
      </c>
      <c r="F1068" s="3" t="n">
        <v>603</v>
      </c>
      <c r="G1068" s="3">
        <f>IFERROR(E1068/F1068,0)</f>
        <v/>
      </c>
      <c r="H1068" s="3" t="n">
        <v>290</v>
      </c>
      <c r="I1068" s="2" t="n">
        <v>33</v>
      </c>
      <c r="J1068" s="3">
        <f>IFERROR(E1068/H1068,0)</f>
        <v/>
      </c>
      <c r="K1068" s="10">
        <f>E1068/'По разделам'!$B$21</f>
        <v/>
      </c>
      <c r="L1068" s="4">
        <f>L1067+K1068</f>
        <v/>
      </c>
      <c r="M1068" s="2" t="inlineStr">
        <is>
          <t>09274</t>
        </is>
      </c>
      <c r="N1068" s="2" t="inlineStr">
        <is>
          <t>https://app.redstat.kz/niche/09274?event_date=2026-08-01</t>
        </is>
      </c>
      <c r="O1068" s="2" t="inlineStr">
        <is>
          <t>https://kaspi.kz/shop/c/childrens%20clothing%20for%20martial%20arts/</t>
        </is>
      </c>
    </row>
    <row r="1069">
      <c r="A1069" s="2" t="n">
        <v>1068</v>
      </c>
      <c r="B1069" s="2" t="inlineStr">
        <is>
          <t>Дюбели и дюбель-гвозди</t>
        </is>
      </c>
      <c r="C1069" s="2" t="inlineStr">
        <is>
          <t>Строительство, ремонт</t>
        </is>
      </c>
      <c r="D1069" s="2" t="inlineStr">
        <is>
          <t>Строительство, ремонт → Строительный крепеж → Дюбели и дюбель-гвозди</t>
        </is>
      </c>
      <c r="E1069" s="3" t="n">
        <v>4359991</v>
      </c>
      <c r="F1069" s="3" t="n">
        <v>1032</v>
      </c>
      <c r="G1069" s="3">
        <f>IFERROR(E1069/F1069,0)</f>
        <v/>
      </c>
      <c r="H1069" s="3" t="n">
        <v>185</v>
      </c>
      <c r="I1069" s="2" t="n">
        <v>38</v>
      </c>
      <c r="J1069" s="3">
        <f>IFERROR(E1069/H1069,0)</f>
        <v/>
      </c>
      <c r="K1069" s="10">
        <f>E1069/'По разделам'!$B$21</f>
        <v/>
      </c>
      <c r="L1069" s="4">
        <f>L1068+K1069</f>
        <v/>
      </c>
      <c r="M1069" s="2" t="inlineStr">
        <is>
          <t>05479</t>
        </is>
      </c>
      <c r="N1069" s="2" t="inlineStr">
        <is>
          <t>https://app.redstat.kz/niche/05479?event_date=2026-08-01</t>
        </is>
      </c>
      <c r="O1069" s="2" t="inlineStr">
        <is>
          <t>https://kaspi.kz/shop/c/dowels%20and%20dowel-nails/</t>
        </is>
      </c>
    </row>
    <row r="1070">
      <c r="A1070" s="2" t="n">
        <v>1069</v>
      </c>
      <c r="B1070" s="2" t="inlineStr">
        <is>
          <t>Инструменты для ремонта и чистки велосипеда</t>
        </is>
      </c>
      <c r="C1070" s="2" t="inlineStr">
        <is>
          <t>Спорт, туризм</t>
        </is>
      </c>
      <c r="D1070" s="2" t="inlineStr">
        <is>
          <t>Спорт, туризм → Велоспорт → Инструменты для ремонта и чистки велосипеда</t>
        </is>
      </c>
      <c r="E1070" s="3" t="n">
        <v>4348549</v>
      </c>
      <c r="F1070" s="3" t="n">
        <v>1678</v>
      </c>
      <c r="G1070" s="3">
        <f>IFERROR(E1070/F1070,0)</f>
        <v/>
      </c>
      <c r="H1070" s="3" t="n">
        <v>243</v>
      </c>
      <c r="I1070" s="2" t="n">
        <v>58</v>
      </c>
      <c r="J1070" s="3">
        <f>IFERROR(E1070/H1070,0)</f>
        <v/>
      </c>
      <c r="K1070" s="10">
        <f>E1070/'По разделам'!$B$21</f>
        <v/>
      </c>
      <c r="L1070" s="4">
        <f>L1069+K1070</f>
        <v/>
      </c>
      <c r="M1070" s="2" t="inlineStr">
        <is>
          <t>04227</t>
        </is>
      </c>
      <c r="N1070" s="2" t="inlineStr">
        <is>
          <t>https://app.redstat.kz/niche/04227?event_date=2026-08-01</t>
        </is>
      </c>
      <c r="O1070" s="2" t="inlineStr">
        <is>
          <t>https://kaspi.kz/shop/c/bicycle%20repair%20tools/</t>
        </is>
      </c>
    </row>
    <row r="1071">
      <c r="A1071" s="2" t="n">
        <v>1070</v>
      </c>
      <c r="B1071" s="2" t="inlineStr">
        <is>
          <t>Контакторы и аксессуары</t>
        </is>
      </c>
      <c r="C1071" s="2" t="inlineStr">
        <is>
          <t>Строительство, ремонт</t>
        </is>
      </c>
      <c r="D1071" s="2" t="inlineStr">
        <is>
          <t>Строительство, ремонт → Электрика → Контакторы и аксессуары → Контакторы и аксессуары</t>
        </is>
      </c>
      <c r="E1071" s="3" t="n">
        <v>4323459</v>
      </c>
      <c r="F1071" s="3" t="n">
        <v>139</v>
      </c>
      <c r="G1071" s="3">
        <f>IFERROR(E1071/F1071,0)</f>
        <v/>
      </c>
      <c r="H1071" s="3" t="n">
        <v>71</v>
      </c>
      <c r="I1071" s="2" t="n">
        <v>20</v>
      </c>
      <c r="J1071" s="3">
        <f>IFERROR(E1071/H1071,0)</f>
        <v/>
      </c>
      <c r="K1071" s="10">
        <f>E1071/'По разделам'!$B$21</f>
        <v/>
      </c>
      <c r="L1071" s="4">
        <f>L1070+K1071</f>
        <v/>
      </c>
      <c r="M1071" s="2" t="inlineStr">
        <is>
          <t>qda444951d1fd364</t>
        </is>
      </c>
      <c r="N1071" s="2" t="inlineStr">
        <is>
          <t>https://app.redstat.kz/niche/qda444951d1fd364?event_date=2026-08-01</t>
        </is>
      </c>
      <c r="O1071" s="2" t="inlineStr"/>
    </row>
    <row r="1072">
      <c r="A1072" s="2" t="n">
        <v>1071</v>
      </c>
      <c r="B1072" s="2" t="inlineStr">
        <is>
          <t>Мужские сандалии</t>
        </is>
      </c>
      <c r="C1072" s="2" t="inlineStr">
        <is>
          <t>Обувь</t>
        </is>
      </c>
      <c r="D1072" s="2" t="inlineStr">
        <is>
          <t>Обувь → Мужская обувь → Мужские сандалии</t>
        </is>
      </c>
      <c r="E1072" s="3" t="n">
        <v>4302143</v>
      </c>
      <c r="F1072" s="3" t="n">
        <v>324</v>
      </c>
      <c r="G1072" s="3">
        <f>IFERROR(E1072/F1072,0)</f>
        <v/>
      </c>
      <c r="H1072" s="3" t="n">
        <v>153</v>
      </c>
      <c r="I1072" s="2" t="n">
        <v>45</v>
      </c>
      <c r="J1072" s="3">
        <f>IFERROR(E1072/H1072,0)</f>
        <v/>
      </c>
      <c r="K1072" s="10">
        <f>E1072/'По разделам'!$B$21</f>
        <v/>
      </c>
      <c r="L1072" s="4">
        <f>L1071+K1072</f>
        <v/>
      </c>
      <c r="M1072" s="2" t="inlineStr">
        <is>
          <t>00805</t>
        </is>
      </c>
      <c r="N1072" s="2" t="inlineStr">
        <is>
          <t>https://app.redstat.kz/niche/00805?event_date=2026-08-01</t>
        </is>
      </c>
      <c r="O1072" s="2" t="inlineStr">
        <is>
          <t>https://kaspi.kz/shop/c/men%20sandals/</t>
        </is>
      </c>
    </row>
    <row r="1073">
      <c r="A1073" s="2" t="n">
        <v>1072</v>
      </c>
      <c r="B1073" s="2" t="inlineStr">
        <is>
          <t>Глобусы</t>
        </is>
      </c>
      <c r="C1073" s="2" t="inlineStr">
        <is>
          <t>Канцелярские товары</t>
        </is>
      </c>
      <c r="D1073" s="2" t="inlineStr">
        <is>
          <t>Канцелярские товары → Школьные принадлежности → Глобусы</t>
        </is>
      </c>
      <c r="E1073" s="3" t="n">
        <v>4246700</v>
      </c>
      <c r="F1073" s="3" t="n">
        <v>575</v>
      </c>
      <c r="G1073" s="3">
        <f>IFERROR(E1073/F1073,0)</f>
        <v/>
      </c>
      <c r="H1073" s="3" t="n">
        <v>95</v>
      </c>
      <c r="I1073" s="2" t="n">
        <v>7</v>
      </c>
      <c r="J1073" s="3">
        <f>IFERROR(E1073/H1073,0)</f>
        <v/>
      </c>
      <c r="K1073" s="10">
        <f>E1073/'По разделам'!$B$21</f>
        <v/>
      </c>
      <c r="L1073" s="4">
        <f>L1072+K1073</f>
        <v/>
      </c>
      <c r="M1073" s="2" t="inlineStr">
        <is>
          <t>04256</t>
        </is>
      </c>
      <c r="N1073" s="2" t="inlineStr">
        <is>
          <t>https://app.redstat.kz/niche/04256?event_date=2026-08-01</t>
        </is>
      </c>
      <c r="O1073" s="2" t="inlineStr">
        <is>
          <t>https://kaspi.kz/shop/c/globes/</t>
        </is>
      </c>
    </row>
    <row r="1074">
      <c r="A1074" s="2" t="n">
        <v>1073</v>
      </c>
      <c r="B1074" s="2" t="inlineStr">
        <is>
          <t>Головные уборы и варежки для малышей</t>
        </is>
      </c>
      <c r="C1074" s="2" t="inlineStr">
        <is>
          <t>Одежда</t>
        </is>
      </c>
      <c r="D1074" s="2" t="inlineStr">
        <is>
          <t>Одежда → Одежда для малышей → Головные уборы и варежки для малышей</t>
        </is>
      </c>
      <c r="E1074" s="3" t="n">
        <v>4226502</v>
      </c>
      <c r="F1074" s="3" t="n">
        <v>2700</v>
      </c>
      <c r="G1074" s="3">
        <f>IFERROR(E1074/F1074,0)</f>
        <v/>
      </c>
      <c r="H1074" s="3" t="n">
        <v>426</v>
      </c>
      <c r="I1074" s="2" t="n">
        <v>59</v>
      </c>
      <c r="J1074" s="3">
        <f>IFERROR(E1074/H1074,0)</f>
        <v/>
      </c>
      <c r="K1074" s="10">
        <f>E1074/'По разделам'!$B$21</f>
        <v/>
      </c>
      <c r="L1074" s="4">
        <f>L1073+K1074</f>
        <v/>
      </c>
      <c r="M1074" s="2" t="inlineStr">
        <is>
          <t>05070</t>
        </is>
      </c>
      <c r="N1074" s="2" t="inlineStr">
        <is>
          <t>https://app.redstat.kz/niche/05070?event_date=2026-08-01</t>
        </is>
      </c>
      <c r="O1074" s="2" t="inlineStr">
        <is>
          <t>https://kaspi.kz/shop/c/babies%20hats%20and%20caps/</t>
        </is>
      </c>
    </row>
    <row r="1075">
      <c r="A1075" s="2" t="n">
        <v>1074</v>
      </c>
      <c r="B1075" s="2" t="inlineStr">
        <is>
          <t>Игральные карты</t>
        </is>
      </c>
      <c r="C1075" s="2" t="inlineStr">
        <is>
          <t>Досуг, книги</t>
        </is>
      </c>
      <c r="D1075" s="2" t="inlineStr">
        <is>
          <t>Досуг, книги → Игры для компаний → Игральные карты</t>
        </is>
      </c>
      <c r="E1075" s="3" t="n">
        <v>4215476</v>
      </c>
      <c r="F1075" s="3" t="n">
        <v>1513</v>
      </c>
      <c r="G1075" s="3">
        <f>IFERROR(E1075/F1075,0)</f>
        <v/>
      </c>
      <c r="H1075" s="3" t="n">
        <v>172</v>
      </c>
      <c r="I1075" s="2" t="n">
        <v>30</v>
      </c>
      <c r="J1075" s="3">
        <f>IFERROR(E1075/H1075,0)</f>
        <v/>
      </c>
      <c r="K1075" s="10">
        <f>E1075/'По разделам'!$B$21</f>
        <v/>
      </c>
      <c r="L1075" s="4">
        <f>L1074+K1075</f>
        <v/>
      </c>
      <c r="M1075" s="2" t="inlineStr">
        <is>
          <t>03523</t>
        </is>
      </c>
      <c r="N1075" s="2" t="inlineStr">
        <is>
          <t>https://app.redstat.kz/niche/03523?event_date=2026-08-01</t>
        </is>
      </c>
      <c r="O1075" s="2" t="inlineStr">
        <is>
          <t>https://kaspi.kz/shop/c/playing%20cards/</t>
        </is>
      </c>
    </row>
    <row r="1076">
      <c r="A1076" s="2" t="n">
        <v>1075</v>
      </c>
      <c r="B1076" s="2" t="inlineStr">
        <is>
          <t>Клетки и домики для грызунов</t>
        </is>
      </c>
      <c r="C1076" s="2" t="inlineStr">
        <is>
          <t>Товары для животных</t>
        </is>
      </c>
      <c r="D1076" s="2" t="inlineStr">
        <is>
          <t>Товары для животных → Для грызунов → Клетки и домики для грызунов</t>
        </is>
      </c>
      <c r="E1076" s="3" t="n">
        <v>4191722</v>
      </c>
      <c r="F1076" s="3" t="n">
        <v>416</v>
      </c>
      <c r="G1076" s="3">
        <f>IFERROR(E1076/F1076,0)</f>
        <v/>
      </c>
      <c r="H1076" s="3" t="n">
        <v>108</v>
      </c>
      <c r="I1076" s="2" t="n">
        <v>20</v>
      </c>
      <c r="J1076" s="3">
        <f>IFERROR(E1076/H1076,0)</f>
        <v/>
      </c>
      <c r="K1076" s="10">
        <f>E1076/'По разделам'!$B$21</f>
        <v/>
      </c>
      <c r="L1076" s="4">
        <f>L1075+K1076</f>
        <v/>
      </c>
      <c r="M1076" s="2" t="inlineStr">
        <is>
          <t>01702</t>
        </is>
      </c>
      <c r="N1076" s="2" t="inlineStr">
        <is>
          <t>https://app.redstat.kz/niche/01702?event_date=2026-08-01</t>
        </is>
      </c>
      <c r="O1076" s="2" t="inlineStr">
        <is>
          <t>https://kaspi.kz/shop/c/rodents%20cages/</t>
        </is>
      </c>
    </row>
    <row r="1077">
      <c r="A1077" s="2" t="n">
        <v>1076</v>
      </c>
      <c r="B1077" s="2" t="inlineStr">
        <is>
          <t>Воздушные завесы</t>
        </is>
      </c>
      <c r="C1077" s="2" t="inlineStr">
        <is>
          <t>Бытовая техника</t>
        </is>
      </c>
      <c r="D1077" s="2" t="inlineStr">
        <is>
          <t>Бытовая техника → Климатическая техника → Воздушные завесы</t>
        </is>
      </c>
      <c r="E1077" s="3" t="n">
        <v>4085388</v>
      </c>
      <c r="F1077" s="3" t="n">
        <v>30</v>
      </c>
      <c r="G1077" s="3">
        <f>IFERROR(E1077/F1077,0)</f>
        <v/>
      </c>
      <c r="H1077" s="3" t="n">
        <v>18</v>
      </c>
      <c r="I1077" s="2" t="n">
        <v>7</v>
      </c>
      <c r="J1077" s="3">
        <f>IFERROR(E1077/H1077,0)</f>
        <v/>
      </c>
      <c r="K1077" s="10">
        <f>E1077/'По разделам'!$B$21</f>
        <v/>
      </c>
      <c r="L1077" s="4">
        <f>L1076+K1077</f>
        <v/>
      </c>
      <c r="M1077" s="2" t="inlineStr">
        <is>
          <t>07237</t>
        </is>
      </c>
      <c r="N1077" s="2" t="inlineStr">
        <is>
          <t>https://app.redstat.kz/niche/07237?event_date=2026-08-01</t>
        </is>
      </c>
      <c r="O1077" s="2" t="inlineStr">
        <is>
          <t>https://kaspi.kz/shop/c/air%20curtains/</t>
        </is>
      </c>
    </row>
    <row r="1078">
      <c r="A1078" s="2" t="n">
        <v>1077</v>
      </c>
      <c r="B1078" s="2" t="inlineStr">
        <is>
          <t>Поводки для животных</t>
        </is>
      </c>
      <c r="C1078" s="2" t="inlineStr">
        <is>
          <t>Товары для животных</t>
        </is>
      </c>
      <c r="D1078" s="2" t="inlineStr">
        <is>
          <t>Товары для животных → Аксессуары для животных → Поводки для животных</t>
        </is>
      </c>
      <c r="E1078" s="3" t="n">
        <v>4084467</v>
      </c>
      <c r="F1078" s="3" t="n">
        <v>1035</v>
      </c>
      <c r="G1078" s="3">
        <f>IFERROR(E1078/F1078,0)</f>
        <v/>
      </c>
      <c r="H1078" s="3" t="n">
        <v>256</v>
      </c>
      <c r="I1078" s="2" t="n">
        <v>52</v>
      </c>
      <c r="J1078" s="3">
        <f>IFERROR(E1078/H1078,0)</f>
        <v/>
      </c>
      <c r="K1078" s="10">
        <f>E1078/'По разделам'!$B$21</f>
        <v/>
      </c>
      <c r="L1078" s="4">
        <f>L1077+K1078</f>
        <v/>
      </c>
      <c r="M1078" s="2" t="inlineStr">
        <is>
          <t>02073</t>
        </is>
      </c>
      <c r="N1078" s="2" t="inlineStr">
        <is>
          <t>https://app.redstat.kz/niche/02073?event_date=2026-08-01</t>
        </is>
      </c>
      <c r="O1078" s="2" t="inlineStr">
        <is>
          <t>https://kaspi.kz/shop/c/pet%20leashes/</t>
        </is>
      </c>
    </row>
    <row r="1079">
      <c r="A1079" s="2" t="n">
        <v>1078</v>
      </c>
      <c r="B1079" s="2" t="inlineStr">
        <is>
          <t>Канцелярские ножи и лезвия</t>
        </is>
      </c>
      <c r="C1079" s="2" t="inlineStr">
        <is>
          <t>Канцелярские товары</t>
        </is>
      </c>
      <c r="D1079" s="2" t="inlineStr">
        <is>
          <t>Канцелярские товары → Офисные принадлежности → Канцелярские ножи и лезвия</t>
        </is>
      </c>
      <c r="E1079" s="3" t="n">
        <v>4044969</v>
      </c>
      <c r="F1079" s="3" t="n">
        <v>3858</v>
      </c>
      <c r="G1079" s="3">
        <f>IFERROR(E1079/F1079,0)</f>
        <v/>
      </c>
      <c r="H1079" s="3" t="n">
        <v>261</v>
      </c>
      <c r="I1079" s="2" t="n">
        <v>71</v>
      </c>
      <c r="J1079" s="3">
        <f>IFERROR(E1079/H1079,0)</f>
        <v/>
      </c>
      <c r="K1079" s="10">
        <f>E1079/'По разделам'!$B$21</f>
        <v/>
      </c>
      <c r="L1079" s="4">
        <f>L1078+K1079</f>
        <v/>
      </c>
      <c r="M1079" s="2" t="inlineStr">
        <is>
          <t>04261</t>
        </is>
      </c>
      <c r="N1079" s="2" t="inlineStr">
        <is>
          <t>https://app.redstat.kz/niche/04261?event_date=2026-08-01</t>
        </is>
      </c>
      <c r="O1079" s="2" t="inlineStr">
        <is>
          <t>https://kaspi.kz/shop/c/stationery%20pen%20knives/</t>
        </is>
      </c>
    </row>
    <row r="1080">
      <c r="A1080" s="2" t="n">
        <v>1079</v>
      </c>
      <c r="B1080" s="2" t="inlineStr">
        <is>
          <t>Миски и поилки для сельскохозяйственных животных</t>
        </is>
      </c>
      <c r="C1080" s="2" t="inlineStr">
        <is>
          <t>Товары для животных</t>
        </is>
      </c>
      <c r="D1080" s="2" t="inlineStr">
        <is>
          <t>Товары для животных → Для сельскохозяйственных животных → Миски и поилки для сельскохозяйственных животных</t>
        </is>
      </c>
      <c r="E1080" s="3" t="n">
        <v>4043701</v>
      </c>
      <c r="F1080" s="3" t="n">
        <v>642</v>
      </c>
      <c r="G1080" s="3">
        <f>IFERROR(E1080/F1080,0)</f>
        <v/>
      </c>
      <c r="H1080" s="3" t="n">
        <v>130</v>
      </c>
      <c r="I1080" s="2" t="n">
        <v>11</v>
      </c>
      <c r="J1080" s="3">
        <f>IFERROR(E1080/H1080,0)</f>
        <v/>
      </c>
      <c r="K1080" s="10">
        <f>E1080/'По разделам'!$B$21</f>
        <v/>
      </c>
      <c r="L1080" s="4">
        <f>L1079+K1080</f>
        <v/>
      </c>
      <c r="M1080" s="2" t="inlineStr">
        <is>
          <t>04904</t>
        </is>
      </c>
      <c r="N1080" s="2" t="inlineStr">
        <is>
          <t>https://app.redstat.kz/niche/04904?event_date=2026-08-01</t>
        </is>
      </c>
      <c r="O1080" s="2" t="inlineStr">
        <is>
          <t>https://kaspi.kz/shop/c/farm%20animals%20bowls/</t>
        </is>
      </c>
    </row>
    <row r="1081">
      <c r="A1081" s="2" t="n">
        <v>1080</v>
      </c>
      <c r="B1081" s="2" t="inlineStr">
        <is>
          <t>Камеры и ободные ленты для автомобилей и мотоциклов</t>
        </is>
      </c>
      <c r="C1081" s="2" t="inlineStr">
        <is>
          <t>Автотовары</t>
        </is>
      </c>
      <c r="D1081" s="2" t="inlineStr">
        <is>
          <t>Автотовары → Шины → Камеры и ободные ленты для автомобилей и мотоциклов</t>
        </is>
      </c>
      <c r="E1081" s="3" t="n">
        <v>4020776</v>
      </c>
      <c r="F1081" s="3" t="n">
        <v>1332</v>
      </c>
      <c r="G1081" s="3">
        <f>IFERROR(E1081/F1081,0)</f>
        <v/>
      </c>
      <c r="H1081" s="3" t="n">
        <v>119</v>
      </c>
      <c r="I1081" s="2" t="n">
        <v>40</v>
      </c>
      <c r="J1081" s="3">
        <f>IFERROR(E1081/H1081,0)</f>
        <v/>
      </c>
      <c r="K1081" s="10">
        <f>E1081/'По разделам'!$B$21</f>
        <v/>
      </c>
      <c r="L1081" s="4">
        <f>L1080+K1081</f>
        <v/>
      </c>
      <c r="M1081" s="2" t="inlineStr">
        <is>
          <t>05663</t>
        </is>
      </c>
      <c r="N1081" s="2" t="inlineStr">
        <is>
          <t>https://app.redstat.kz/niche/05663?event_date=2026-08-01</t>
        </is>
      </c>
      <c r="O1081" s="2" t="inlineStr">
        <is>
          <t>https://kaspi.kz/shop/c/motorcycle%20inner%20tubes/</t>
        </is>
      </c>
    </row>
    <row r="1082">
      <c r="A1082" s="2" t="n">
        <v>1081</v>
      </c>
      <c r="B1082" s="2" t="inlineStr">
        <is>
          <t>Серверы</t>
        </is>
      </c>
      <c r="C1082" s="2" t="inlineStr">
        <is>
          <t>Компьютеры</t>
        </is>
      </c>
      <c r="D1082" s="2" t="inlineStr">
        <is>
          <t>Компьютеры → Серверное оборудование → Серверы</t>
        </is>
      </c>
      <c r="E1082" s="3" t="n">
        <v>3999800</v>
      </c>
      <c r="F1082" s="3" t="n">
        <v>2</v>
      </c>
      <c r="G1082" s="3">
        <f>IFERROR(E1082/F1082,0)</f>
        <v/>
      </c>
      <c r="H1082" s="3" t="n">
        <v>1</v>
      </c>
      <c r="I1082" s="2" t="n">
        <v>1</v>
      </c>
      <c r="J1082" s="3">
        <f>IFERROR(E1082/H1082,0)</f>
        <v/>
      </c>
      <c r="K1082" s="10">
        <f>E1082/'По разделам'!$B$21</f>
        <v/>
      </c>
      <c r="L1082" s="4">
        <f>L1081+K1082</f>
        <v/>
      </c>
      <c r="M1082" s="2" t="inlineStr">
        <is>
          <t>03674</t>
        </is>
      </c>
      <c r="N1082" s="2" t="inlineStr">
        <is>
          <t>https://app.redstat.kz/niche/03674?event_date=2026-08-01</t>
        </is>
      </c>
      <c r="O1082" s="2" t="inlineStr">
        <is>
          <t>https://kaspi.kz/shop/c/servers/</t>
        </is>
      </c>
    </row>
    <row r="1083">
      <c r="A1083" s="2" t="n">
        <v>1082</v>
      </c>
      <c r="B1083" s="2" t="inlineStr">
        <is>
          <t>Рубашки и блузки для девочек</t>
        </is>
      </c>
      <c r="C1083" s="2" t="inlineStr">
        <is>
          <t>Одежда</t>
        </is>
      </c>
      <c r="D1083" s="2" t="inlineStr">
        <is>
          <t>Одежда → Девочкам → Рубашки и блузки для девочек</t>
        </is>
      </c>
      <c r="E1083" s="3" t="n">
        <v>3956599</v>
      </c>
      <c r="F1083" s="3" t="n">
        <v>1055</v>
      </c>
      <c r="G1083" s="3">
        <f>IFERROR(E1083/F1083,0)</f>
        <v/>
      </c>
      <c r="H1083" s="3" t="n">
        <v>238</v>
      </c>
      <c r="I1083" s="2" t="n">
        <v>34</v>
      </c>
      <c r="J1083" s="3">
        <f>IFERROR(E1083/H1083,0)</f>
        <v/>
      </c>
      <c r="K1083" s="10">
        <f>E1083/'По разделам'!$B$21</f>
        <v/>
      </c>
      <c r="L1083" s="4">
        <f>L1082+K1083</f>
        <v/>
      </c>
      <c r="M1083" s="2" t="inlineStr">
        <is>
          <t>01521</t>
        </is>
      </c>
      <c r="N1083" s="2" t="inlineStr">
        <is>
          <t>https://app.redstat.kz/niche/01521?event_date=2026-08-01</t>
        </is>
      </c>
      <c r="O1083" s="2" t="inlineStr">
        <is>
          <t>https://kaspi.kz/shop/c/girl%20shirts%20and%20blouses/</t>
        </is>
      </c>
    </row>
    <row r="1084">
      <c r="A1084" s="2" t="n">
        <v>1083</v>
      </c>
      <c r="B1084" s="2" t="inlineStr">
        <is>
          <t>Автолампы</t>
        </is>
      </c>
      <c r="C1084" s="2" t="inlineStr">
        <is>
          <t>Автотовары</t>
        </is>
      </c>
      <c r="D1084" s="2" t="inlineStr">
        <is>
          <t>Автотовары → Автозапчасти → Автоэлектрика → Автолампы</t>
        </is>
      </c>
      <c r="E1084" s="3" t="n">
        <v>3951338</v>
      </c>
      <c r="F1084" s="3" t="n">
        <v>391</v>
      </c>
      <c r="G1084" s="3">
        <f>IFERROR(E1084/F1084,0)</f>
        <v/>
      </c>
      <c r="H1084" s="3" t="n">
        <v>177</v>
      </c>
      <c r="I1084" s="2" t="n">
        <v>87</v>
      </c>
      <c r="J1084" s="3">
        <f>IFERROR(E1084/H1084,0)</f>
        <v/>
      </c>
      <c r="K1084" s="10">
        <f>E1084/'По разделам'!$B$21</f>
        <v/>
      </c>
      <c r="L1084" s="4">
        <f>L1083+K1084</f>
        <v/>
      </c>
      <c r="M1084" s="2" t="inlineStr">
        <is>
          <t>01332</t>
        </is>
      </c>
      <c r="N1084" s="2" t="inlineStr">
        <is>
          <t>https://app.redstat.kz/niche/01332?event_date=2026-08-01</t>
        </is>
      </c>
      <c r="O1084" s="2" t="inlineStr">
        <is>
          <t>https://kaspi.kz/shop/c/car%20lamps/</t>
        </is>
      </c>
    </row>
    <row r="1085">
      <c r="A1085" s="2" t="n">
        <v>1084</v>
      </c>
      <c r="B1085" s="2" t="inlineStr">
        <is>
          <t>Холодильники для косметики</t>
        </is>
      </c>
      <c r="C1085" s="2" t="inlineStr">
        <is>
          <t>Красота и здоровье</t>
        </is>
      </c>
      <c r="D1085" s="2" t="inlineStr">
        <is>
          <t>Красота и здоровье → Техника и оборудование для красоты → Холодильники для косметики</t>
        </is>
      </c>
      <c r="E1085" s="3" t="n">
        <v>3937432</v>
      </c>
      <c r="F1085" s="3" t="n">
        <v>155</v>
      </c>
      <c r="G1085" s="3">
        <f>IFERROR(E1085/F1085,0)</f>
        <v/>
      </c>
      <c r="H1085" s="3" t="n">
        <v>32</v>
      </c>
      <c r="I1085" s="2" t="n">
        <v>14</v>
      </c>
      <c r="J1085" s="3">
        <f>IFERROR(E1085/H1085,0)</f>
        <v/>
      </c>
      <c r="K1085" s="10">
        <f>E1085/'По разделам'!$B$21</f>
        <v/>
      </c>
      <c r="L1085" s="4">
        <f>L1084+K1085</f>
        <v/>
      </c>
      <c r="M1085" s="2" t="inlineStr">
        <is>
          <t>06296</t>
        </is>
      </c>
      <c r="N1085" s="2" t="inlineStr">
        <is>
          <t>https://app.redstat.kz/niche/06296?event_date=2026-08-01</t>
        </is>
      </c>
      <c r="O1085" s="2" t="inlineStr">
        <is>
          <t>https://kaspi.kz/shop/c/refrigerators%20for%20cosmetics/</t>
        </is>
      </c>
    </row>
    <row r="1086">
      <c r="A1086" s="2" t="n">
        <v>1085</v>
      </c>
      <c r="B1086" s="2" t="inlineStr">
        <is>
          <t>Решетки вентиляционные</t>
        </is>
      </c>
      <c r="C1086" s="2" t="inlineStr">
        <is>
          <t>Строительство, ремонт</t>
        </is>
      </c>
      <c r="D1086" s="2" t="inlineStr">
        <is>
          <t>Строительство, ремонт → Вентиляция → Решетки вентиляционные</t>
        </is>
      </c>
      <c r="E1086" s="3" t="n">
        <v>3931174</v>
      </c>
      <c r="F1086" s="3" t="n">
        <v>647</v>
      </c>
      <c r="G1086" s="3">
        <f>IFERROR(E1086/F1086,0)</f>
        <v/>
      </c>
      <c r="H1086" s="3" t="n">
        <v>128</v>
      </c>
      <c r="I1086" s="2" t="n">
        <v>19</v>
      </c>
      <c r="J1086" s="3">
        <f>IFERROR(E1086/H1086,0)</f>
        <v/>
      </c>
      <c r="K1086" s="10">
        <f>E1086/'По разделам'!$B$21</f>
        <v/>
      </c>
      <c r="L1086" s="4">
        <f>L1085+K1086</f>
        <v/>
      </c>
      <c r="M1086" s="2" t="inlineStr">
        <is>
          <t>06767</t>
        </is>
      </c>
      <c r="N1086" s="2" t="inlineStr">
        <is>
          <t>https://app.redstat.kz/niche/06767?event_date=2026-08-01</t>
        </is>
      </c>
      <c r="O1086" s="2" t="inlineStr">
        <is>
          <t>https://kaspi.kz/shop/c/ventilation%20grilles/</t>
        </is>
      </c>
    </row>
    <row r="1087">
      <c r="A1087" s="2" t="n">
        <v>1086</v>
      </c>
      <c r="B1087" s="2" t="inlineStr">
        <is>
          <t>Световое оборудование</t>
        </is>
      </c>
      <c r="C1087" s="2" t="inlineStr">
        <is>
          <t>ТВ, Аудио, Видео</t>
        </is>
      </c>
      <c r="D1087" s="2" t="inlineStr">
        <is>
          <t>ТВ, Аудио, Видео → Сценическое оборудование → Световое оборудование → Световое оборудование</t>
        </is>
      </c>
      <c r="E1087" s="3" t="n">
        <v>3886125</v>
      </c>
      <c r="F1087" s="3" t="n">
        <v>119</v>
      </c>
      <c r="G1087" s="3">
        <f>IFERROR(E1087/F1087,0)</f>
        <v/>
      </c>
      <c r="H1087" s="3" t="n">
        <v>41</v>
      </c>
      <c r="I1087" s="2" t="n">
        <v>16</v>
      </c>
      <c r="J1087" s="3">
        <f>IFERROR(E1087/H1087,0)</f>
        <v/>
      </c>
      <c r="K1087" s="10">
        <f>E1087/'По разделам'!$B$21</f>
        <v/>
      </c>
      <c r="L1087" s="4">
        <f>L1086+K1087</f>
        <v/>
      </c>
      <c r="M1087" s="2" t="inlineStr">
        <is>
          <t>qa81d06f62c7c58a</t>
        </is>
      </c>
      <c r="N1087" s="2" t="inlineStr">
        <is>
          <t>https://app.redstat.kz/niche/qa81d06f62c7c58a?event_date=2026-08-01</t>
        </is>
      </c>
      <c r="O1087" s="2" t="inlineStr"/>
    </row>
    <row r="1088">
      <c r="A1088" s="2" t="n">
        <v>1087</v>
      </c>
      <c r="B1088" s="2" t="inlineStr">
        <is>
          <t>Сумки и чехлы для зимнего снаряжения</t>
        </is>
      </c>
      <c r="C1088" s="2" t="inlineStr">
        <is>
          <t>Спорт, туризм</t>
        </is>
      </c>
      <c r="D1088" s="2" t="inlineStr">
        <is>
          <t>Спорт, туризм → Зимний спорт → Сумки и чехлы для зимнего снаряжения</t>
        </is>
      </c>
      <c r="E1088" s="3" t="n">
        <v>3844840</v>
      </c>
      <c r="F1088" s="3" t="n">
        <v>189</v>
      </c>
      <c r="G1088" s="3">
        <f>IFERROR(E1088/F1088,0)</f>
        <v/>
      </c>
      <c r="H1088" s="3" t="n">
        <v>66</v>
      </c>
      <c r="I1088" s="2" t="n">
        <v>18</v>
      </c>
      <c r="J1088" s="3">
        <f>IFERROR(E1088/H1088,0)</f>
        <v/>
      </c>
      <c r="K1088" s="10">
        <f>E1088/'По разделам'!$B$21</f>
        <v/>
      </c>
      <c r="L1088" s="4">
        <f>L1087+K1088</f>
        <v/>
      </c>
      <c r="M1088" s="2" t="inlineStr">
        <is>
          <t>01451</t>
        </is>
      </c>
      <c r="N1088" s="2" t="inlineStr">
        <is>
          <t>https://app.redstat.kz/niche/01451?event_date=2026-08-01</t>
        </is>
      </c>
      <c r="O1088" s="2" t="inlineStr">
        <is>
          <t>https://kaspi.kz/shop/c/winter%20sports%20bags%20and%20cases/</t>
        </is>
      </c>
    </row>
    <row r="1089">
      <c r="A1089" s="2" t="n">
        <v>1088</v>
      </c>
      <c r="B1089" s="2" t="inlineStr">
        <is>
          <t>Скатерти и сервировочные коврики</t>
        </is>
      </c>
      <c r="C1089" s="2" t="inlineStr">
        <is>
          <t>Товары для дома и дачи</t>
        </is>
      </c>
      <c r="D1089" s="2" t="inlineStr">
        <is>
          <t>Товары для дома и дачи → Домашний текстиль → Текстиль для кухни → Скатерти и сервировочные коврики</t>
        </is>
      </c>
      <c r="E1089" s="3" t="n">
        <v>3844438</v>
      </c>
      <c r="F1089" s="3" t="n">
        <v>841</v>
      </c>
      <c r="G1089" s="3">
        <f>IFERROR(E1089/F1089,0)</f>
        <v/>
      </c>
      <c r="H1089" s="3" t="n">
        <v>388</v>
      </c>
      <c r="I1089" s="2" t="n">
        <v>74</v>
      </c>
      <c r="J1089" s="3">
        <f>IFERROR(E1089/H1089,0)</f>
        <v/>
      </c>
      <c r="K1089" s="10">
        <f>E1089/'По разделам'!$B$21</f>
        <v/>
      </c>
      <c r="L1089" s="4">
        <f>L1088+K1089</f>
        <v/>
      </c>
      <c r="M1089" s="2" t="inlineStr">
        <is>
          <t>04157</t>
        </is>
      </c>
      <c r="N1089" s="2" t="inlineStr">
        <is>
          <t>https://app.redstat.kz/niche/04157?event_date=2026-08-01</t>
        </is>
      </c>
      <c r="O1089" s="2" t="inlineStr">
        <is>
          <t>https://kaspi.kz/shop/c/table%20cloths%20and%20serving%20mats/</t>
        </is>
      </c>
    </row>
    <row r="1090">
      <c r="A1090" s="2" t="n">
        <v>1089</v>
      </c>
      <c r="B1090" s="2" t="inlineStr">
        <is>
          <t>Географические карты и атласы</t>
        </is>
      </c>
      <c r="C1090" s="2" t="inlineStr">
        <is>
          <t>Канцелярские товары</t>
        </is>
      </c>
      <c r="D1090" s="2" t="inlineStr">
        <is>
          <t>Канцелярские товары → Школьные принадлежности → Географические карты и атласы</t>
        </is>
      </c>
      <c r="E1090" s="3" t="n">
        <v>3810477</v>
      </c>
      <c r="F1090" s="3" t="n">
        <v>1217</v>
      </c>
      <c r="G1090" s="3">
        <f>IFERROR(E1090/F1090,0)</f>
        <v/>
      </c>
      <c r="H1090" s="3" t="n">
        <v>91</v>
      </c>
      <c r="I1090" s="2" t="n">
        <v>9</v>
      </c>
      <c r="J1090" s="3">
        <f>IFERROR(E1090/H1090,0)</f>
        <v/>
      </c>
      <c r="K1090" s="10">
        <f>E1090/'По разделам'!$B$21</f>
        <v/>
      </c>
      <c r="L1090" s="4">
        <f>L1089+K1090</f>
        <v/>
      </c>
      <c r="M1090" s="2" t="inlineStr">
        <is>
          <t>02289</t>
        </is>
      </c>
      <c r="N1090" s="2" t="inlineStr">
        <is>
          <t>https://app.redstat.kz/niche/02289?event_date=2026-08-01</t>
        </is>
      </c>
      <c r="O1090" s="2" t="inlineStr">
        <is>
          <t>https://kaspi.kz/shop/c/geographic%20maps%20and%20atlases/</t>
        </is>
      </c>
    </row>
    <row r="1091">
      <c r="A1091" s="2" t="n">
        <v>1090</v>
      </c>
      <c r="B1091" s="2" t="inlineStr">
        <is>
          <t>Вазы</t>
        </is>
      </c>
      <c r="C1091" s="2" t="inlineStr">
        <is>
          <t>Товары для дома и дачи</t>
        </is>
      </c>
      <c r="D1091" s="2" t="inlineStr">
        <is>
          <t>Товары для дома и дачи → Интерьер → Растения, деревья, вазы и горшки → Вазы</t>
        </is>
      </c>
      <c r="E1091" s="3" t="n">
        <v>3768054</v>
      </c>
      <c r="F1091" s="3" t="n">
        <v>835</v>
      </c>
      <c r="G1091" s="3">
        <f>IFERROR(E1091/F1091,0)</f>
        <v/>
      </c>
      <c r="H1091" s="3" t="n">
        <v>467</v>
      </c>
      <c r="I1091" s="2" t="n">
        <v>82</v>
      </c>
      <c r="J1091" s="3">
        <f>IFERROR(E1091/H1091,0)</f>
        <v/>
      </c>
      <c r="K1091" s="10">
        <f>E1091/'По разделам'!$B$21</f>
        <v/>
      </c>
      <c r="L1091" s="4">
        <f>L1090+K1091</f>
        <v/>
      </c>
      <c r="M1091" s="2" t="inlineStr">
        <is>
          <t>01370</t>
        </is>
      </c>
      <c r="N1091" s="2" t="inlineStr">
        <is>
          <t>https://app.redstat.kz/niche/01370?event_date=2026-08-01</t>
        </is>
      </c>
      <c r="O1091" s="2" t="inlineStr">
        <is>
          <t>https://kaspi.kz/shop/c/vases/</t>
        </is>
      </c>
    </row>
    <row r="1092">
      <c r="A1092" s="2" t="n">
        <v>1091</v>
      </c>
      <c r="B1092" s="2" t="inlineStr">
        <is>
          <t>Крепления для велосипедов</t>
        </is>
      </c>
      <c r="C1092" s="2" t="inlineStr">
        <is>
          <t>Автотовары</t>
        </is>
      </c>
      <c r="D1092" s="2" t="inlineStr">
        <is>
          <t>Автотовары → Багажные системы → Крепления для велосипедов</t>
        </is>
      </c>
      <c r="E1092" s="3" t="n">
        <v>3760155</v>
      </c>
      <c r="F1092" s="3" t="n">
        <v>53</v>
      </c>
      <c r="G1092" s="3">
        <f>IFERROR(E1092/F1092,0)</f>
        <v/>
      </c>
      <c r="H1092" s="3" t="n">
        <v>23</v>
      </c>
      <c r="I1092" s="2" t="n">
        <v>14</v>
      </c>
      <c r="J1092" s="3">
        <f>IFERROR(E1092/H1092,0)</f>
        <v/>
      </c>
      <c r="K1092" s="10">
        <f>E1092/'По разделам'!$B$21</f>
        <v/>
      </c>
      <c r="L1092" s="4">
        <f>L1091+K1092</f>
        <v/>
      </c>
      <c r="M1092" s="2" t="inlineStr">
        <is>
          <t>06771</t>
        </is>
      </c>
      <c r="N1092" s="2" t="inlineStr">
        <is>
          <t>https://app.redstat.kz/niche/06771?event_date=2026-08-01</t>
        </is>
      </c>
      <c r="O1092" s="2" t="inlineStr">
        <is>
          <t>https://kaspi.kz/shop/c/bicycle%20racks/</t>
        </is>
      </c>
    </row>
    <row r="1093">
      <c r="A1093" s="2" t="n">
        <v>1092</v>
      </c>
      <c r="B1093" s="2" t="inlineStr">
        <is>
          <t>Фурминаторы, расчески, пуходерки</t>
        </is>
      </c>
      <c r="C1093" s="2" t="inlineStr">
        <is>
          <t>Товары для животных</t>
        </is>
      </c>
      <c r="D1093" s="2" t="inlineStr">
        <is>
          <t>Товары для животных → Груминг → Фурминаторы, расчески, пуходерки</t>
        </is>
      </c>
      <c r="E1093" s="3" t="n">
        <v>3742912</v>
      </c>
      <c r="F1093" s="3" t="n">
        <v>2634</v>
      </c>
      <c r="G1093" s="3">
        <f>IFERROR(E1093/F1093,0)</f>
        <v/>
      </c>
      <c r="H1093" s="3" t="n">
        <v>215</v>
      </c>
      <c r="I1093" s="2" t="n">
        <v>68</v>
      </c>
      <c r="J1093" s="3">
        <f>IFERROR(E1093/H1093,0)</f>
        <v/>
      </c>
      <c r="K1093" s="10">
        <f>E1093/'По разделам'!$B$21</f>
        <v/>
      </c>
      <c r="L1093" s="4">
        <f>L1092+K1093</f>
        <v/>
      </c>
      <c r="M1093" s="2" t="inlineStr">
        <is>
          <t>03112</t>
        </is>
      </c>
      <c r="N1093" s="2" t="inlineStr">
        <is>
          <t>https://app.redstat.kz/niche/03112?event_date=2026-08-01</t>
        </is>
      </c>
      <c r="O1093" s="2" t="inlineStr">
        <is>
          <t>https://kaspi.kz/shop/c/furminators%20for%20animals/</t>
        </is>
      </c>
    </row>
    <row r="1094">
      <c r="A1094" s="2" t="n">
        <v>1093</v>
      </c>
      <c r="B1094" s="2" t="inlineStr">
        <is>
          <t>Ювелирное оборудование и расходные материалы</t>
        </is>
      </c>
      <c r="C1094" s="2" t="inlineStr">
        <is>
          <t>Украшения</t>
        </is>
      </c>
      <c r="D1094" s="2" t="inlineStr">
        <is>
          <t>Украшения → Ювелирное оборудование, подставки и фурнитура → Ювелирное оборудование и расходные материалы</t>
        </is>
      </c>
      <c r="E1094" s="3" t="n">
        <v>3723436</v>
      </c>
      <c r="F1094" s="3" t="n">
        <v>305</v>
      </c>
      <c r="G1094" s="3">
        <f>IFERROR(E1094/F1094,0)</f>
        <v/>
      </c>
      <c r="H1094" s="3" t="n">
        <v>77</v>
      </c>
      <c r="I1094" s="2" t="n">
        <v>11</v>
      </c>
      <c r="J1094" s="3">
        <f>IFERROR(E1094/H1094,0)</f>
        <v/>
      </c>
      <c r="K1094" s="10">
        <f>E1094/'По разделам'!$B$21</f>
        <v/>
      </c>
      <c r="L1094" s="4">
        <f>L1093+K1094</f>
        <v/>
      </c>
      <c r="M1094" s="2" t="inlineStr">
        <is>
          <t>05164</t>
        </is>
      </c>
      <c r="N1094" s="2" t="inlineStr">
        <is>
          <t>https://app.redstat.kz/niche/05164?event_date=2026-08-01</t>
        </is>
      </c>
      <c r="O1094" s="2" t="inlineStr">
        <is>
          <t>https://kaspi.kz/shop/c/jewelry%20enlargers/</t>
        </is>
      </c>
    </row>
    <row r="1095">
      <c r="A1095" s="2" t="n">
        <v>1094</v>
      </c>
      <c r="B1095" s="2" t="inlineStr">
        <is>
          <t>Ножи, ножницы и наборы</t>
        </is>
      </c>
      <c r="C1095" s="2" t="inlineStr">
        <is>
          <t>Товары для дома и дачи</t>
        </is>
      </c>
      <c r="D1095" s="2" t="inlineStr">
        <is>
          <t>Товары для дома и дачи → Посуда и принадлежности → Ножи и разделочные доски → Ножи, ножницы и наборы</t>
        </is>
      </c>
      <c r="E1095" s="3" t="n">
        <v>3706242</v>
      </c>
      <c r="F1095" s="3" t="n">
        <v>822</v>
      </c>
      <c r="G1095" s="3">
        <f>IFERROR(E1095/F1095,0)</f>
        <v/>
      </c>
      <c r="H1095" s="3" t="n">
        <v>304</v>
      </c>
      <c r="I1095" s="2" t="n">
        <v>112</v>
      </c>
      <c r="J1095" s="3">
        <f>IFERROR(E1095/H1095,0)</f>
        <v/>
      </c>
      <c r="K1095" s="10">
        <f>E1095/'По разделам'!$B$21</f>
        <v/>
      </c>
      <c r="L1095" s="4">
        <f>L1094+K1095</f>
        <v/>
      </c>
      <c r="M1095" s="2" t="inlineStr">
        <is>
          <t>05622</t>
        </is>
      </c>
      <c r="N1095" s="2" t="inlineStr">
        <is>
          <t>https://app.redstat.kz/niche/05622?event_date=2026-08-01</t>
        </is>
      </c>
      <c r="O1095" s="2" t="inlineStr">
        <is>
          <t>https://kaspi.kz/shop/c/kitchen%20knives/</t>
        </is>
      </c>
    </row>
    <row r="1096">
      <c r="A1096" s="2" t="n">
        <v>1095</v>
      </c>
      <c r="B1096" s="2" t="inlineStr">
        <is>
          <t>Телевизионные антенны</t>
        </is>
      </c>
      <c r="C1096" s="2" t="inlineStr">
        <is>
          <t>ТВ, Аудио, Видео</t>
        </is>
      </c>
      <c r="D1096" s="2" t="inlineStr">
        <is>
          <t>ТВ, Аудио, Видео → Видеотехника → Телевизионные антенны</t>
        </is>
      </c>
      <c r="E1096" s="3" t="n">
        <v>3678549</v>
      </c>
      <c r="F1096" s="3" t="n">
        <v>1093</v>
      </c>
      <c r="G1096" s="3">
        <f>IFERROR(E1096/F1096,0)</f>
        <v/>
      </c>
      <c r="H1096" s="3" t="n">
        <v>73</v>
      </c>
      <c r="I1096" s="2" t="n">
        <v>24</v>
      </c>
      <c r="J1096" s="3">
        <f>IFERROR(E1096/H1096,0)</f>
        <v/>
      </c>
      <c r="K1096" s="10">
        <f>E1096/'По разделам'!$B$21</f>
        <v/>
      </c>
      <c r="L1096" s="4">
        <f>L1095+K1096</f>
        <v/>
      </c>
      <c r="M1096" s="2" t="inlineStr">
        <is>
          <t>06831</t>
        </is>
      </c>
      <c r="N1096" s="2" t="inlineStr">
        <is>
          <t>https://app.redstat.kz/niche/06831?event_date=2026-08-01</t>
        </is>
      </c>
      <c r="O1096" s="2" t="inlineStr">
        <is>
          <t>https://kaspi.kz/shop/c/television%20antennas/</t>
        </is>
      </c>
    </row>
    <row r="1097">
      <c r="A1097" s="2" t="n">
        <v>1096</v>
      </c>
      <c r="B1097" s="2" t="inlineStr">
        <is>
          <t>Шорты для девочек</t>
        </is>
      </c>
      <c r="C1097" s="2" t="inlineStr">
        <is>
          <t>Одежда</t>
        </is>
      </c>
      <c r="D1097" s="2" t="inlineStr">
        <is>
          <t>Одежда → Девочкам → Шорты для девочек</t>
        </is>
      </c>
      <c r="E1097" s="3" t="n">
        <v>3675239</v>
      </c>
      <c r="F1097" s="3" t="n">
        <v>1885</v>
      </c>
      <c r="G1097" s="3">
        <f>IFERROR(E1097/F1097,0)</f>
        <v/>
      </c>
      <c r="H1097" s="3" t="n">
        <v>350</v>
      </c>
      <c r="I1097" s="2" t="n">
        <v>38</v>
      </c>
      <c r="J1097" s="3">
        <f>IFERROR(E1097/H1097,0)</f>
        <v/>
      </c>
      <c r="K1097" s="10">
        <f>E1097/'По разделам'!$B$21</f>
        <v/>
      </c>
      <c r="L1097" s="4">
        <f>L1096+K1097</f>
        <v/>
      </c>
      <c r="M1097" s="2" t="inlineStr">
        <is>
          <t>01595</t>
        </is>
      </c>
      <c r="N1097" s="2" t="inlineStr">
        <is>
          <t>https://app.redstat.kz/niche/01595?event_date=2026-08-01</t>
        </is>
      </c>
      <c r="O1097" s="2" t="inlineStr">
        <is>
          <t>https://kaspi.kz/shop/c/girl%20shorts/</t>
        </is>
      </c>
    </row>
    <row r="1098">
      <c r="A1098" s="2" t="n">
        <v>1097</v>
      </c>
      <c r="B1098" s="2" t="inlineStr">
        <is>
          <t>Аквариумы и террариумы</t>
        </is>
      </c>
      <c r="C1098" s="2" t="inlineStr">
        <is>
          <t>Товары для животных</t>
        </is>
      </c>
      <c r="D1098" s="2" t="inlineStr">
        <is>
          <t>Товары для животных → Для рыб и рептилий → Аквариумы и террариумы</t>
        </is>
      </c>
      <c r="E1098" s="3" t="n">
        <v>3673198</v>
      </c>
      <c r="F1098" s="3" t="n">
        <v>91</v>
      </c>
      <c r="G1098" s="3">
        <f>IFERROR(E1098/F1098,0)</f>
        <v/>
      </c>
      <c r="H1098" s="3" t="n">
        <v>50</v>
      </c>
      <c r="I1098" s="2" t="n">
        <v>11</v>
      </c>
      <c r="J1098" s="3">
        <f>IFERROR(E1098/H1098,0)</f>
        <v/>
      </c>
      <c r="K1098" s="10">
        <f>E1098/'По разделам'!$B$21</f>
        <v/>
      </c>
      <c r="L1098" s="4">
        <f>L1097+K1098</f>
        <v/>
      </c>
      <c r="M1098" s="2" t="inlineStr">
        <is>
          <t>04780</t>
        </is>
      </c>
      <c r="N1098" s="2" t="inlineStr">
        <is>
          <t>https://app.redstat.kz/niche/04780?event_date=2026-08-01</t>
        </is>
      </c>
      <c r="O1098" s="2" t="inlineStr">
        <is>
          <t>https://kaspi.kz/shop/c/aquariums/</t>
        </is>
      </c>
    </row>
    <row r="1099">
      <c r="A1099" s="2" t="n">
        <v>1098</v>
      </c>
      <c r="B1099" s="2" t="inlineStr">
        <is>
          <t>Комплектующие для смесителей</t>
        </is>
      </c>
      <c r="C1099" s="2" t="inlineStr">
        <is>
          <t>Строительство, ремонт</t>
        </is>
      </c>
      <c r="D1099" s="2" t="inlineStr">
        <is>
          <t>Строительство, ремонт → Сантехника → Комплектующие для смесителей</t>
        </is>
      </c>
      <c r="E1099" s="3" t="n">
        <v>3673151</v>
      </c>
      <c r="F1099" s="3" t="n">
        <v>1591</v>
      </c>
      <c r="G1099" s="3">
        <f>IFERROR(E1099/F1099,0)</f>
        <v/>
      </c>
      <c r="H1099" s="3" t="n">
        <v>244</v>
      </c>
      <c r="I1099" s="2" t="n">
        <v>64</v>
      </c>
      <c r="J1099" s="3">
        <f>IFERROR(E1099/H1099,0)</f>
        <v/>
      </c>
      <c r="K1099" s="10">
        <f>E1099/'По разделам'!$B$21</f>
        <v/>
      </c>
      <c r="L1099" s="4">
        <f>L1098+K1099</f>
        <v/>
      </c>
      <c r="M1099" s="2" t="inlineStr">
        <is>
          <t>04939</t>
        </is>
      </c>
      <c r="N1099" s="2" t="inlineStr">
        <is>
          <t>https://app.redstat.kz/niche/04939?event_date=2026-08-01</t>
        </is>
      </c>
      <c r="O1099" s="2" t="inlineStr">
        <is>
          <t>https://kaspi.kz/shop/c/accessories%20for%20mixers/</t>
        </is>
      </c>
    </row>
    <row r="1100">
      <c r="A1100" s="2" t="n">
        <v>1099</v>
      </c>
      <c r="B1100" s="2" t="inlineStr">
        <is>
          <t>Станки для архивного переплета</t>
        </is>
      </c>
      <c r="C1100" s="2" t="inlineStr">
        <is>
          <t>Канцелярские товары</t>
        </is>
      </c>
      <c r="D1100" s="2" t="inlineStr">
        <is>
          <t>Канцелярские товары → Офисные принадлежности → Станки для архивного переплета</t>
        </is>
      </c>
      <c r="E1100" s="3" t="n">
        <v>3665680</v>
      </c>
      <c r="F1100" s="3" t="n">
        <v>124</v>
      </c>
      <c r="G1100" s="3">
        <f>IFERROR(E1100/F1100,0)</f>
        <v/>
      </c>
      <c r="H1100" s="3" t="n">
        <v>15</v>
      </c>
      <c r="I1100" s="2" t="n">
        <v>10</v>
      </c>
      <c r="J1100" s="3">
        <f>IFERROR(E1100/H1100,0)</f>
        <v/>
      </c>
      <c r="K1100" s="10">
        <f>E1100/'По разделам'!$B$21</f>
        <v/>
      </c>
      <c r="L1100" s="4">
        <f>L1099+K1100</f>
        <v/>
      </c>
      <c r="M1100" s="2" t="inlineStr">
        <is>
          <t>03623</t>
        </is>
      </c>
      <c r="N1100" s="2" t="inlineStr">
        <is>
          <t>https://app.redstat.kz/niche/03623?event_date=2026-08-01</t>
        </is>
      </c>
      <c r="O1100" s="2" t="inlineStr">
        <is>
          <t>https://kaspi.kz/shop/c/bookbinding%20supplies/</t>
        </is>
      </c>
    </row>
    <row r="1101">
      <c r="A1101" s="2" t="n">
        <v>1100</v>
      </c>
      <c r="B1101" s="2" t="inlineStr">
        <is>
          <t>Мойки высокого давления</t>
        </is>
      </c>
      <c r="C1101" s="2" t="inlineStr">
        <is>
          <t>Товары для дома и дачи</t>
        </is>
      </c>
      <c r="D1101" s="2" t="inlineStr">
        <is>
          <t>Товары для дома и дачи → Дача, сад и огород → Садовая техника → Мойки высокого давления</t>
        </is>
      </c>
      <c r="E1101" s="3" t="n">
        <v>3657864</v>
      </c>
      <c r="F1101" s="3" t="n">
        <v>302</v>
      </c>
      <c r="G1101" s="3">
        <f>IFERROR(E1101/F1101,0)</f>
        <v/>
      </c>
      <c r="H1101" s="3" t="n">
        <v>191</v>
      </c>
      <c r="I1101" s="2" t="n">
        <v>71</v>
      </c>
      <c r="J1101" s="3">
        <f>IFERROR(E1101/H1101,0)</f>
        <v/>
      </c>
      <c r="K1101" s="10">
        <f>E1101/'По разделам'!$B$21</f>
        <v/>
      </c>
      <c r="L1101" s="4">
        <f>L1100+K1101</f>
        <v/>
      </c>
      <c r="M1101" s="2" t="inlineStr">
        <is>
          <t>00573</t>
        </is>
      </c>
      <c r="N1101" s="2" t="inlineStr">
        <is>
          <t>https://app.redstat.kz/niche/00573?event_date=2026-08-01</t>
        </is>
      </c>
      <c r="O1101" s="2" t="inlineStr">
        <is>
          <t>https://kaspi.kz/shop/c/pressure%20washers/</t>
        </is>
      </c>
    </row>
    <row r="1102">
      <c r="A1102" s="2" t="n">
        <v>1101</v>
      </c>
      <c r="B1102" s="2" t="inlineStr">
        <is>
          <t>Чехлы для электронных книг</t>
        </is>
      </c>
      <c r="C1102" s="2" t="inlineStr">
        <is>
          <t>Телефоны и гаджеты</t>
        </is>
      </c>
      <c r="D1102" s="2" t="inlineStr">
        <is>
          <t>Телефоны и гаджеты → Гаджеты → Чехлы для электронных книг</t>
        </is>
      </c>
      <c r="E1102" s="3" t="n">
        <v>3657517</v>
      </c>
      <c r="F1102" s="3" t="n">
        <v>536</v>
      </c>
      <c r="G1102" s="3">
        <f>IFERROR(E1102/F1102,0)</f>
        <v/>
      </c>
      <c r="H1102" s="3" t="n">
        <v>119</v>
      </c>
      <c r="I1102" s="2" t="n">
        <v>7</v>
      </c>
      <c r="J1102" s="3">
        <f>IFERROR(E1102/H1102,0)</f>
        <v/>
      </c>
      <c r="K1102" s="10">
        <f>E1102/'По разделам'!$B$21</f>
        <v/>
      </c>
      <c r="L1102" s="4">
        <f>L1101+K1102</f>
        <v/>
      </c>
      <c r="M1102" s="2" t="inlineStr">
        <is>
          <t>03135</t>
        </is>
      </c>
      <c r="N1102" s="2" t="inlineStr">
        <is>
          <t>https://app.redstat.kz/niche/03135?event_date=2026-08-01</t>
        </is>
      </c>
      <c r="O1102" s="2" t="inlineStr">
        <is>
          <t>https://kaspi.kz/shop/c/e-book%20covers/</t>
        </is>
      </c>
    </row>
    <row r="1103">
      <c r="A1103" s="2" t="n">
        <v>1102</v>
      </c>
      <c r="B1103" s="2" t="inlineStr">
        <is>
          <t>Лупы</t>
        </is>
      </c>
      <c r="C1103" s="2" t="inlineStr">
        <is>
          <t>Канцелярские товары</t>
        </is>
      </c>
      <c r="D1103" s="2" t="inlineStr">
        <is>
          <t>Канцелярские товары → Мелкоофисные принадлежности → Лупы</t>
        </is>
      </c>
      <c r="E1103" s="3" t="n">
        <v>3652357</v>
      </c>
      <c r="F1103" s="3" t="n">
        <v>942</v>
      </c>
      <c r="G1103" s="3">
        <f>IFERROR(E1103/F1103,0)</f>
        <v/>
      </c>
      <c r="H1103" s="3" t="n">
        <v>136</v>
      </c>
      <c r="I1103" s="2" t="n">
        <v>39</v>
      </c>
      <c r="J1103" s="3">
        <f>IFERROR(E1103/H1103,0)</f>
        <v/>
      </c>
      <c r="K1103" s="10">
        <f>E1103/'По разделам'!$B$21</f>
        <v/>
      </c>
      <c r="L1103" s="4">
        <f>L1102+K1103</f>
        <v/>
      </c>
      <c r="M1103" s="2" t="inlineStr">
        <is>
          <t>04270</t>
        </is>
      </c>
      <c r="N1103" s="2" t="inlineStr">
        <is>
          <t>https://app.redstat.kz/niche/04270?event_date=2026-08-01</t>
        </is>
      </c>
      <c r="O1103" s="2" t="inlineStr">
        <is>
          <t>https://kaspi.kz/shop/c/magnifying%20glasses/</t>
        </is>
      </c>
    </row>
    <row r="1104">
      <c r="A1104" s="2" t="n">
        <v>1103</v>
      </c>
      <c r="B1104" s="2" t="inlineStr">
        <is>
          <t>Бланки</t>
        </is>
      </c>
      <c r="C1104" s="2" t="inlineStr">
        <is>
          <t>Канцелярские товары</t>
        </is>
      </c>
      <c r="D1104" s="2" t="inlineStr">
        <is>
          <t>Канцелярские товары → Бумага и бумажная продукция → Бланки</t>
        </is>
      </c>
      <c r="E1104" s="3" t="n">
        <v>3652356</v>
      </c>
      <c r="F1104" s="3" t="n">
        <v>2136</v>
      </c>
      <c r="G1104" s="3">
        <f>IFERROR(E1104/F1104,0)</f>
        <v/>
      </c>
      <c r="H1104" s="3" t="n">
        <v>138</v>
      </c>
      <c r="I1104" s="2" t="n">
        <v>16</v>
      </c>
      <c r="J1104" s="3">
        <f>IFERROR(E1104/H1104,0)</f>
        <v/>
      </c>
      <c r="K1104" s="10">
        <f>E1104/'По разделам'!$B$21</f>
        <v/>
      </c>
      <c r="L1104" s="4">
        <f>L1103+K1104</f>
        <v/>
      </c>
      <c r="M1104" s="2" t="inlineStr">
        <is>
          <t>02194</t>
        </is>
      </c>
      <c r="N1104" s="2" t="inlineStr">
        <is>
          <t>https://app.redstat.kz/niche/02194?event_date=2026-08-01</t>
        </is>
      </c>
      <c r="O1104" s="2" t="inlineStr">
        <is>
          <t>https://kaspi.kz/shop/c/document%20forms/</t>
        </is>
      </c>
    </row>
    <row r="1105">
      <c r="A1105" s="2" t="n">
        <v>1104</v>
      </c>
      <c r="B1105" s="2" t="inlineStr">
        <is>
          <t>Аксессуары к бритвам и машинкам для стрижки</t>
        </is>
      </c>
      <c r="C1105" s="2" t="inlineStr">
        <is>
          <t>Красота и здоровье</t>
        </is>
      </c>
      <c r="D1105" s="2" t="inlineStr">
        <is>
          <t>Красота и здоровье → Техника и оборудование для красоты → Аксессуары к бритвам и машинкам для стрижки</t>
        </is>
      </c>
      <c r="E1105" s="3" t="n">
        <v>3646874</v>
      </c>
      <c r="F1105" s="3" t="n">
        <v>381</v>
      </c>
      <c r="G1105" s="3">
        <f>IFERROR(E1105/F1105,0)</f>
        <v/>
      </c>
      <c r="H1105" s="3" t="n">
        <v>91</v>
      </c>
      <c r="I1105" s="2" t="n">
        <v>15</v>
      </c>
      <c r="J1105" s="3">
        <f>IFERROR(E1105/H1105,0)</f>
        <v/>
      </c>
      <c r="K1105" s="10">
        <f>E1105/'По разделам'!$B$21</f>
        <v/>
      </c>
      <c r="L1105" s="4">
        <f>L1104+K1105</f>
        <v/>
      </c>
      <c r="M1105" s="2" t="inlineStr">
        <is>
          <t>06478</t>
        </is>
      </c>
      <c r="N1105" s="2" t="inlineStr">
        <is>
          <t>https://app.redstat.kz/niche/06478?event_date=2026-08-01</t>
        </is>
      </c>
      <c r="O1105" s="2" t="inlineStr">
        <is>
          <t>https://kaspi.kz/shop/c/nozzles%20and%20accessories%20for%20clippers/</t>
        </is>
      </c>
    </row>
    <row r="1106">
      <c r="A1106" s="2" t="n">
        <v>1105</v>
      </c>
      <c r="B1106" s="2" t="inlineStr">
        <is>
          <t>Бамперы</t>
        </is>
      </c>
      <c r="C1106" s="2" t="inlineStr">
        <is>
          <t>Автотовары</t>
        </is>
      </c>
      <c r="D1106" s="2" t="inlineStr">
        <is>
          <t>Автотовары → Автозапчасти → Кузовные детали → Бамперы</t>
        </is>
      </c>
      <c r="E1106" s="3" t="n">
        <v>3621293</v>
      </c>
      <c r="F1106" s="3" t="n">
        <v>238</v>
      </c>
      <c r="G1106" s="3">
        <f>IFERROR(E1106/F1106,0)</f>
        <v/>
      </c>
      <c r="H1106" s="3" t="n">
        <v>132</v>
      </c>
      <c r="I1106" s="2" t="n">
        <v>56</v>
      </c>
      <c r="J1106" s="3">
        <f>IFERROR(E1106/H1106,0)</f>
        <v/>
      </c>
      <c r="K1106" s="10">
        <f>E1106/'По разделам'!$B$21</f>
        <v/>
      </c>
      <c r="L1106" s="4">
        <f>L1105+K1106</f>
        <v/>
      </c>
      <c r="M1106" s="2" t="inlineStr">
        <is>
          <t>03799</t>
        </is>
      </c>
      <c r="N1106" s="2" t="inlineStr">
        <is>
          <t>https://app.redstat.kz/niche/03799?event_date=2026-08-01</t>
        </is>
      </c>
      <c r="O1106" s="2" t="inlineStr">
        <is>
          <t>https://kaspi.kz/shop/c/car%20bumpers/</t>
        </is>
      </c>
    </row>
    <row r="1107">
      <c r="A1107" s="2" t="n">
        <v>1106</v>
      </c>
      <c r="B1107" s="2" t="inlineStr">
        <is>
          <t>Автомобильные телевизоры и мониторы</t>
        </is>
      </c>
      <c r="C1107" s="2" t="inlineStr">
        <is>
          <t>Автотовары</t>
        </is>
      </c>
      <c r="D1107" s="2" t="inlineStr">
        <is>
          <t>Автотовары → Автоэлектроника → Автомобильные телевизоры и мониторы</t>
        </is>
      </c>
      <c r="E1107" s="3" t="n">
        <v>3607105</v>
      </c>
      <c r="F1107" s="3" t="n">
        <v>48</v>
      </c>
      <c r="G1107" s="3">
        <f>IFERROR(E1107/F1107,0)</f>
        <v/>
      </c>
      <c r="H1107" s="3" t="n">
        <v>27</v>
      </c>
      <c r="I1107" s="2" t="n">
        <v>12</v>
      </c>
      <c r="J1107" s="3">
        <f>IFERROR(E1107/H1107,0)</f>
        <v/>
      </c>
      <c r="K1107" s="10">
        <f>E1107/'По разделам'!$B$21</f>
        <v/>
      </c>
      <c r="L1107" s="4">
        <f>L1106+K1107</f>
        <v/>
      </c>
      <c r="M1107" s="2" t="inlineStr">
        <is>
          <t>06308</t>
        </is>
      </c>
      <c r="N1107" s="2" t="inlineStr">
        <is>
          <t>https://app.redstat.kz/niche/06308?event_date=2026-08-01</t>
        </is>
      </c>
      <c r="O1107" s="2" t="inlineStr">
        <is>
          <t>https://kaspi.kz/shop/c/car%20tvs%20and%20monitors/</t>
        </is>
      </c>
    </row>
    <row r="1108">
      <c r="A1108" s="2" t="n">
        <v>1107</v>
      </c>
      <c r="B1108" s="2" t="inlineStr">
        <is>
          <t>Натуральные камни и минералы</t>
        </is>
      </c>
      <c r="C1108" s="2" t="inlineStr">
        <is>
          <t>Досуг, книги</t>
        </is>
      </c>
      <c r="D1108" s="2" t="inlineStr">
        <is>
          <t>Досуг, книги → Гадания и эзотерика → Натуральные камни и минералы</t>
        </is>
      </c>
      <c r="E1108" s="3" t="n">
        <v>3597889</v>
      </c>
      <c r="F1108" s="3" t="n">
        <v>927</v>
      </c>
      <c r="G1108" s="3">
        <f>IFERROR(E1108/F1108,0)</f>
        <v/>
      </c>
      <c r="H1108" s="3" t="n">
        <v>327</v>
      </c>
      <c r="I1108" s="2" t="n">
        <v>18</v>
      </c>
      <c r="J1108" s="3">
        <f>IFERROR(E1108/H1108,0)</f>
        <v/>
      </c>
      <c r="K1108" s="10">
        <f>E1108/'По разделам'!$B$21</f>
        <v/>
      </c>
      <c r="L1108" s="4">
        <f>L1107+K1108</f>
        <v/>
      </c>
      <c r="M1108" s="2" t="inlineStr">
        <is>
          <t>06484</t>
        </is>
      </c>
      <c r="N1108" s="2" t="inlineStr">
        <is>
          <t>https://app.redstat.kz/niche/06484?event_date=2026-08-01</t>
        </is>
      </c>
      <c r="O1108" s="2" t="inlineStr">
        <is>
          <t>https://kaspi.kz/shop/c/natural%20stones%20and%20minerals/</t>
        </is>
      </c>
    </row>
    <row r="1109">
      <c r="A1109" s="2" t="n">
        <v>1108</v>
      </c>
      <c r="B1109" s="2" t="inlineStr">
        <is>
          <t>Этикет-пистолеты и аксессуары</t>
        </is>
      </c>
      <c r="C1109" s="2" t="inlineStr">
        <is>
          <t>Канцелярские товары</t>
        </is>
      </c>
      <c r="D1109" s="2" t="inlineStr">
        <is>
          <t>Канцелярские товары → Торговые и рекламные принадлежности → Этикет-пистолеты и аксессуары</t>
        </is>
      </c>
      <c r="E1109" s="3" t="n">
        <v>3589867</v>
      </c>
      <c r="F1109" s="3" t="n">
        <v>709</v>
      </c>
      <c r="G1109" s="3">
        <f>IFERROR(E1109/F1109,0)</f>
        <v/>
      </c>
      <c r="H1109" s="3" t="n">
        <v>103</v>
      </c>
      <c r="I1109" s="2" t="n">
        <v>23</v>
      </c>
      <c r="J1109" s="3">
        <f>IFERROR(E1109/H1109,0)</f>
        <v/>
      </c>
      <c r="K1109" s="10">
        <f>E1109/'По разделам'!$B$21</f>
        <v/>
      </c>
      <c r="L1109" s="4">
        <f>L1108+K1109</f>
        <v/>
      </c>
      <c r="M1109" s="2" t="inlineStr">
        <is>
          <t>04311</t>
        </is>
      </c>
      <c r="N1109" s="2" t="inlineStr">
        <is>
          <t>https://app.redstat.kz/niche/04311?event_date=2026-08-01</t>
        </is>
      </c>
      <c r="O1109" s="2" t="inlineStr">
        <is>
          <t>https://kaspi.kz/shop/c/label%20guns/</t>
        </is>
      </c>
    </row>
    <row r="1110">
      <c r="A1110" s="2" t="n">
        <v>1109</v>
      </c>
      <c r="B1110" s="2" t="inlineStr">
        <is>
          <t>Емкости для хранения продуктов</t>
        </is>
      </c>
      <c r="C1110" s="2" t="inlineStr">
        <is>
          <t>Товары для дома и дачи</t>
        </is>
      </c>
      <c r="D1110" s="2" t="inlineStr">
        <is>
          <t>Товары для дома и дачи → Посуда и принадлежности → Посуда для хранения продуктов → Емкости для хранения продуктов</t>
        </is>
      </c>
      <c r="E1110" s="3" t="n">
        <v>3585945</v>
      </c>
      <c r="F1110" s="3" t="n">
        <v>984</v>
      </c>
      <c r="G1110" s="3">
        <f>IFERROR(E1110/F1110,0)</f>
        <v/>
      </c>
      <c r="H1110" s="3" t="n">
        <v>486</v>
      </c>
      <c r="I1110" s="2" t="n">
        <v>140</v>
      </c>
      <c r="J1110" s="3">
        <f>IFERROR(E1110/H1110,0)</f>
        <v/>
      </c>
      <c r="K1110" s="10">
        <f>E1110/'По разделам'!$B$21</f>
        <v/>
      </c>
      <c r="L1110" s="4">
        <f>L1109+K1110</f>
        <v/>
      </c>
      <c r="M1110" s="2" t="inlineStr">
        <is>
          <t>02589</t>
        </is>
      </c>
      <c r="N1110" s="2" t="inlineStr">
        <is>
          <t>https://app.redstat.kz/niche/02589?event_date=2026-08-01</t>
        </is>
      </c>
      <c r="O1110" s="2" t="inlineStr">
        <is>
          <t>https://kaspi.kz/shop/c/kitchen%20storage%20containers/</t>
        </is>
      </c>
    </row>
    <row r="1111">
      <c r="A1111" s="2" t="n">
        <v>1110</v>
      </c>
      <c r="B1111" s="2" t="inlineStr">
        <is>
          <t>Уничтожители документов</t>
        </is>
      </c>
      <c r="C1111" s="2" t="inlineStr">
        <is>
          <t>Компьютеры</t>
        </is>
      </c>
      <c r="D1111" s="2" t="inlineStr">
        <is>
          <t>Компьютеры → Оргтехника и расходные материалы → Уничтожители документов</t>
        </is>
      </c>
      <c r="E1111" s="3" t="n">
        <v>3546760</v>
      </c>
      <c r="F1111" s="3" t="n">
        <v>46</v>
      </c>
      <c r="G1111" s="3">
        <f>IFERROR(E1111/F1111,0)</f>
        <v/>
      </c>
      <c r="H1111" s="3" t="n">
        <v>22</v>
      </c>
      <c r="I1111" s="2" t="n">
        <v>8</v>
      </c>
      <c r="J1111" s="3">
        <f>IFERROR(E1111/H1111,0)</f>
        <v/>
      </c>
      <c r="K1111" s="10">
        <f>E1111/'По разделам'!$B$21</f>
        <v/>
      </c>
      <c r="L1111" s="4">
        <f>L1110+K1111</f>
        <v/>
      </c>
      <c r="M1111" s="2" t="inlineStr">
        <is>
          <t>02926</t>
        </is>
      </c>
      <c r="N1111" s="2" t="inlineStr">
        <is>
          <t>https://app.redstat.kz/niche/02926?event_date=2026-08-01</t>
        </is>
      </c>
      <c r="O1111" s="2" t="inlineStr">
        <is>
          <t>https://kaspi.kz/shop/c/shredders/</t>
        </is>
      </c>
    </row>
    <row r="1112">
      <c r="A1112" s="2" t="n">
        <v>1111</v>
      </c>
      <c r="B1112" s="2" t="inlineStr">
        <is>
          <t>Перчатки и варежки</t>
        </is>
      </c>
      <c r="C1112" s="2" t="inlineStr">
        <is>
          <t>Аксессуары</t>
        </is>
      </c>
      <c r="D1112" s="2" t="inlineStr">
        <is>
          <t>Аксессуары → Шапки, шарфы, перчатки → Перчатки и варежки</t>
        </is>
      </c>
      <c r="E1112" s="3" t="n">
        <v>3536474</v>
      </c>
      <c r="F1112" s="3" t="n">
        <v>3193</v>
      </c>
      <c r="G1112" s="3">
        <f>IFERROR(E1112/F1112,0)</f>
        <v/>
      </c>
      <c r="H1112" s="3" t="n">
        <v>276</v>
      </c>
      <c r="I1112" s="2" t="n">
        <v>50</v>
      </c>
      <c r="J1112" s="3">
        <f>IFERROR(E1112/H1112,0)</f>
        <v/>
      </c>
      <c r="K1112" s="10">
        <f>E1112/'По разделам'!$B$21</f>
        <v/>
      </c>
      <c r="L1112" s="4">
        <f>L1111+K1112</f>
        <v/>
      </c>
      <c r="M1112" s="2" t="inlineStr">
        <is>
          <t>01266</t>
        </is>
      </c>
      <c r="N1112" s="2" t="inlineStr">
        <is>
          <t>https://app.redstat.kz/niche/01266?event_date=2026-08-01</t>
        </is>
      </c>
      <c r="O1112" s="2" t="inlineStr">
        <is>
          <t>https://kaspi.kz/shop/c/fashion%20gloves%20and%20mittens/</t>
        </is>
      </c>
    </row>
    <row r="1113">
      <c r="A1113" s="2" t="n">
        <v>1112</v>
      </c>
      <c r="B1113" s="2" t="inlineStr">
        <is>
          <t>Музыкальные диски</t>
        </is>
      </c>
      <c r="C1113" s="2" t="inlineStr">
        <is>
          <t>Досуг, книги</t>
        </is>
      </c>
      <c r="D1113" s="2" t="inlineStr">
        <is>
          <t>Досуг, книги → Музыкальные диски и пластинки → Музыкальные диски</t>
        </is>
      </c>
      <c r="E1113" s="3" t="n">
        <v>3514792</v>
      </c>
      <c r="F1113" s="3" t="n">
        <v>179</v>
      </c>
      <c r="G1113" s="3">
        <f>IFERROR(E1113/F1113,0)</f>
        <v/>
      </c>
      <c r="H1113" s="3" t="n">
        <v>114</v>
      </c>
      <c r="I1113" s="2" t="n">
        <v>25</v>
      </c>
      <c r="J1113" s="3">
        <f>IFERROR(E1113/H1113,0)</f>
        <v/>
      </c>
      <c r="K1113" s="10">
        <f>E1113/'По разделам'!$B$21</f>
        <v/>
      </c>
      <c r="L1113" s="4">
        <f>L1112+K1113</f>
        <v/>
      </c>
      <c r="M1113" s="2" t="inlineStr">
        <is>
          <t>06807</t>
        </is>
      </c>
      <c r="N1113" s="2" t="inlineStr">
        <is>
          <t>https://app.redstat.kz/niche/06807?event_date=2026-08-01</t>
        </is>
      </c>
      <c r="O1113" s="2" t="inlineStr">
        <is>
          <t>https://kaspi.kz/shop/c/music%20discs/</t>
        </is>
      </c>
    </row>
    <row r="1114">
      <c r="A1114" s="2" t="n">
        <v>1113</v>
      </c>
      <c r="B1114" s="2" t="inlineStr">
        <is>
          <t>Мокасины для мальчиков</t>
        </is>
      </c>
      <c r="C1114" s="2" t="inlineStr">
        <is>
          <t>Обувь</t>
        </is>
      </c>
      <c r="D1114" s="2" t="inlineStr">
        <is>
          <t>Обувь → Обувь для мальчиков → Мокасины для мальчиков</t>
        </is>
      </c>
      <c r="E1114" s="3" t="n">
        <v>3507611</v>
      </c>
      <c r="F1114" s="3" t="n">
        <v>215</v>
      </c>
      <c r="G1114" s="3">
        <f>IFERROR(E1114/F1114,0)</f>
        <v/>
      </c>
      <c r="H1114" s="3" t="n">
        <v>118</v>
      </c>
      <c r="I1114" s="2" t="n">
        <v>17</v>
      </c>
      <c r="J1114" s="3">
        <f>IFERROR(E1114/H1114,0)</f>
        <v/>
      </c>
      <c r="K1114" s="10">
        <f>E1114/'По разделам'!$B$21</f>
        <v/>
      </c>
      <c r="L1114" s="4">
        <f>L1113+K1114</f>
        <v/>
      </c>
      <c r="M1114" s="2" t="inlineStr">
        <is>
          <t>01157</t>
        </is>
      </c>
      <c r="N1114" s="2" t="inlineStr">
        <is>
          <t>https://app.redstat.kz/niche/01157?event_date=2026-08-01</t>
        </is>
      </c>
      <c r="O1114" s="2" t="inlineStr">
        <is>
          <t>https://kaspi.kz/shop/c/boy%20moccasins/</t>
        </is>
      </c>
    </row>
    <row r="1115">
      <c r="A1115" s="2" t="n">
        <v>1114</v>
      </c>
      <c r="B1115" s="2" t="inlineStr">
        <is>
          <t>Съемники сайлентблоков</t>
        </is>
      </c>
      <c r="C1115" s="2" t="inlineStr">
        <is>
          <t>Автотовары</t>
        </is>
      </c>
      <c r="D1115" s="2" t="inlineStr">
        <is>
          <t>Автотовары → Автоинструменты → Съемники сайлентблоков</t>
        </is>
      </c>
      <c r="E1115" s="3" t="n">
        <v>3478816</v>
      </c>
      <c r="F1115" s="3" t="n">
        <v>109</v>
      </c>
      <c r="G1115" s="3">
        <f>IFERROR(E1115/F1115,0)</f>
        <v/>
      </c>
      <c r="H1115" s="3" t="n">
        <v>25</v>
      </c>
      <c r="I1115" s="2" t="n">
        <v>11</v>
      </c>
      <c r="J1115" s="3">
        <f>IFERROR(E1115/H1115,0)</f>
        <v/>
      </c>
      <c r="K1115" s="10">
        <f>E1115/'По разделам'!$B$21</f>
        <v/>
      </c>
      <c r="L1115" s="4">
        <f>L1114+K1115</f>
        <v/>
      </c>
      <c r="M1115" s="2" t="inlineStr">
        <is>
          <t>06949</t>
        </is>
      </c>
      <c r="N1115" s="2" t="inlineStr">
        <is>
          <t>https://app.redstat.kz/niche/06949?event_date=2026-08-01</t>
        </is>
      </c>
      <c r="O1115" s="2" t="inlineStr">
        <is>
          <t>https://kaspi.kz/shop/c/silent%20block%20pullers/</t>
        </is>
      </c>
    </row>
    <row r="1116">
      <c r="A1116" s="2" t="n">
        <v>1115</v>
      </c>
      <c r="B1116" s="2" t="inlineStr">
        <is>
          <t>HUD проекторы</t>
        </is>
      </c>
      <c r="C1116" s="2" t="inlineStr">
        <is>
          <t>Автотовары</t>
        </is>
      </c>
      <c r="D1116" s="2" t="inlineStr">
        <is>
          <t>Автотовары → Автоэлектроника → HUD проекторы</t>
        </is>
      </c>
      <c r="E1116" s="3" t="n">
        <v>3459151</v>
      </c>
      <c r="F1116" s="3" t="n">
        <v>844</v>
      </c>
      <c r="G1116" s="3">
        <f>IFERROR(E1116/F1116,0)</f>
        <v/>
      </c>
      <c r="H1116" s="3" t="n">
        <v>39</v>
      </c>
      <c r="I1116" s="2" t="n">
        <v>14</v>
      </c>
      <c r="J1116" s="3">
        <f>IFERROR(E1116/H1116,0)</f>
        <v/>
      </c>
      <c r="K1116" s="10">
        <f>E1116/'По разделам'!$B$21</f>
        <v/>
      </c>
      <c r="L1116" s="4">
        <f>L1115+K1116</f>
        <v/>
      </c>
      <c r="M1116" s="2" t="inlineStr">
        <is>
          <t>05124</t>
        </is>
      </c>
      <c r="N1116" s="2" t="inlineStr">
        <is>
          <t>https://app.redstat.kz/niche/05124?event_date=2026-08-01</t>
        </is>
      </c>
      <c r="O1116" s="2" t="inlineStr">
        <is>
          <t>https://kaspi.kz/shop/c/hud%20projectors/</t>
        </is>
      </c>
    </row>
    <row r="1117">
      <c r="A1117" s="2" t="n">
        <v>1116</v>
      </c>
      <c r="B1117" s="2" t="inlineStr">
        <is>
          <t>Украшения на тело</t>
        </is>
      </c>
      <c r="C1117" s="2" t="inlineStr">
        <is>
          <t>Украшения</t>
        </is>
      </c>
      <c r="D1117" s="2" t="inlineStr">
        <is>
          <t>Украшения → Украшения на тело</t>
        </is>
      </c>
      <c r="E1117" s="3" t="n">
        <v>3457734</v>
      </c>
      <c r="F1117" s="3" t="n">
        <v>1178</v>
      </c>
      <c r="G1117" s="3">
        <f>IFERROR(E1117/F1117,0)</f>
        <v/>
      </c>
      <c r="H1117" s="3" t="n">
        <v>184</v>
      </c>
      <c r="I1117" s="2" t="n">
        <v>27</v>
      </c>
      <c r="J1117" s="3">
        <f>IFERROR(E1117/H1117,0)</f>
        <v/>
      </c>
      <c r="K1117" s="10">
        <f>E1117/'По разделам'!$B$21</f>
        <v/>
      </c>
      <c r="L1117" s="4">
        <f>L1116+K1117</f>
        <v/>
      </c>
      <c r="M1117" s="2" t="inlineStr">
        <is>
          <t>06812</t>
        </is>
      </c>
      <c r="N1117" s="2" t="inlineStr">
        <is>
          <t>https://app.redstat.kz/niche/06812?event_date=2026-08-01</t>
        </is>
      </c>
      <c r="O1117" s="2" t="inlineStr">
        <is>
          <t>https://kaspi.kz/shop/c/head%20jewelry/</t>
        </is>
      </c>
    </row>
    <row r="1118">
      <c r="A1118" s="2" t="n">
        <v>1117</v>
      </c>
      <c r="B1118" s="2" t="inlineStr">
        <is>
          <t>Радиосинхронизаторы</t>
        </is>
      </c>
      <c r="C1118" s="2" t="inlineStr">
        <is>
          <t>ТВ, Аудио, Видео</t>
        </is>
      </c>
      <c r="D1118" s="2" t="inlineStr">
        <is>
          <t>ТВ, Аудио, Видео → Фото- и видеокамеры → Радиосинхронизаторы</t>
        </is>
      </c>
      <c r="E1118" s="3" t="n">
        <v>3424519</v>
      </c>
      <c r="F1118" s="3" t="n">
        <v>102</v>
      </c>
      <c r="G1118" s="3">
        <f>IFERROR(E1118/F1118,0)</f>
        <v/>
      </c>
      <c r="H1118" s="3" t="n">
        <v>22</v>
      </c>
      <c r="I1118" s="2" t="n">
        <v>2</v>
      </c>
      <c r="J1118" s="3">
        <f>IFERROR(E1118/H1118,0)</f>
        <v/>
      </c>
      <c r="K1118" s="10">
        <f>E1118/'По разделам'!$B$21</f>
        <v/>
      </c>
      <c r="L1118" s="4">
        <f>L1117+K1118</f>
        <v/>
      </c>
      <c r="M1118" s="2" t="inlineStr">
        <is>
          <t>03725</t>
        </is>
      </c>
      <c r="N1118" s="2" t="inlineStr">
        <is>
          <t>https://app.redstat.kz/niche/03725?event_date=2026-08-01</t>
        </is>
      </c>
      <c r="O1118" s="2" t="inlineStr">
        <is>
          <t>https://kaspi.kz/shop/c/radio%20synchronizers/</t>
        </is>
      </c>
    </row>
    <row r="1119">
      <c r="A1119" s="2" t="n">
        <v>1118</v>
      </c>
      <c r="B1119" s="2" t="inlineStr">
        <is>
          <t>Вязальные машины</t>
        </is>
      </c>
      <c r="C1119" s="2" t="inlineStr">
        <is>
          <t>Бытовая техника</t>
        </is>
      </c>
      <c r="D1119" s="2" t="inlineStr">
        <is>
          <t>Бытовая техника → Малая техника для дома → Вязальные машины</t>
        </is>
      </c>
      <c r="E1119" s="3" t="n">
        <v>3419576</v>
      </c>
      <c r="F1119" s="3" t="n">
        <v>15</v>
      </c>
      <c r="G1119" s="3">
        <f>IFERROR(E1119/F1119,0)</f>
        <v/>
      </c>
      <c r="H1119" s="3" t="n">
        <v>7</v>
      </c>
      <c r="I1119" s="2" t="n">
        <v>2</v>
      </c>
      <c r="J1119" s="3">
        <f>IFERROR(E1119/H1119,0)</f>
        <v/>
      </c>
      <c r="K1119" s="10">
        <f>E1119/'По разделам'!$B$21</f>
        <v/>
      </c>
      <c r="L1119" s="4">
        <f>L1118+K1119</f>
        <v/>
      </c>
      <c r="M1119" s="2" t="inlineStr">
        <is>
          <t>02091</t>
        </is>
      </c>
      <c r="N1119" s="2" t="inlineStr">
        <is>
          <t>https://app.redstat.kz/niche/02091?event_date=2026-08-01</t>
        </is>
      </c>
      <c r="O1119" s="2" t="inlineStr">
        <is>
          <t>https://kaspi.kz/shop/c/knitting%20machines/</t>
        </is>
      </c>
    </row>
    <row r="1120">
      <c r="A1120" s="2" t="n">
        <v>1119</v>
      </c>
      <c r="B1120" s="2" t="inlineStr">
        <is>
          <t>Игрушки для собак</t>
        </is>
      </c>
      <c r="C1120" s="2" t="inlineStr">
        <is>
          <t>Товары для животных</t>
        </is>
      </c>
      <c r="D1120" s="2" t="inlineStr">
        <is>
          <t>Товары для животных → Для собак → Игрушки для собак</t>
        </is>
      </c>
      <c r="E1120" s="3" t="n">
        <v>3412226</v>
      </c>
      <c r="F1120" s="3" t="n">
        <v>1181</v>
      </c>
      <c r="G1120" s="3">
        <f>IFERROR(E1120/F1120,0)</f>
        <v/>
      </c>
      <c r="H1120" s="3" t="n">
        <v>313</v>
      </c>
      <c r="I1120" s="2" t="n">
        <v>55</v>
      </c>
      <c r="J1120" s="3">
        <f>IFERROR(E1120/H1120,0)</f>
        <v/>
      </c>
      <c r="K1120" s="10">
        <f>E1120/'По разделам'!$B$21</f>
        <v/>
      </c>
      <c r="L1120" s="4">
        <f>L1119+K1120</f>
        <v/>
      </c>
      <c r="M1120" s="2" t="inlineStr">
        <is>
          <t>03758</t>
        </is>
      </c>
      <c r="N1120" s="2" t="inlineStr">
        <is>
          <t>https://app.redstat.kz/niche/03758?event_date=2026-08-01</t>
        </is>
      </c>
      <c r="O1120" s="2" t="inlineStr">
        <is>
          <t>https://kaspi.kz/shop/c/toys%20for%20animals/</t>
        </is>
      </c>
    </row>
    <row r="1121">
      <c r="A1121" s="2" t="n">
        <v>1120</v>
      </c>
      <c r="B1121" s="2" t="inlineStr">
        <is>
          <t>Нагрудники</t>
        </is>
      </c>
      <c r="C1121" s="2" t="inlineStr">
        <is>
          <t>Спорт, туризм</t>
        </is>
      </c>
      <c r="D1121" s="2" t="inlineStr">
        <is>
          <t>Спорт, туризм → Спортивная защита и экипировка → Нагрудники</t>
        </is>
      </c>
      <c r="E1121" s="3" t="n">
        <v>3386212</v>
      </c>
      <c r="F1121" s="3" t="n">
        <v>208</v>
      </c>
      <c r="G1121" s="3">
        <f>IFERROR(E1121/F1121,0)</f>
        <v/>
      </c>
      <c r="H1121" s="3" t="n">
        <v>107</v>
      </c>
      <c r="I1121" s="2" t="n">
        <v>21</v>
      </c>
      <c r="J1121" s="3">
        <f>IFERROR(E1121/H1121,0)</f>
        <v/>
      </c>
      <c r="K1121" s="10">
        <f>E1121/'По разделам'!$B$21</f>
        <v/>
      </c>
      <c r="L1121" s="4">
        <f>L1120+K1121</f>
        <v/>
      </c>
      <c r="M1121" s="2" t="inlineStr">
        <is>
          <t>01507</t>
        </is>
      </c>
      <c r="N1121" s="2" t="inlineStr">
        <is>
          <t>https://app.redstat.kz/niche/01507?event_date=2026-08-01</t>
        </is>
      </c>
      <c r="O1121" s="2" t="inlineStr">
        <is>
          <t>https://kaspi.kz/shop/c/shoulder%20pads/</t>
        </is>
      </c>
    </row>
    <row r="1122">
      <c r="A1122" s="2" t="n">
        <v>1121</v>
      </c>
      <c r="B1122" s="2" t="inlineStr">
        <is>
          <t>Фактурные декоративные покрытия</t>
        </is>
      </c>
      <c r="C1122" s="2" t="inlineStr">
        <is>
          <t>Строительство, ремонт</t>
        </is>
      </c>
      <c r="D1122" s="2" t="inlineStr">
        <is>
          <t>Строительство, ремонт → Лакокрасочные материалы → Фактурные декоративные покрытия</t>
        </is>
      </c>
      <c r="E1122" s="3" t="n">
        <v>3366285</v>
      </c>
      <c r="F1122" s="3" t="n">
        <v>159</v>
      </c>
      <c r="G1122" s="3">
        <f>IFERROR(E1122/F1122,0)</f>
        <v/>
      </c>
      <c r="H1122" s="3" t="n">
        <v>59</v>
      </c>
      <c r="I1122" s="2" t="n">
        <v>24</v>
      </c>
      <c r="J1122" s="3">
        <f>IFERROR(E1122/H1122,0)</f>
        <v/>
      </c>
      <c r="K1122" s="10">
        <f>E1122/'По разделам'!$B$21</f>
        <v/>
      </c>
      <c r="L1122" s="4">
        <f>L1121+K1122</f>
        <v/>
      </c>
      <c r="M1122" s="2" t="inlineStr">
        <is>
          <t>02170</t>
        </is>
      </c>
      <c r="N1122" s="2" t="inlineStr">
        <is>
          <t>https://app.redstat.kz/niche/02170?event_date=2026-08-01</t>
        </is>
      </c>
      <c r="O1122" s="2" t="inlineStr">
        <is>
          <t>https://kaspi.kz/shop/c/textured%20decorative%20coatings/</t>
        </is>
      </c>
    </row>
    <row r="1123">
      <c r="A1123" s="2" t="n">
        <v>1122</v>
      </c>
      <c r="B1123" s="2" t="inlineStr">
        <is>
          <t>Сандалии для девочек</t>
        </is>
      </c>
      <c r="C1123" s="2" t="inlineStr">
        <is>
          <t>Обувь</t>
        </is>
      </c>
      <c r="D1123" s="2" t="inlineStr">
        <is>
          <t>Обувь → Обувь для девочек → Сандалии для девочек</t>
        </is>
      </c>
      <c r="E1123" s="3" t="n">
        <v>3362009</v>
      </c>
      <c r="F1123" s="3" t="n">
        <v>330</v>
      </c>
      <c r="G1123" s="3">
        <f>IFERROR(E1123/F1123,0)</f>
        <v/>
      </c>
      <c r="H1123" s="3" t="n">
        <v>160</v>
      </c>
      <c r="I1123" s="2" t="n">
        <v>34</v>
      </c>
      <c r="J1123" s="3">
        <f>IFERROR(E1123/H1123,0)</f>
        <v/>
      </c>
      <c r="K1123" s="10">
        <f>E1123/'По разделам'!$B$21</f>
        <v/>
      </c>
      <c r="L1123" s="4">
        <f>L1122+K1123</f>
        <v/>
      </c>
      <c r="M1123" s="2" t="inlineStr">
        <is>
          <t>01155</t>
        </is>
      </c>
      <c r="N1123" s="2" t="inlineStr">
        <is>
          <t>https://app.redstat.kz/niche/01155?event_date=2026-08-01</t>
        </is>
      </c>
      <c r="O1123" s="2" t="inlineStr">
        <is>
          <t>https://kaspi.kz/shop/c/girl%20sandals/</t>
        </is>
      </c>
    </row>
    <row r="1124">
      <c r="A1124" s="2" t="n">
        <v>1123</v>
      </c>
      <c r="B1124" s="2" t="inlineStr">
        <is>
          <t>Бумага для чертежных и копировальных работ</t>
        </is>
      </c>
      <c r="C1124" s="2" t="inlineStr">
        <is>
          <t>Канцелярские товары</t>
        </is>
      </c>
      <c r="D1124" s="2" t="inlineStr">
        <is>
          <t>Канцелярские товары → Бумага и бумажная продукция → Бумага для чертежных и копировальных работ</t>
        </is>
      </c>
      <c r="E1124" s="3" t="n">
        <v>3361425</v>
      </c>
      <c r="F1124" s="3" t="n">
        <v>1180</v>
      </c>
      <c r="G1124" s="3">
        <f>IFERROR(E1124/F1124,0)</f>
        <v/>
      </c>
      <c r="H1124" s="3" t="n">
        <v>120</v>
      </c>
      <c r="I1124" s="2" t="n">
        <v>24</v>
      </c>
      <c r="J1124" s="3">
        <f>IFERROR(E1124/H1124,0)</f>
        <v/>
      </c>
      <c r="K1124" s="10">
        <f>E1124/'По разделам'!$B$21</f>
        <v/>
      </c>
      <c r="L1124" s="4">
        <f>L1123+K1124</f>
        <v/>
      </c>
      <c r="M1124" s="2" t="inlineStr">
        <is>
          <t>04242</t>
        </is>
      </c>
      <c r="N1124" s="2" t="inlineStr">
        <is>
          <t>https://app.redstat.kz/niche/04242?event_date=2026-08-01</t>
        </is>
      </c>
      <c r="O1124" s="2" t="inlineStr">
        <is>
          <t>https://kaspi.kz/shop/c/drawing%20and%20copying%20paper/</t>
        </is>
      </c>
    </row>
    <row r="1125">
      <c r="A1125" s="2" t="n">
        <v>1124</v>
      </c>
      <c r="B1125" s="2" t="inlineStr">
        <is>
          <t>Счетные материалы</t>
        </is>
      </c>
      <c r="C1125" s="2" t="inlineStr">
        <is>
          <t>Канцелярские товары</t>
        </is>
      </c>
      <c r="D1125" s="2" t="inlineStr">
        <is>
          <t>Канцелярские товары → Школьные принадлежности → Счетные материалы</t>
        </is>
      </c>
      <c r="E1125" s="3" t="n">
        <v>3318156</v>
      </c>
      <c r="F1125" s="3" t="n">
        <v>5016</v>
      </c>
      <c r="G1125" s="3">
        <f>IFERROR(E1125/F1125,0)</f>
        <v/>
      </c>
      <c r="H1125" s="3" t="n">
        <v>108</v>
      </c>
      <c r="I1125" s="2" t="n">
        <v>23</v>
      </c>
      <c r="J1125" s="3">
        <f>IFERROR(E1125/H1125,0)</f>
        <v/>
      </c>
      <c r="K1125" s="10">
        <f>E1125/'По разделам'!$B$21</f>
        <v/>
      </c>
      <c r="L1125" s="4">
        <f>L1124+K1125</f>
        <v/>
      </c>
      <c r="M1125" s="2" t="inlineStr">
        <is>
          <t>06608</t>
        </is>
      </c>
      <c r="N1125" s="2" t="inlineStr">
        <is>
          <t>https://app.redstat.kz/niche/06608?event_date=2026-08-01</t>
        </is>
      </c>
      <c r="O1125" s="2" t="inlineStr">
        <is>
          <t>https://kaspi.kz/shop/c/counting%20materials/</t>
        </is>
      </c>
    </row>
    <row r="1126">
      <c r="A1126" s="2" t="n">
        <v>1125</v>
      </c>
      <c r="B1126" s="2" t="inlineStr">
        <is>
          <t>Мужские слипоны и эспадрильи</t>
        </is>
      </c>
      <c r="C1126" s="2" t="inlineStr">
        <is>
          <t>Обувь</t>
        </is>
      </c>
      <c r="D1126" s="2" t="inlineStr">
        <is>
          <t>Обувь → Мужская обувь → Мужские слипоны и эспадрильи</t>
        </is>
      </c>
      <c r="E1126" s="3" t="n">
        <v>3291923</v>
      </c>
      <c r="F1126" s="3" t="n">
        <v>218</v>
      </c>
      <c r="G1126" s="3">
        <f>IFERROR(E1126/F1126,0)</f>
        <v/>
      </c>
      <c r="H1126" s="3" t="n">
        <v>117</v>
      </c>
      <c r="I1126" s="2" t="n">
        <v>28</v>
      </c>
      <c r="J1126" s="3">
        <f>IFERROR(E1126/H1126,0)</f>
        <v/>
      </c>
      <c r="K1126" s="10">
        <f>E1126/'По разделам'!$B$21</f>
        <v/>
      </c>
      <c r="L1126" s="4">
        <f>L1125+K1126</f>
        <v/>
      </c>
      <c r="M1126" s="2" t="inlineStr">
        <is>
          <t>03988</t>
        </is>
      </c>
      <c r="N1126" s="2" t="inlineStr">
        <is>
          <t>https://app.redstat.kz/niche/03988?event_date=2026-08-01</t>
        </is>
      </c>
      <c r="O1126" s="2" t="inlineStr">
        <is>
          <t>https://kaspi.kz/shop/c/men%20slip-ons/</t>
        </is>
      </c>
    </row>
    <row r="1127">
      <c r="A1127" s="2" t="n">
        <v>1126</v>
      </c>
      <c r="B1127" s="2" t="inlineStr">
        <is>
          <t>Свадебные аксессуары</t>
        </is>
      </c>
      <c r="C1127" s="2" t="inlineStr">
        <is>
          <t>Аксессуары</t>
        </is>
      </c>
      <c r="D1127" s="2" t="inlineStr">
        <is>
          <t>Аксессуары → Свадебные аксессуары</t>
        </is>
      </c>
      <c r="E1127" s="3" t="n">
        <v>3290520</v>
      </c>
      <c r="F1127" s="3" t="n">
        <v>545</v>
      </c>
      <c r="G1127" s="3">
        <f>IFERROR(E1127/F1127,0)</f>
        <v/>
      </c>
      <c r="H1127" s="3" t="n">
        <v>97</v>
      </c>
      <c r="I1127" s="2" t="n">
        <v>16</v>
      </c>
      <c r="J1127" s="3">
        <f>IFERROR(E1127/H1127,0)</f>
        <v/>
      </c>
      <c r="K1127" s="10">
        <f>E1127/'По разделам'!$B$21</f>
        <v/>
      </c>
      <c r="L1127" s="4">
        <f>L1126+K1127</f>
        <v/>
      </c>
      <c r="M1127" s="2" t="inlineStr">
        <is>
          <t>06293</t>
        </is>
      </c>
      <c r="N1127" s="2" t="inlineStr">
        <is>
          <t>https://app.redstat.kz/niche/06293?event_date=2026-08-01</t>
        </is>
      </c>
      <c r="O1127" s="2" t="inlineStr">
        <is>
          <t>https://kaspi.kz/shop/c/wedding%20accessories/</t>
        </is>
      </c>
    </row>
    <row r="1128">
      <c r="A1128" s="2" t="n">
        <v>1127</v>
      </c>
      <c r="B1128" s="2" t="inlineStr">
        <is>
          <t>Электролобзики</t>
        </is>
      </c>
      <c r="C1128" s="2" t="inlineStr">
        <is>
          <t>Строительство, ремонт</t>
        </is>
      </c>
      <c r="D1128" s="2" t="inlineStr">
        <is>
          <t>Строительство, ремонт → Инструменты → Электроинструменты → Электролобзики</t>
        </is>
      </c>
      <c r="E1128" s="3" t="n">
        <v>3284604</v>
      </c>
      <c r="F1128" s="3" t="n">
        <v>179</v>
      </c>
      <c r="G1128" s="3">
        <f>IFERROR(E1128/F1128,0)</f>
        <v/>
      </c>
      <c r="H1128" s="3" t="n">
        <v>77</v>
      </c>
      <c r="I1128" s="2" t="n">
        <v>48</v>
      </c>
      <c r="J1128" s="3">
        <f>IFERROR(E1128/H1128,0)</f>
        <v/>
      </c>
      <c r="K1128" s="10">
        <f>E1128/'По разделам'!$B$21</f>
        <v/>
      </c>
      <c r="L1128" s="4">
        <f>L1127+K1128</f>
        <v/>
      </c>
      <c r="M1128" s="2" t="inlineStr">
        <is>
          <t>03403</t>
        </is>
      </c>
      <c r="N1128" s="2" t="inlineStr">
        <is>
          <t>https://app.redstat.kz/niche/03403?event_date=2026-08-01</t>
        </is>
      </c>
      <c r="O1128" s="2" t="inlineStr">
        <is>
          <t>https://kaspi.kz/shop/c/jig%20saws/</t>
        </is>
      </c>
    </row>
    <row r="1129">
      <c r="A1129" s="2" t="n">
        <v>1128</v>
      </c>
      <c r="B1129" s="2" t="inlineStr">
        <is>
          <t>Обои</t>
        </is>
      </c>
      <c r="C1129" s="2" t="inlineStr">
        <is>
          <t>Строительство, ремонт</t>
        </is>
      </c>
      <c r="D1129" s="2" t="inlineStr">
        <is>
          <t>Строительство, ремонт → Отделочные материалы → Отделка стен → Обои</t>
        </is>
      </c>
      <c r="E1129" s="3" t="n">
        <v>3280633</v>
      </c>
      <c r="F1129" s="3" t="n">
        <v>165</v>
      </c>
      <c r="G1129" s="3">
        <f>IFERROR(E1129/F1129,0)</f>
        <v/>
      </c>
      <c r="H1129" s="3" t="n">
        <v>95</v>
      </c>
      <c r="I1129" s="2" t="n">
        <v>33</v>
      </c>
      <c r="J1129" s="3">
        <f>IFERROR(E1129/H1129,0)</f>
        <v/>
      </c>
      <c r="K1129" s="10">
        <f>E1129/'По разделам'!$B$21</f>
        <v/>
      </c>
      <c r="L1129" s="4">
        <f>L1128+K1129</f>
        <v/>
      </c>
      <c r="M1129" s="2" t="inlineStr">
        <is>
          <t>00874</t>
        </is>
      </c>
      <c r="N1129" s="2" t="inlineStr">
        <is>
          <t>https://app.redstat.kz/niche/00874?event_date=2026-08-01</t>
        </is>
      </c>
      <c r="O1129" s="2" t="inlineStr">
        <is>
          <t>https://kaspi.kz/shop/c/wallpapers/</t>
        </is>
      </c>
    </row>
    <row r="1130">
      <c r="A1130" s="2" t="n">
        <v>1129</v>
      </c>
      <c r="B1130" s="2" t="inlineStr">
        <is>
          <t>Сумки и чехлы для ноутбуков</t>
        </is>
      </c>
      <c r="C1130" s="2" t="inlineStr">
        <is>
          <t>Компьютеры</t>
        </is>
      </c>
      <c r="D1130" s="2" t="inlineStr">
        <is>
          <t>Компьютеры → Ноутбуки и аксессуары → Аксессуары для ноутбуков → Сумки и чехлы для ноутбуков</t>
        </is>
      </c>
      <c r="E1130" s="3" t="n">
        <v>3265116</v>
      </c>
      <c r="F1130" s="3" t="n">
        <v>360</v>
      </c>
      <c r="G1130" s="3">
        <f>IFERROR(E1130/F1130,0)</f>
        <v/>
      </c>
      <c r="H1130" s="3" t="n">
        <v>225</v>
      </c>
      <c r="I1130" s="2" t="n">
        <v>74</v>
      </c>
      <c r="J1130" s="3">
        <f>IFERROR(E1130/H1130,0)</f>
        <v/>
      </c>
      <c r="K1130" s="10">
        <f>E1130/'По разделам'!$B$21</f>
        <v/>
      </c>
      <c r="L1130" s="4">
        <f>L1129+K1130</f>
        <v/>
      </c>
      <c r="M1130" s="2" t="inlineStr">
        <is>
          <t>00583</t>
        </is>
      </c>
      <c r="N1130" s="2" t="inlineStr">
        <is>
          <t>https://app.redstat.kz/niche/00583?event_date=2026-08-01</t>
        </is>
      </c>
      <c r="O1130" s="2" t="inlineStr">
        <is>
          <t>https://kaspi.kz/shop/c/laptop%20bags/</t>
        </is>
      </c>
    </row>
    <row r="1131">
      <c r="A1131" s="2" t="n">
        <v>1130</v>
      </c>
      <c r="B1131" s="2" t="inlineStr">
        <is>
          <t>Санки и снегокаты</t>
        </is>
      </c>
      <c r="C1131" s="2" t="inlineStr">
        <is>
          <t>Детские товары</t>
        </is>
      </c>
      <c r="D1131" s="2" t="inlineStr">
        <is>
          <t>Детские товары → Прогулки и поездки → Санки и снегокаты</t>
        </is>
      </c>
      <c r="E1131" s="3" t="n">
        <v>3258686</v>
      </c>
      <c r="F1131" s="3" t="n">
        <v>69</v>
      </c>
      <c r="G1131" s="3">
        <f>IFERROR(E1131/F1131,0)</f>
        <v/>
      </c>
      <c r="H1131" s="3" t="n">
        <v>36</v>
      </c>
      <c r="I1131" s="2" t="n">
        <v>6</v>
      </c>
      <c r="J1131" s="3">
        <f>IFERROR(E1131/H1131,0)</f>
        <v/>
      </c>
      <c r="K1131" s="10">
        <f>E1131/'По разделам'!$B$21</f>
        <v/>
      </c>
      <c r="L1131" s="4">
        <f>L1130+K1131</f>
        <v/>
      </c>
      <c r="M1131" s="2" t="inlineStr">
        <is>
          <t>00633</t>
        </is>
      </c>
      <c r="N1131" s="2" t="inlineStr">
        <is>
          <t>https://app.redstat.kz/niche/00633?event_date=2026-08-01</t>
        </is>
      </c>
      <c r="O1131" s="2" t="inlineStr">
        <is>
          <t>https://kaspi.kz/shop/c/sledding/</t>
        </is>
      </c>
    </row>
    <row r="1132">
      <c r="A1132" s="2" t="n">
        <v>1131</v>
      </c>
      <c r="B1132" s="2" t="inlineStr">
        <is>
          <t>Автомобильные бортовые компьютеры</t>
        </is>
      </c>
      <c r="C1132" s="2" t="inlineStr">
        <is>
          <t>Автотовары</t>
        </is>
      </c>
      <c r="D1132" s="2" t="inlineStr">
        <is>
          <t>Автотовары → Автоэлектроника → Автомобильные бортовые компьютеры</t>
        </is>
      </c>
      <c r="E1132" s="3" t="n">
        <v>3254367</v>
      </c>
      <c r="F1132" s="3" t="n">
        <v>76</v>
      </c>
      <c r="G1132" s="3">
        <f>IFERROR(E1132/F1132,0)</f>
        <v/>
      </c>
      <c r="H1132" s="3" t="n">
        <v>17</v>
      </c>
      <c r="I1132" s="2" t="n">
        <v>6</v>
      </c>
      <c r="J1132" s="3">
        <f>IFERROR(E1132/H1132,0)</f>
        <v/>
      </c>
      <c r="K1132" s="10">
        <f>E1132/'По разделам'!$B$21</f>
        <v/>
      </c>
      <c r="L1132" s="4">
        <f>L1131+K1132</f>
        <v/>
      </c>
      <c r="M1132" s="2" t="inlineStr">
        <is>
          <t>06398</t>
        </is>
      </c>
      <c r="N1132" s="2" t="inlineStr">
        <is>
          <t>https://app.redstat.kz/niche/06398?event_date=2026-08-01</t>
        </is>
      </c>
      <c r="O1132" s="2" t="inlineStr">
        <is>
          <t>https://kaspi.kz/shop/c/car%20on-board%20computers/</t>
        </is>
      </c>
    </row>
    <row r="1133">
      <c r="A1133" s="2" t="n">
        <v>1132</v>
      </c>
      <c r="B1133" s="2" t="inlineStr">
        <is>
          <t>Установки для сбора масла и технических жидкостей</t>
        </is>
      </c>
      <c r="C1133" s="2" t="inlineStr">
        <is>
          <t>Автотовары</t>
        </is>
      </c>
      <c r="D1133" s="2" t="inlineStr">
        <is>
          <t>Автотовары → Автосервисное оборудование → Установки для сбора масла и технических жидкостей</t>
        </is>
      </c>
      <c r="E1133" s="3" t="n">
        <v>3252534</v>
      </c>
      <c r="F1133" s="3" t="n">
        <v>22</v>
      </c>
      <c r="G1133" s="3">
        <f>IFERROR(E1133/F1133,0)</f>
        <v/>
      </c>
      <c r="H1133" s="3" t="n">
        <v>13</v>
      </c>
      <c r="I1133" s="2" t="n">
        <v>9</v>
      </c>
      <c r="J1133" s="3">
        <f>IFERROR(E1133/H1133,0)</f>
        <v/>
      </c>
      <c r="K1133" s="10">
        <f>E1133/'По разделам'!$B$21</f>
        <v/>
      </c>
      <c r="L1133" s="4">
        <f>L1132+K1133</f>
        <v/>
      </c>
      <c r="M1133" s="2" t="inlineStr">
        <is>
          <t>04385</t>
        </is>
      </c>
      <c r="N1133" s="2" t="inlineStr">
        <is>
          <t>https://app.redstat.kz/niche/04385?event_date=2026-08-01</t>
        </is>
      </c>
      <c r="O1133" s="2" t="inlineStr">
        <is>
          <t>https://kaspi.kz/shop/c/plants%20for%20the%20collection%20of%20oils%20and%20technical%20fluids/</t>
        </is>
      </c>
    </row>
    <row r="1134">
      <c r="A1134" s="2" t="n">
        <v>1133</v>
      </c>
      <c r="B1134" s="2" t="inlineStr">
        <is>
          <t>Сканеры</t>
        </is>
      </c>
      <c r="C1134" s="2" t="inlineStr">
        <is>
          <t>Компьютеры</t>
        </is>
      </c>
      <c r="D1134" s="2" t="inlineStr">
        <is>
          <t>Компьютеры → Оргтехника и расходные материалы → Сканеры</t>
        </is>
      </c>
      <c r="E1134" s="3" t="n">
        <v>3247432</v>
      </c>
      <c r="F1134" s="3" t="n">
        <v>25</v>
      </c>
      <c r="G1134" s="3">
        <f>IFERROR(E1134/F1134,0)</f>
        <v/>
      </c>
      <c r="H1134" s="3" t="n">
        <v>11</v>
      </c>
      <c r="I1134" s="2" t="n">
        <v>5</v>
      </c>
      <c r="J1134" s="3">
        <f>IFERROR(E1134/H1134,0)</f>
        <v/>
      </c>
      <c r="K1134" s="10">
        <f>E1134/'По разделам'!$B$21</f>
        <v/>
      </c>
      <c r="L1134" s="4">
        <f>L1133+K1134</f>
        <v/>
      </c>
      <c r="M1134" s="2" t="inlineStr">
        <is>
          <t>02928</t>
        </is>
      </c>
      <c r="N1134" s="2" t="inlineStr">
        <is>
          <t>https://app.redstat.kz/niche/02928?event_date=2026-08-01</t>
        </is>
      </c>
      <c r="O1134" s="2" t="inlineStr">
        <is>
          <t>https://kaspi.kz/shop/c/scanners/</t>
        </is>
      </c>
    </row>
    <row r="1135">
      <c r="A1135" s="2" t="n">
        <v>1134</v>
      </c>
      <c r="B1135" s="2" t="inlineStr">
        <is>
          <t>Амортизаторы</t>
        </is>
      </c>
      <c r="C1135" s="2" t="inlineStr">
        <is>
          <t>Автотовары</t>
        </is>
      </c>
      <c r="D1135" s="2" t="inlineStr">
        <is>
          <t>Автотовары → Автозапчасти → Ходовая часть → Амортизаторы, составляющие → Амортизаторы</t>
        </is>
      </c>
      <c r="E1135" s="3" t="n">
        <v>3242519</v>
      </c>
      <c r="F1135" s="3" t="n">
        <v>130</v>
      </c>
      <c r="G1135" s="3">
        <f>IFERROR(E1135/F1135,0)</f>
        <v/>
      </c>
      <c r="H1135" s="3" t="n">
        <v>94</v>
      </c>
      <c r="I1135" s="2" t="n">
        <v>54</v>
      </c>
      <c r="J1135" s="3">
        <f>IFERROR(E1135/H1135,0)</f>
        <v/>
      </c>
      <c r="K1135" s="10">
        <f>E1135/'По разделам'!$B$21</f>
        <v/>
      </c>
      <c r="L1135" s="4">
        <f>L1134+K1135</f>
        <v/>
      </c>
      <c r="M1135" s="2" t="inlineStr">
        <is>
          <t>01319</t>
        </is>
      </c>
      <c r="N1135" s="2" t="inlineStr">
        <is>
          <t>https://app.redstat.kz/niche/01319?event_date=2026-08-01</t>
        </is>
      </c>
      <c r="O1135" s="2" t="inlineStr">
        <is>
          <t>https://kaspi.kz/shop/c/shock%20absorbers/</t>
        </is>
      </c>
    </row>
    <row r="1136">
      <c r="A1136" s="2" t="n">
        <v>1135</v>
      </c>
      <c r="B1136" s="2" t="inlineStr">
        <is>
          <t>Аксессуары для стедикамов, штативов и стоек</t>
        </is>
      </c>
      <c r="C1136" s="2" t="inlineStr">
        <is>
          <t>ТВ, Аудио, Видео</t>
        </is>
      </c>
      <c r="D1136" s="2" t="inlineStr">
        <is>
          <t>ТВ, Аудио, Видео → Фото- и видеокамеры → Аксессуары для стедикамов, штативов и стоек</t>
        </is>
      </c>
      <c r="E1136" s="3" t="n">
        <v>3242025</v>
      </c>
      <c r="F1136" s="3" t="n">
        <v>118</v>
      </c>
      <c r="G1136" s="3">
        <f>IFERROR(E1136/F1136,0)</f>
        <v/>
      </c>
      <c r="H1136" s="3" t="n">
        <v>53</v>
      </c>
      <c r="I1136" s="2" t="n">
        <v>20</v>
      </c>
      <c r="J1136" s="3">
        <f>IFERROR(E1136/H1136,0)</f>
        <v/>
      </c>
      <c r="K1136" s="10">
        <f>E1136/'По разделам'!$B$21</f>
        <v/>
      </c>
      <c r="L1136" s="4">
        <f>L1135+K1136</f>
        <v/>
      </c>
      <c r="M1136" s="2" t="inlineStr">
        <is>
          <t>05429</t>
        </is>
      </c>
      <c r="N1136" s="2" t="inlineStr">
        <is>
          <t>https://app.redstat.kz/niche/05429?event_date=2026-08-01</t>
        </is>
      </c>
      <c r="O1136" s="2" t="inlineStr">
        <is>
          <t>https://kaspi.kz/shop/search/?text=%D0%90%D0%BA%D1%81%D0%B5%D1%81%D1%81%D1%83%D0%B0%D1%80%D1%8B%20%D0%B4%D0%BB%D1%8F%20%D1%81%D1%82%D0%B5%D0%B4%D0%B8%D0%BA%D0%B0%D0%BC%D0%BE%D0%B2%2C%20%D1%88%D1%82%D0%B0%D1%82%D0%B8%D0%B2%D0%BE%D0%B2%20%D0%B8%20%D1%81%D1%82%D0%BE%D0%B5%D0%BA</t>
        </is>
      </c>
    </row>
    <row r="1137">
      <c r="A1137" s="2" t="n">
        <v>1136</v>
      </c>
      <c r="B1137" s="2" t="inlineStr">
        <is>
          <t>Люльки-переноски, прогулочные и спальные блоки</t>
        </is>
      </c>
      <c r="C1137" s="2" t="inlineStr">
        <is>
          <t>Детские товары</t>
        </is>
      </c>
      <c r="D1137" s="2" t="inlineStr">
        <is>
          <t>Детские товары → Прогулки и поездки → Люльки-переноски, прогулочные и спальные блоки</t>
        </is>
      </c>
      <c r="E1137" s="3" t="n">
        <v>3203680</v>
      </c>
      <c r="F1137" s="3" t="n">
        <v>190</v>
      </c>
      <c r="G1137" s="3">
        <f>IFERROR(E1137/F1137,0)</f>
        <v/>
      </c>
      <c r="H1137" s="3" t="n">
        <v>51</v>
      </c>
      <c r="I1137" s="2" t="n">
        <v>20</v>
      </c>
      <c r="J1137" s="3">
        <f>IFERROR(E1137/H1137,0)</f>
        <v/>
      </c>
      <c r="K1137" s="10">
        <f>E1137/'По разделам'!$B$21</f>
        <v/>
      </c>
      <c r="L1137" s="4">
        <f>L1136+K1137</f>
        <v/>
      </c>
      <c r="M1137" s="2" t="inlineStr">
        <is>
          <t>01112</t>
        </is>
      </c>
      <c r="N1137" s="2" t="inlineStr">
        <is>
          <t>https://app.redstat.kz/niche/01112?event_date=2026-08-01</t>
        </is>
      </c>
      <c r="O1137" s="2" t="inlineStr">
        <is>
          <t>https://kaspi.kz/shop/c/baby%20carriers/</t>
        </is>
      </c>
    </row>
    <row r="1138">
      <c r="A1138" s="2" t="n">
        <v>1137</v>
      </c>
      <c r="B1138" s="2" t="inlineStr">
        <is>
          <t>Велостанки</t>
        </is>
      </c>
      <c r="C1138" s="2" t="inlineStr">
        <is>
          <t>Спорт, туризм</t>
        </is>
      </c>
      <c r="D1138" s="2" t="inlineStr">
        <is>
          <t>Спорт, туризм → Велоспорт → Велостанки</t>
        </is>
      </c>
      <c r="E1138" s="3" t="n">
        <v>3167629</v>
      </c>
      <c r="F1138" s="3" t="n">
        <v>18</v>
      </c>
      <c r="G1138" s="3">
        <f>IFERROR(E1138/F1138,0)</f>
        <v/>
      </c>
      <c r="H1138" s="3" t="n">
        <v>12</v>
      </c>
      <c r="I1138" s="2" t="n">
        <v>8</v>
      </c>
      <c r="J1138" s="3">
        <f>IFERROR(E1138/H1138,0)</f>
        <v/>
      </c>
      <c r="K1138" s="10">
        <f>E1138/'По разделам'!$B$21</f>
        <v/>
      </c>
      <c r="L1138" s="4">
        <f>L1137+K1138</f>
        <v/>
      </c>
      <c r="M1138" s="2" t="inlineStr">
        <is>
          <t>01077</t>
        </is>
      </c>
      <c r="N1138" s="2" t="inlineStr">
        <is>
          <t>https://app.redstat.kz/niche/01077?event_date=2026-08-01</t>
        </is>
      </c>
      <c r="O1138" s="2" t="inlineStr">
        <is>
          <t>https://kaspi.kz/shop/c/bike%20trainers/</t>
        </is>
      </c>
    </row>
    <row r="1139">
      <c r="A1139" s="2" t="n">
        <v>1138</v>
      </c>
      <c r="B1139" s="2" t="inlineStr">
        <is>
          <t>Аппаратная косметика</t>
        </is>
      </c>
      <c r="C1139" s="2" t="inlineStr">
        <is>
          <t>Красота и здоровье</t>
        </is>
      </c>
      <c r="D1139" s="2" t="inlineStr">
        <is>
          <t>Красота и здоровье → Аппаратная косметология → Аппаратная косметика</t>
        </is>
      </c>
      <c r="E1139" s="3" t="n">
        <v>3164799</v>
      </c>
      <c r="F1139" s="3" t="n">
        <v>501</v>
      </c>
      <c r="G1139" s="3">
        <f>IFERROR(E1139/F1139,0)</f>
        <v/>
      </c>
      <c r="H1139" s="3" t="n">
        <v>57</v>
      </c>
      <c r="I1139" s="2" t="n">
        <v>31</v>
      </c>
      <c r="J1139" s="3">
        <f>IFERROR(E1139/H1139,0)</f>
        <v/>
      </c>
      <c r="K1139" s="10">
        <f>E1139/'По разделам'!$B$21</f>
        <v/>
      </c>
      <c r="L1139" s="4">
        <f>L1138+K1139</f>
        <v/>
      </c>
      <c r="M1139" s="2" t="inlineStr">
        <is>
          <t>09232</t>
        </is>
      </c>
      <c r="N1139" s="2" t="inlineStr">
        <is>
          <t>https://app.redstat.kz/niche/09232?event_date=2026-08-01</t>
        </is>
      </c>
      <c r="O1139" s="2" t="inlineStr">
        <is>
          <t>https://kaspi.kz/shop/c/hardware%20cosmetics/</t>
        </is>
      </c>
    </row>
    <row r="1140">
      <c r="A1140" s="2" t="n">
        <v>1139</v>
      </c>
      <c r="B1140" s="2" t="inlineStr">
        <is>
          <t>Футболки и майки для малышей</t>
        </is>
      </c>
      <c r="C1140" s="2" t="inlineStr">
        <is>
          <t>Одежда</t>
        </is>
      </c>
      <c r="D1140" s="2" t="inlineStr">
        <is>
          <t>Одежда → Одежда для малышей → Футболки и майки для малышей</t>
        </is>
      </c>
      <c r="E1140" s="3" t="n">
        <v>3153276</v>
      </c>
      <c r="F1140" s="3" t="n">
        <v>1665</v>
      </c>
      <c r="G1140" s="3">
        <f>IFERROR(E1140/F1140,0)</f>
        <v/>
      </c>
      <c r="H1140" s="3" t="n">
        <v>332</v>
      </c>
      <c r="I1140" s="2" t="n">
        <v>23</v>
      </c>
      <c r="J1140" s="3">
        <f>IFERROR(E1140/H1140,0)</f>
        <v/>
      </c>
      <c r="K1140" s="10">
        <f>E1140/'По разделам'!$B$21</f>
        <v/>
      </c>
      <c r="L1140" s="4">
        <f>L1139+K1140</f>
        <v/>
      </c>
      <c r="M1140" s="2" t="inlineStr">
        <is>
          <t>00947</t>
        </is>
      </c>
      <c r="N1140" s="2" t="inlineStr">
        <is>
          <t>https://app.redstat.kz/niche/00947?event_date=2026-08-01</t>
        </is>
      </c>
      <c r="O1140" s="2" t="inlineStr">
        <is>
          <t>https://kaspi.kz/shop/c/baby%20tees%20and%20undershirts/</t>
        </is>
      </c>
    </row>
    <row r="1141">
      <c r="A1141" s="2" t="n">
        <v>1140</v>
      </c>
      <c r="B1141" s="2" t="inlineStr">
        <is>
          <t>Щетки стеклоочистителей</t>
        </is>
      </c>
      <c r="C1141" s="2" t="inlineStr">
        <is>
          <t>Автотовары</t>
        </is>
      </c>
      <c r="D1141" s="2" t="inlineStr">
        <is>
          <t>Автотовары → Автоаксессуары → Щетки стеклоочистителей</t>
        </is>
      </c>
      <c r="E1141" s="3" t="n">
        <v>3143633</v>
      </c>
      <c r="F1141" s="3" t="n">
        <v>832</v>
      </c>
      <c r="G1141" s="3">
        <f>IFERROR(E1141/F1141,0)</f>
        <v/>
      </c>
      <c r="H1141" s="3" t="n">
        <v>194</v>
      </c>
      <c r="I1141" s="2" t="n">
        <v>28</v>
      </c>
      <c r="J1141" s="3">
        <f>IFERROR(E1141/H1141,0)</f>
        <v/>
      </c>
      <c r="K1141" s="10">
        <f>E1141/'По разделам'!$B$21</f>
        <v/>
      </c>
      <c r="L1141" s="4">
        <f>L1140+K1141</f>
        <v/>
      </c>
      <c r="M1141" s="2" t="inlineStr">
        <is>
          <t>02133</t>
        </is>
      </c>
      <c r="N1141" s="2" t="inlineStr">
        <is>
          <t>https://app.redstat.kz/niche/02133?event_date=2026-08-01</t>
        </is>
      </c>
      <c r="O1141" s="2" t="inlineStr">
        <is>
          <t>https://kaspi.kz/shop/c/wiper%20blades/</t>
        </is>
      </c>
    </row>
    <row r="1142">
      <c r="A1142" s="2" t="n">
        <v>1141</v>
      </c>
      <c r="B1142" s="2" t="inlineStr">
        <is>
          <t>Подставки и держатели для украшений</t>
        </is>
      </c>
      <c r="C1142" s="2" t="inlineStr">
        <is>
          <t>Украшения</t>
        </is>
      </c>
      <c r="D1142" s="2" t="inlineStr">
        <is>
          <t>Украшения → Ювелирное оборудование, подставки и фурнитура → Подставки и держатели для украшений</t>
        </is>
      </c>
      <c r="E1142" s="3" t="n">
        <v>3140691</v>
      </c>
      <c r="F1142" s="3" t="n">
        <v>700</v>
      </c>
      <c r="G1142" s="3">
        <f>IFERROR(E1142/F1142,0)</f>
        <v/>
      </c>
      <c r="H1142" s="3" t="n">
        <v>203</v>
      </c>
      <c r="I1142" s="2" t="n">
        <v>17</v>
      </c>
      <c r="J1142" s="3">
        <f>IFERROR(E1142/H1142,0)</f>
        <v/>
      </c>
      <c r="K1142" s="10">
        <f>E1142/'По разделам'!$B$21</f>
        <v/>
      </c>
      <c r="L1142" s="4">
        <f>L1141+K1142</f>
        <v/>
      </c>
      <c r="M1142" s="2" t="inlineStr">
        <is>
          <t>03994</t>
        </is>
      </c>
      <c r="N1142" s="2" t="inlineStr">
        <is>
          <t>https://app.redstat.kz/niche/03994?event_date=2026-08-01</t>
        </is>
      </c>
      <c r="O1142" s="2" t="inlineStr">
        <is>
          <t>https://kaspi.kz/shop/c/jewelry%20stands%20and%20holders/</t>
        </is>
      </c>
    </row>
    <row r="1143">
      <c r="A1143" s="2" t="n">
        <v>1142</v>
      </c>
      <c r="B1143" s="2" t="inlineStr">
        <is>
          <t>Комиксы и графическая литература</t>
        </is>
      </c>
      <c r="C1143" s="2" t="inlineStr">
        <is>
          <t>Досуг, книги</t>
        </is>
      </c>
      <c r="D1143" s="2" t="inlineStr">
        <is>
          <t>Досуг, книги → Книги → Комиксы и графическая литература</t>
        </is>
      </c>
      <c r="E1143" s="3" t="n">
        <v>3139528</v>
      </c>
      <c r="F1143" s="3" t="n">
        <v>455</v>
      </c>
      <c r="G1143" s="3">
        <f>IFERROR(E1143/F1143,0)</f>
        <v/>
      </c>
      <c r="H1143" s="3" t="n">
        <v>219</v>
      </c>
      <c r="I1143" s="2" t="n">
        <v>25</v>
      </c>
      <c r="J1143" s="3">
        <f>IFERROR(E1143/H1143,0)</f>
        <v/>
      </c>
      <c r="K1143" s="10">
        <f>E1143/'По разделам'!$B$21</f>
        <v/>
      </c>
      <c r="L1143" s="4">
        <f>L1142+K1143</f>
        <v/>
      </c>
      <c r="M1143" s="2" t="inlineStr">
        <is>
          <t>00760</t>
        </is>
      </c>
      <c r="N1143" s="2" t="inlineStr">
        <is>
          <t>https://app.redstat.kz/niche/00760?event_date=2026-08-01</t>
        </is>
      </c>
      <c r="O1143" s="2" t="inlineStr">
        <is>
          <t>https://kaspi.kz/shop/c/graphic%20novels/</t>
        </is>
      </c>
    </row>
    <row r="1144">
      <c r="A1144" s="2" t="n">
        <v>1143</v>
      </c>
      <c r="B1144" s="2" t="inlineStr">
        <is>
          <t>Инструменты для ремонта ГБЦ</t>
        </is>
      </c>
      <c r="C1144" s="2" t="inlineStr">
        <is>
          <t>Автотовары</t>
        </is>
      </c>
      <c r="D1144" s="2" t="inlineStr">
        <is>
          <t>Автотовары → Автоинструменты → Инструменты для ремонта ГБЦ</t>
        </is>
      </c>
      <c r="E1144" s="3" t="n">
        <v>3135185</v>
      </c>
      <c r="F1144" s="3" t="n">
        <v>158</v>
      </c>
      <c r="G1144" s="3">
        <f>IFERROR(E1144/F1144,0)</f>
        <v/>
      </c>
      <c r="H1144" s="3" t="n">
        <v>48</v>
      </c>
      <c r="I1144" s="2" t="n">
        <v>24</v>
      </c>
      <c r="J1144" s="3">
        <f>IFERROR(E1144/H1144,0)</f>
        <v/>
      </c>
      <c r="K1144" s="10">
        <f>E1144/'По разделам'!$B$21</f>
        <v/>
      </c>
      <c r="L1144" s="4">
        <f>L1143+K1144</f>
        <v/>
      </c>
      <c r="M1144" s="2" t="inlineStr">
        <is>
          <t>05504</t>
        </is>
      </c>
      <c r="N1144" s="2" t="inlineStr">
        <is>
          <t>https://app.redstat.kz/niche/05504?event_date=2026-08-01</t>
        </is>
      </c>
      <c r="O1144" s="2" t="inlineStr">
        <is>
          <t>https://kaspi.kz/shop/c/cylinder%20head%20repair%20tools/</t>
        </is>
      </c>
    </row>
    <row r="1145">
      <c r="A1145" s="2" t="n">
        <v>1144</v>
      </c>
      <c r="B1145" s="2" t="inlineStr">
        <is>
          <t>Наборы письменных принадлежностей</t>
        </is>
      </c>
      <c r="C1145" s="2" t="inlineStr">
        <is>
          <t>Канцелярские товары</t>
        </is>
      </c>
      <c r="D1145" s="2" t="inlineStr">
        <is>
          <t>Канцелярские товары → Письменные принадлежности → Наборы письменных принадлежностей</t>
        </is>
      </c>
      <c r="E1145" s="3" t="n">
        <v>3121968</v>
      </c>
      <c r="F1145" s="3" t="n">
        <v>1321</v>
      </c>
      <c r="G1145" s="3">
        <f>IFERROR(E1145/F1145,0)</f>
        <v/>
      </c>
      <c r="H1145" s="3" t="n">
        <v>69</v>
      </c>
      <c r="I1145" s="2" t="n">
        <v>32</v>
      </c>
      <c r="J1145" s="3">
        <f>IFERROR(E1145/H1145,0)</f>
        <v/>
      </c>
      <c r="K1145" s="10">
        <f>E1145/'По разделам'!$B$21</f>
        <v/>
      </c>
      <c r="L1145" s="4">
        <f>L1144+K1145</f>
        <v/>
      </c>
      <c r="M1145" s="2" t="inlineStr">
        <is>
          <t>04292</t>
        </is>
      </c>
      <c r="N1145" s="2" t="inlineStr">
        <is>
          <t>https://app.redstat.kz/niche/04292?event_date=2026-08-01</t>
        </is>
      </c>
      <c r="O1145" s="2" t="inlineStr">
        <is>
          <t>https://kaspi.kz/shop/c/writing%20implement%20kits/</t>
        </is>
      </c>
    </row>
    <row r="1146">
      <c r="A1146" s="2" t="n">
        <v>1145</v>
      </c>
      <c r="B1146" s="2" t="inlineStr">
        <is>
          <t>Свечи зажигания</t>
        </is>
      </c>
      <c r="C1146" s="2" t="inlineStr">
        <is>
          <t>Автотовары</t>
        </is>
      </c>
      <c r="D1146" s="2" t="inlineStr">
        <is>
          <t>Автотовары → Автозапчасти → Двигатель → Система зажигания, накаливания → Свечи зажигания</t>
        </is>
      </c>
      <c r="E1146" s="3" t="n">
        <v>3109258</v>
      </c>
      <c r="F1146" s="3" t="n">
        <v>175</v>
      </c>
      <c r="G1146" s="3">
        <f>IFERROR(E1146/F1146,0)</f>
        <v/>
      </c>
      <c r="H1146" s="3" t="n">
        <v>109</v>
      </c>
      <c r="I1146" s="2" t="n">
        <v>62</v>
      </c>
      <c r="J1146" s="3">
        <f>IFERROR(E1146/H1146,0)</f>
        <v/>
      </c>
      <c r="K1146" s="10">
        <f>E1146/'По разделам'!$B$21</f>
        <v/>
      </c>
      <c r="L1146" s="4">
        <f>L1145+K1146</f>
        <v/>
      </c>
      <c r="M1146" s="2" t="inlineStr">
        <is>
          <t>03791</t>
        </is>
      </c>
      <c r="N1146" s="2" t="inlineStr">
        <is>
          <t>https://app.redstat.kz/niche/03791?event_date=2026-08-01</t>
        </is>
      </c>
      <c r="O1146" s="2" t="inlineStr">
        <is>
          <t>https://kaspi.kz/shop/c/spark%20plugs/</t>
        </is>
      </c>
    </row>
    <row r="1147">
      <c r="A1147" s="2" t="n">
        <v>1146</v>
      </c>
      <c r="B1147" s="2" t="inlineStr">
        <is>
          <t>Брюки и шорты для малышей</t>
        </is>
      </c>
      <c r="C1147" s="2" t="inlineStr">
        <is>
          <t>Одежда</t>
        </is>
      </c>
      <c r="D1147" s="2" t="inlineStr">
        <is>
          <t>Одежда → Одежда для малышей → Брюки и шорты для малышей</t>
        </is>
      </c>
      <c r="E1147" s="3" t="n">
        <v>3108979</v>
      </c>
      <c r="F1147" s="3" t="n">
        <v>1120</v>
      </c>
      <c r="G1147" s="3">
        <f>IFERROR(E1147/F1147,0)</f>
        <v/>
      </c>
      <c r="H1147" s="3" t="n">
        <v>289</v>
      </c>
      <c r="I1147" s="2" t="n">
        <v>27</v>
      </c>
      <c r="J1147" s="3">
        <f>IFERROR(E1147/H1147,0)</f>
        <v/>
      </c>
      <c r="K1147" s="10">
        <f>E1147/'По разделам'!$B$21</f>
        <v/>
      </c>
      <c r="L1147" s="4">
        <f>L1146+K1147</f>
        <v/>
      </c>
      <c r="M1147" s="2" t="inlineStr">
        <is>
          <t>02671</t>
        </is>
      </c>
      <c r="N1147" s="2" t="inlineStr">
        <is>
          <t>https://app.redstat.kz/niche/02671?event_date=2026-08-01</t>
        </is>
      </c>
      <c r="O1147" s="2" t="inlineStr">
        <is>
          <t>https://kaspi.kz/shop/c/baby%20trousers%20and%20shorts/</t>
        </is>
      </c>
    </row>
    <row r="1148">
      <c r="A1148" s="2" t="n">
        <v>1147</v>
      </c>
      <c r="B1148" s="2" t="inlineStr">
        <is>
          <t>Оплетки и чехлы на руль</t>
        </is>
      </c>
      <c r="C1148" s="2" t="inlineStr">
        <is>
          <t>Автотовары</t>
        </is>
      </c>
      <c r="D1148" s="2" t="inlineStr">
        <is>
          <t>Автотовары → Автоаксессуары → Оплетки и чехлы на руль</t>
        </is>
      </c>
      <c r="E1148" s="3" t="n">
        <v>3107155</v>
      </c>
      <c r="F1148" s="3" t="n">
        <v>1153</v>
      </c>
      <c r="G1148" s="3">
        <f>IFERROR(E1148/F1148,0)</f>
        <v/>
      </c>
      <c r="H1148" s="3" t="n">
        <v>139</v>
      </c>
      <c r="I1148" s="2" t="n">
        <v>27</v>
      </c>
      <c r="J1148" s="3">
        <f>IFERROR(E1148/H1148,0)</f>
        <v/>
      </c>
      <c r="K1148" s="10">
        <f>E1148/'По разделам'!$B$21</f>
        <v/>
      </c>
      <c r="L1148" s="4">
        <f>L1147+K1148</f>
        <v/>
      </c>
      <c r="M1148" s="2" t="inlineStr">
        <is>
          <t>03461</t>
        </is>
      </c>
      <c r="N1148" s="2" t="inlineStr">
        <is>
          <t>https://app.redstat.kz/niche/03461?event_date=2026-08-01</t>
        </is>
      </c>
      <c r="O1148" s="2" t="inlineStr">
        <is>
          <t>https://kaspi.kz/shop/c/steering%20wheel%20covers/</t>
        </is>
      </c>
    </row>
    <row r="1149">
      <c r="A1149" s="2" t="n">
        <v>1148</v>
      </c>
      <c r="B1149" s="2" t="inlineStr">
        <is>
          <t>Надувные комплексы и батуты</t>
        </is>
      </c>
      <c r="C1149" s="2" t="inlineStr">
        <is>
          <t>Детские товары</t>
        </is>
      </c>
      <c r="D1149" s="2" t="inlineStr">
        <is>
          <t>Детские товары → Игровая площадка → Надувные комплексы и батуты</t>
        </is>
      </c>
      <c r="E1149" s="3" t="n">
        <v>3096104</v>
      </c>
      <c r="F1149" s="3" t="n">
        <v>86</v>
      </c>
      <c r="G1149" s="3">
        <f>IFERROR(E1149/F1149,0)</f>
        <v/>
      </c>
      <c r="H1149" s="3" t="n">
        <v>28</v>
      </c>
      <c r="I1149" s="2" t="n">
        <v>8</v>
      </c>
      <c r="J1149" s="3">
        <f>IFERROR(E1149/H1149,0)</f>
        <v/>
      </c>
      <c r="K1149" s="10">
        <f>E1149/'По разделам'!$B$21</f>
        <v/>
      </c>
      <c r="L1149" s="4">
        <f>L1148+K1149</f>
        <v/>
      </c>
      <c r="M1149" s="2" t="inlineStr">
        <is>
          <t>02472</t>
        </is>
      </c>
      <c r="N1149" s="2" t="inlineStr">
        <is>
          <t>https://app.redstat.kz/niche/02472?event_date=2026-08-01</t>
        </is>
      </c>
      <c r="O1149" s="2" t="inlineStr">
        <is>
          <t>https://kaspi.kz/shop/c/inflatable%20bouncers/</t>
        </is>
      </c>
    </row>
    <row r="1150">
      <c r="A1150" s="2" t="n">
        <v>1149</v>
      </c>
      <c r="B1150" s="2" t="inlineStr">
        <is>
          <t>Фотофоны</t>
        </is>
      </c>
      <c r="C1150" s="2" t="inlineStr">
        <is>
          <t>ТВ, Аудио, Видео</t>
        </is>
      </c>
      <c r="D1150" s="2" t="inlineStr">
        <is>
          <t>ТВ, Аудио, Видео → Фото- и видеокамеры → Фотофоны</t>
        </is>
      </c>
      <c r="E1150" s="3" t="n">
        <v>3091221</v>
      </c>
      <c r="F1150" s="3" t="n">
        <v>263</v>
      </c>
      <c r="G1150" s="3">
        <f>IFERROR(E1150/F1150,0)</f>
        <v/>
      </c>
      <c r="H1150" s="3" t="n">
        <v>99</v>
      </c>
      <c r="I1150" s="2" t="n">
        <v>15</v>
      </c>
      <c r="J1150" s="3">
        <f>IFERROR(E1150/H1150,0)</f>
        <v/>
      </c>
      <c r="K1150" s="10">
        <f>E1150/'По разделам'!$B$21</f>
        <v/>
      </c>
      <c r="L1150" s="4">
        <f>L1149+K1150</f>
        <v/>
      </c>
      <c r="M1150" s="2" t="inlineStr">
        <is>
          <t>03727</t>
        </is>
      </c>
      <c r="N1150" s="2" t="inlineStr">
        <is>
          <t>https://app.redstat.kz/niche/03727?event_date=2026-08-01</t>
        </is>
      </c>
      <c r="O1150" s="2" t="inlineStr">
        <is>
          <t>https://kaspi.kz/shop/c/photophones/</t>
        </is>
      </c>
    </row>
    <row r="1151">
      <c r="A1151" s="2" t="n">
        <v>1150</v>
      </c>
      <c r="B1151" s="2" t="inlineStr">
        <is>
          <t>Аксессуары для пылесосов и стеклоочистителей</t>
        </is>
      </c>
      <c r="C1151" s="2" t="inlineStr">
        <is>
          <t>Бытовая техника</t>
        </is>
      </c>
      <c r="D1151" s="2" t="inlineStr">
        <is>
          <t>Бытовая техника → Малая техника для дома → Аксессуары для малой бытовой техники → Аксессуары для пылесосов и стеклоочистителей</t>
        </is>
      </c>
      <c r="E1151" s="3" t="n">
        <v>3069826</v>
      </c>
      <c r="F1151" s="3" t="n">
        <v>557</v>
      </c>
      <c r="G1151" s="3">
        <f>IFERROR(E1151/F1151,0)</f>
        <v/>
      </c>
      <c r="H1151" s="3" t="n">
        <v>288</v>
      </c>
      <c r="I1151" s="2" t="n">
        <v>58</v>
      </c>
      <c r="J1151" s="3">
        <f>IFERROR(E1151/H1151,0)</f>
        <v/>
      </c>
      <c r="K1151" s="10">
        <f>E1151/'По разделам'!$B$21</f>
        <v/>
      </c>
      <c r="L1151" s="4">
        <f>L1150+K1151</f>
        <v/>
      </c>
      <c r="M1151" s="2" t="inlineStr">
        <is>
          <t>03067</t>
        </is>
      </c>
      <c r="N1151" s="2" t="inlineStr">
        <is>
          <t>https://app.redstat.kz/niche/03067?event_date=2026-08-01</t>
        </is>
      </c>
      <c r="O1151" s="2" t="inlineStr">
        <is>
          <t>https://kaspi.kz/shop/c/accessories%20for%20vacuum%20cleaners/</t>
        </is>
      </c>
    </row>
    <row r="1152">
      <c r="A1152" s="2" t="n">
        <v>1151</v>
      </c>
      <c r="B1152" s="2" t="inlineStr">
        <is>
          <t>Лыжное снаряжение</t>
        </is>
      </c>
      <c r="C1152" s="2" t="inlineStr">
        <is>
          <t>Спорт, туризм</t>
        </is>
      </c>
      <c r="D1152" s="2" t="inlineStr">
        <is>
          <t>Спорт, туризм → Зимний спорт → Лыжное снаряжение → Лыжное снаряжение</t>
        </is>
      </c>
      <c r="E1152" s="3" t="n">
        <v>3066297</v>
      </c>
      <c r="F1152" s="3" t="n">
        <v>43</v>
      </c>
      <c r="G1152" s="3">
        <f>IFERROR(E1152/F1152,0)</f>
        <v/>
      </c>
      <c r="H1152" s="3" t="n">
        <v>41</v>
      </c>
      <c r="I1152" s="2" t="n">
        <v>16</v>
      </c>
      <c r="J1152" s="3">
        <f>IFERROR(E1152/H1152,0)</f>
        <v/>
      </c>
      <c r="K1152" s="10">
        <f>E1152/'По разделам'!$B$21</f>
        <v/>
      </c>
      <c r="L1152" s="4">
        <f>L1151+K1152</f>
        <v/>
      </c>
      <c r="M1152" s="2" t="inlineStr">
        <is>
          <t>q4469fb172f23990</t>
        </is>
      </c>
      <c r="N1152" s="2" t="inlineStr">
        <is>
          <t>https://app.redstat.kz/niche/q4469fb172f23990?event_date=2026-08-01</t>
        </is>
      </c>
      <c r="O1152" s="2" t="inlineStr"/>
    </row>
    <row r="1153">
      <c r="A1153" s="2" t="n">
        <v>1152</v>
      </c>
      <c r="B1153" s="2" t="inlineStr">
        <is>
          <t>Купальники и плавки для малышей</t>
        </is>
      </c>
      <c r="C1153" s="2" t="inlineStr">
        <is>
          <t>Одежда</t>
        </is>
      </c>
      <c r="D1153" s="2" t="inlineStr">
        <is>
          <t>Одежда → Одежда для малышей → Купальники и плавки для малышей</t>
        </is>
      </c>
      <c r="E1153" s="3" t="n">
        <v>3062035</v>
      </c>
      <c r="F1153" s="3" t="n">
        <v>972</v>
      </c>
      <c r="G1153" s="3">
        <f>IFERROR(E1153/F1153,0)</f>
        <v/>
      </c>
      <c r="H1153" s="3" t="n">
        <v>142</v>
      </c>
      <c r="I1153" s="2" t="n">
        <v>22</v>
      </c>
      <c r="J1153" s="3">
        <f>IFERROR(E1153/H1153,0)</f>
        <v/>
      </c>
      <c r="K1153" s="10">
        <f>E1153/'По разделам'!$B$21</f>
        <v/>
      </c>
      <c r="L1153" s="4">
        <f>L1152+K1153</f>
        <v/>
      </c>
      <c r="M1153" s="2" t="inlineStr">
        <is>
          <t>01545</t>
        </is>
      </c>
      <c r="N1153" s="2" t="inlineStr">
        <is>
          <t>https://app.redstat.kz/niche/01545?event_date=2026-08-01</t>
        </is>
      </c>
      <c r="O1153" s="2" t="inlineStr">
        <is>
          <t>https://kaspi.kz/shop/c/baby%20swimwear/</t>
        </is>
      </c>
    </row>
    <row r="1154">
      <c r="A1154" s="2" t="n">
        <v>1153</v>
      </c>
      <c r="B1154" s="2" t="inlineStr">
        <is>
          <t>Комплекты ГБО</t>
        </is>
      </c>
      <c r="C1154" s="2" t="inlineStr">
        <is>
          <t>Автотовары</t>
        </is>
      </c>
      <c r="D1154" s="2" t="inlineStr">
        <is>
          <t>Автотовары → ГБО → Комплекты ГБО</t>
        </is>
      </c>
      <c r="E1154" s="3" t="n">
        <v>3026713</v>
      </c>
      <c r="F1154" s="3" t="n">
        <v>48</v>
      </c>
      <c r="G1154" s="3">
        <f>IFERROR(E1154/F1154,0)</f>
        <v/>
      </c>
      <c r="H1154" s="3" t="n">
        <v>12</v>
      </c>
      <c r="I1154" s="2" t="n">
        <v>5</v>
      </c>
      <c r="J1154" s="3">
        <f>IFERROR(E1154/H1154,0)</f>
        <v/>
      </c>
      <c r="K1154" s="10">
        <f>E1154/'По разделам'!$B$21</f>
        <v/>
      </c>
      <c r="L1154" s="4">
        <f>L1153+K1154</f>
        <v/>
      </c>
      <c r="M1154" s="2" t="inlineStr">
        <is>
          <t>03682</t>
        </is>
      </c>
      <c r="N1154" s="2" t="inlineStr">
        <is>
          <t>https://app.redstat.kz/niche/03682?event_date=2026-08-01</t>
        </is>
      </c>
      <c r="O1154" s="2" t="inlineStr">
        <is>
          <t>https://kaspi.kz/shop/c/gbo%20kits/</t>
        </is>
      </c>
    </row>
    <row r="1155">
      <c r="A1155" s="2" t="n">
        <v>1154</v>
      </c>
      <c r="B1155" s="2" t="inlineStr">
        <is>
          <t>Операционные системы</t>
        </is>
      </c>
      <c r="C1155" s="2" t="inlineStr">
        <is>
          <t>Компьютеры</t>
        </is>
      </c>
      <c r="D1155" s="2" t="inlineStr">
        <is>
          <t>Компьютеры → Программное обеспечение → Операционные системы</t>
        </is>
      </c>
      <c r="E1155" s="3" t="n">
        <v>3017157</v>
      </c>
      <c r="F1155" s="3" t="n">
        <v>60</v>
      </c>
      <c r="G1155" s="3">
        <f>IFERROR(E1155/F1155,0)</f>
        <v/>
      </c>
      <c r="H1155" s="3" t="n">
        <v>9</v>
      </c>
      <c r="I1155" s="2" t="n">
        <v>1</v>
      </c>
      <c r="J1155" s="3">
        <f>IFERROR(E1155/H1155,0)</f>
        <v/>
      </c>
      <c r="K1155" s="10">
        <f>E1155/'По разделам'!$B$21</f>
        <v/>
      </c>
      <c r="L1155" s="4">
        <f>L1154+K1155</f>
        <v/>
      </c>
      <c r="M1155" s="2" t="inlineStr">
        <is>
          <t>06916</t>
        </is>
      </c>
      <c r="N1155" s="2" t="inlineStr">
        <is>
          <t>https://app.redstat.kz/niche/06916?event_date=2026-08-01</t>
        </is>
      </c>
      <c r="O1155" s="2" t="inlineStr">
        <is>
          <t>https://kaspi.kz/shop/c/operating%20systems/</t>
        </is>
      </c>
    </row>
    <row r="1156">
      <c r="A1156" s="2" t="n">
        <v>1155</v>
      </c>
      <c r="B1156" s="2" t="inlineStr">
        <is>
          <t>Ножницы, кусачки, инструменты</t>
        </is>
      </c>
      <c r="C1156" s="2" t="inlineStr">
        <is>
          <t>Красота и здоровье</t>
        </is>
      </c>
      <c r="D1156" s="2" t="inlineStr">
        <is>
          <t>Красота и здоровье → Для маникюра и педикюра → Инструменты для маникюра и педикюра → Ножницы, кусачки, инструменты</t>
        </is>
      </c>
      <c r="E1156" s="3" t="n">
        <v>3010885</v>
      </c>
      <c r="F1156" s="3" t="n">
        <v>1430</v>
      </c>
      <c r="G1156" s="3">
        <f>IFERROR(E1156/F1156,0)</f>
        <v/>
      </c>
      <c r="H1156" s="3" t="n">
        <v>427</v>
      </c>
      <c r="I1156" s="2" t="n">
        <v>124</v>
      </c>
      <c r="J1156" s="3">
        <f>IFERROR(E1156/H1156,0)</f>
        <v/>
      </c>
      <c r="K1156" s="10">
        <f>E1156/'По разделам'!$B$21</f>
        <v/>
      </c>
      <c r="L1156" s="4">
        <f>L1155+K1156</f>
        <v/>
      </c>
      <c r="M1156" s="2" t="inlineStr">
        <is>
          <t>06547</t>
        </is>
      </c>
      <c r="N1156" s="2" t="inlineStr">
        <is>
          <t>https://app.redstat.kz/niche/06547?event_date=2026-08-01</t>
        </is>
      </c>
      <c r="O1156" s="2" t="inlineStr">
        <is>
          <t>https://kaspi.kz/shop/c/scissors%20tongs%20tools/</t>
        </is>
      </c>
    </row>
    <row r="1157">
      <c r="A1157" s="2" t="n">
        <v>1156</v>
      </c>
      <c r="B1157" s="2" t="inlineStr">
        <is>
          <t>Греющий кабель и комплектующие</t>
        </is>
      </c>
      <c r="C1157" s="2" t="inlineStr">
        <is>
          <t>Строительство, ремонт</t>
        </is>
      </c>
      <c r="D1157" s="2" t="inlineStr">
        <is>
          <t>Строительство, ремонт → Системы отопления → Греющий кабель и комплектующие</t>
        </is>
      </c>
      <c r="E1157" s="3" t="n">
        <v>3010255</v>
      </c>
      <c r="F1157" s="3" t="n">
        <v>128</v>
      </c>
      <c r="G1157" s="3">
        <f>IFERROR(E1157/F1157,0)</f>
        <v/>
      </c>
      <c r="H1157" s="3" t="n">
        <v>47</v>
      </c>
      <c r="I1157" s="2" t="n">
        <v>9</v>
      </c>
      <c r="J1157" s="3">
        <f>IFERROR(E1157/H1157,0)</f>
        <v/>
      </c>
      <c r="K1157" s="10">
        <f>E1157/'По разделам'!$B$21</f>
        <v/>
      </c>
      <c r="L1157" s="4">
        <f>L1156+K1157</f>
        <v/>
      </c>
      <c r="M1157" s="2" t="inlineStr">
        <is>
          <t>06288</t>
        </is>
      </c>
      <c r="N1157" s="2" t="inlineStr">
        <is>
          <t>https://app.redstat.kz/niche/06288?event_date=2026-08-01</t>
        </is>
      </c>
      <c r="O1157" s="2" t="inlineStr">
        <is>
          <t>https://kaspi.kz/shop/c/heating%20cable%20and%20accessories/</t>
        </is>
      </c>
    </row>
    <row r="1158">
      <c r="A1158" s="2" t="n">
        <v>1157</v>
      </c>
      <c r="B1158" s="2" t="inlineStr">
        <is>
          <t>Чехлы для планшетов</t>
        </is>
      </c>
      <c r="C1158" s="2" t="inlineStr">
        <is>
          <t>Компьютеры</t>
        </is>
      </c>
      <c r="D1158" s="2" t="inlineStr">
        <is>
          <t>Компьютеры → Планшеты и аксессуары → Аксессуары для планшетов → Чехлы для планшетов</t>
        </is>
      </c>
      <c r="E1158" s="3" t="n">
        <v>3008738</v>
      </c>
      <c r="F1158" s="3" t="n">
        <v>468</v>
      </c>
      <c r="G1158" s="3">
        <f>IFERROR(E1158/F1158,0)</f>
        <v/>
      </c>
      <c r="H1158" s="3" t="n">
        <v>281</v>
      </c>
      <c r="I1158" s="2" t="n">
        <v>48</v>
      </c>
      <c r="J1158" s="3">
        <f>IFERROR(E1158/H1158,0)</f>
        <v/>
      </c>
      <c r="K1158" s="10">
        <f>E1158/'По разделам'!$B$21</f>
        <v/>
      </c>
      <c r="L1158" s="4">
        <f>L1157+K1158</f>
        <v/>
      </c>
      <c r="M1158" s="2" t="inlineStr">
        <is>
          <t>01864</t>
        </is>
      </c>
      <c r="N1158" s="2" t="inlineStr">
        <is>
          <t>https://app.redstat.kz/niche/01864?event_date=2026-08-01</t>
        </is>
      </c>
      <c r="O1158" s="2" t="inlineStr">
        <is>
          <t>https://kaspi.kz/shop/c/tablet%20cases/</t>
        </is>
      </c>
    </row>
    <row r="1159">
      <c r="A1159" s="2" t="n">
        <v>1158</v>
      </c>
      <c r="B1159" s="2" t="inlineStr">
        <is>
          <t>Автомобильные антенны</t>
        </is>
      </c>
      <c r="C1159" s="2" t="inlineStr">
        <is>
          <t>Автотовары</t>
        </is>
      </c>
      <c r="D1159" s="2" t="inlineStr">
        <is>
          <t>Автотовары → Автоэлектроника → Автомобильные антенны</t>
        </is>
      </c>
      <c r="E1159" s="3" t="n">
        <v>3002761</v>
      </c>
      <c r="F1159" s="3" t="n">
        <v>374</v>
      </c>
      <c r="G1159" s="3">
        <f>IFERROR(E1159/F1159,0)</f>
        <v/>
      </c>
      <c r="H1159" s="3" t="n">
        <v>65</v>
      </c>
      <c r="I1159" s="2" t="n">
        <v>24</v>
      </c>
      <c r="J1159" s="3">
        <f>IFERROR(E1159/H1159,0)</f>
        <v/>
      </c>
      <c r="K1159" s="10">
        <f>E1159/'По разделам'!$B$21</f>
        <v/>
      </c>
      <c r="L1159" s="4">
        <f>L1158+K1159</f>
        <v/>
      </c>
      <c r="M1159" s="2" t="inlineStr">
        <is>
          <t>04006</t>
        </is>
      </c>
      <c r="N1159" s="2" t="inlineStr">
        <is>
          <t>https://app.redstat.kz/niche/04006?event_date=2026-08-01</t>
        </is>
      </c>
      <c r="O1159" s="2" t="inlineStr">
        <is>
          <t>https://kaspi.kz/shop/c/car%20antennas/</t>
        </is>
      </c>
    </row>
    <row r="1160">
      <c r="A1160" s="2" t="n">
        <v>1159</v>
      </c>
      <c r="B1160" s="2" t="inlineStr">
        <is>
          <t>Коврики для автомобиля</t>
        </is>
      </c>
      <c r="C1160" s="2" t="inlineStr">
        <is>
          <t>Автотовары</t>
        </is>
      </c>
      <c r="D1160" s="2" t="inlineStr">
        <is>
          <t>Автотовары → Автоаксессуары → Коврики для автомобиля и аксессуары → Коврики для автомобиля</t>
        </is>
      </c>
      <c r="E1160" s="3" t="n">
        <v>2979973</v>
      </c>
      <c r="F1160" s="3" t="n">
        <v>126</v>
      </c>
      <c r="G1160" s="3">
        <f>IFERROR(E1160/F1160,0)</f>
        <v/>
      </c>
      <c r="H1160" s="3" t="n">
        <v>90</v>
      </c>
      <c r="I1160" s="2" t="n">
        <v>28</v>
      </c>
      <c r="J1160" s="3">
        <f>IFERROR(E1160/H1160,0)</f>
        <v/>
      </c>
      <c r="K1160" s="10">
        <f>E1160/'По разделам'!$B$21</f>
        <v/>
      </c>
      <c r="L1160" s="4">
        <f>L1159+K1160</f>
        <v/>
      </c>
      <c r="M1160" s="2" t="inlineStr">
        <is>
          <t>01248</t>
        </is>
      </c>
      <c r="N1160" s="2" t="inlineStr">
        <is>
          <t>https://app.redstat.kz/niche/01248?event_date=2026-08-01</t>
        </is>
      </c>
      <c r="O1160" s="2" t="inlineStr">
        <is>
          <t>https://kaspi.kz/shop/c/floor%20mats/</t>
        </is>
      </c>
    </row>
    <row r="1161">
      <c r="A1161" s="2" t="n">
        <v>1160</v>
      </c>
      <c r="B1161" s="2" t="inlineStr">
        <is>
          <t>Сушилки для белья</t>
        </is>
      </c>
      <c r="C1161" s="2" t="inlineStr">
        <is>
          <t>Товары для дома и дачи</t>
        </is>
      </c>
      <c r="D1161" s="2" t="inlineStr">
        <is>
          <t>Товары для дома и дачи → Хозяйственные товары → Уход за одеждой → Сушилки для белья</t>
        </is>
      </c>
      <c r="E1161" s="3" t="n">
        <v>2963136</v>
      </c>
      <c r="F1161" s="3" t="n">
        <v>700</v>
      </c>
      <c r="G1161" s="3">
        <f>IFERROR(E1161/F1161,0)</f>
        <v/>
      </c>
      <c r="H1161" s="3" t="n">
        <v>299</v>
      </c>
      <c r="I1161" s="2" t="n">
        <v>90</v>
      </c>
      <c r="J1161" s="3">
        <f>IFERROR(E1161/H1161,0)</f>
        <v/>
      </c>
      <c r="K1161" s="10">
        <f>E1161/'По разделам'!$B$21</f>
        <v/>
      </c>
      <c r="L1161" s="4">
        <f>L1160+K1161</f>
        <v/>
      </c>
      <c r="M1161" s="2" t="inlineStr">
        <is>
          <t>01180</t>
        </is>
      </c>
      <c r="N1161" s="2" t="inlineStr">
        <is>
          <t>https://app.redstat.kz/niche/01180?event_date=2026-08-01</t>
        </is>
      </c>
      <c r="O1161" s="2" t="inlineStr">
        <is>
          <t>https://kaspi.kz/shop/c/drying%20racks/</t>
        </is>
      </c>
    </row>
    <row r="1162">
      <c r="A1162" s="2" t="n">
        <v>1161</v>
      </c>
      <c r="B1162" s="2" t="inlineStr">
        <is>
          <t>Cтенды для проточки тормозных дисков</t>
        </is>
      </c>
      <c r="C1162" s="2" t="inlineStr">
        <is>
          <t>Автотовары</t>
        </is>
      </c>
      <c r="D1162" s="2" t="inlineStr">
        <is>
          <t>Автотовары → Автосервисное оборудование → Cтенды для проточки тормозных дисков</t>
        </is>
      </c>
      <c r="E1162" s="3" t="n">
        <v>2946989</v>
      </c>
      <c r="F1162" s="3" t="n">
        <v>3</v>
      </c>
      <c r="G1162" s="3">
        <f>IFERROR(E1162/F1162,0)</f>
        <v/>
      </c>
      <c r="H1162" s="3" t="n">
        <v>3</v>
      </c>
      <c r="I1162" s="2" t="n">
        <v>2</v>
      </c>
      <c r="J1162" s="3">
        <f>IFERROR(E1162/H1162,0)</f>
        <v/>
      </c>
      <c r="K1162" s="10">
        <f>E1162/'По разделам'!$B$21</f>
        <v/>
      </c>
      <c r="L1162" s="4">
        <f>L1161+K1162</f>
        <v/>
      </c>
      <c r="M1162" s="2" t="inlineStr">
        <is>
          <t>06755</t>
        </is>
      </c>
      <c r="N1162" s="2" t="inlineStr">
        <is>
          <t>https://app.redstat.kz/niche/06755?event_date=2026-08-01</t>
        </is>
      </c>
      <c r="O1162" s="2" t="inlineStr">
        <is>
          <t>https://kaspi.kz/shop/c/stands%20for%20turning%20brake%20discs/</t>
        </is>
      </c>
    </row>
    <row r="1163">
      <c r="A1163" s="2" t="n">
        <v>1162</v>
      </c>
      <c r="B1163" s="2" t="inlineStr">
        <is>
          <t>Инструменты для пирсинга</t>
        </is>
      </c>
      <c r="C1163" s="2" t="inlineStr">
        <is>
          <t>Красота и здоровье</t>
        </is>
      </c>
      <c r="D1163" s="2" t="inlineStr">
        <is>
          <t>Красота и здоровье → Техника и оборудование для красоты → Инструменты для пирсинга</t>
        </is>
      </c>
      <c r="E1163" s="3" t="n">
        <v>2933520</v>
      </c>
      <c r="F1163" s="3" t="n">
        <v>1284</v>
      </c>
      <c r="G1163" s="3">
        <f>IFERROR(E1163/F1163,0)</f>
        <v/>
      </c>
      <c r="H1163" s="3" t="n">
        <v>59</v>
      </c>
      <c r="I1163" s="2" t="n">
        <v>13</v>
      </c>
      <c r="J1163" s="3">
        <f>IFERROR(E1163/H1163,0)</f>
        <v/>
      </c>
      <c r="K1163" s="10">
        <f>E1163/'По разделам'!$B$21</f>
        <v/>
      </c>
      <c r="L1163" s="4">
        <f>L1162+K1163</f>
        <v/>
      </c>
      <c r="M1163" s="2" t="inlineStr">
        <is>
          <t>05718</t>
        </is>
      </c>
      <c r="N1163" s="2" t="inlineStr">
        <is>
          <t>https://app.redstat.kz/niche/05718?event_date=2026-08-01</t>
        </is>
      </c>
      <c r="O1163" s="2" t="inlineStr">
        <is>
          <t>https://kaspi.kz/shop/c/piercing%20tools/</t>
        </is>
      </c>
    </row>
    <row r="1164">
      <c r="A1164" s="2" t="n">
        <v>1163</v>
      </c>
      <c r="B1164" s="2" t="inlineStr">
        <is>
          <t>Спортивные сетки</t>
        </is>
      </c>
      <c r="C1164" s="2" t="inlineStr">
        <is>
          <t>Спорт, туризм</t>
        </is>
      </c>
      <c r="D1164" s="2" t="inlineStr">
        <is>
          <t>Спорт, туризм → Командные виды спорта → Спортивные сетки</t>
        </is>
      </c>
      <c r="E1164" s="3" t="n">
        <v>2928669</v>
      </c>
      <c r="F1164" s="3" t="n">
        <v>389</v>
      </c>
      <c r="G1164" s="3">
        <f>IFERROR(E1164/F1164,0)</f>
        <v/>
      </c>
      <c r="H1164" s="3" t="n">
        <v>85</v>
      </c>
      <c r="I1164" s="2" t="n">
        <v>31</v>
      </c>
      <c r="J1164" s="3">
        <f>IFERROR(E1164/H1164,0)</f>
        <v/>
      </c>
      <c r="K1164" s="10">
        <f>E1164/'По разделам'!$B$21</f>
        <v/>
      </c>
      <c r="L1164" s="4">
        <f>L1163+K1164</f>
        <v/>
      </c>
      <c r="M1164" s="2" t="inlineStr">
        <is>
          <t>03309</t>
        </is>
      </c>
      <c r="N1164" s="2" t="inlineStr">
        <is>
          <t>https://app.redstat.kz/niche/03309?event_date=2026-08-01</t>
        </is>
      </c>
      <c r="O1164" s="2" t="inlineStr">
        <is>
          <t>https://kaspi.kz/shop/c/sports%20nets/</t>
        </is>
      </c>
    </row>
    <row r="1165">
      <c r="A1165" s="2" t="n">
        <v>1164</v>
      </c>
      <c r="B1165" s="2" t="inlineStr">
        <is>
          <t>Удобрения для растений</t>
        </is>
      </c>
      <c r="C1165" s="2" t="inlineStr">
        <is>
          <t>Товары для дома и дачи</t>
        </is>
      </c>
      <c r="D1165" s="2" t="inlineStr">
        <is>
          <t>Товары для дома и дачи → Дача, сад и огород → Грунты и удобрения → Удобрения для растений</t>
        </is>
      </c>
      <c r="E1165" s="3" t="n">
        <v>2920978</v>
      </c>
      <c r="F1165" s="3" t="n">
        <v>1035</v>
      </c>
      <c r="G1165" s="3">
        <f>IFERROR(E1165/F1165,0)</f>
        <v/>
      </c>
      <c r="H1165" s="3" t="n">
        <v>453</v>
      </c>
      <c r="I1165" s="2" t="n">
        <v>122</v>
      </c>
      <c r="J1165" s="3">
        <f>IFERROR(E1165/H1165,0)</f>
        <v/>
      </c>
      <c r="K1165" s="10">
        <f>E1165/'По разделам'!$B$21</f>
        <v/>
      </c>
      <c r="L1165" s="4">
        <f>L1164+K1165</f>
        <v/>
      </c>
      <c r="M1165" s="2" t="inlineStr">
        <is>
          <t>05208</t>
        </is>
      </c>
      <c r="N1165" s="2" t="inlineStr">
        <is>
          <t>https://app.redstat.kz/niche/05208?event_date=2026-08-01</t>
        </is>
      </c>
      <c r="O1165" s="2" t="inlineStr">
        <is>
          <t>https://kaspi.kz/shop/c/plants%20fertilizers/</t>
        </is>
      </c>
    </row>
    <row r="1166">
      <c r="A1166" s="2" t="n">
        <v>1165</v>
      </c>
      <c r="B1166" s="2" t="inlineStr">
        <is>
          <t>Шлепанцы для мальчиков</t>
        </is>
      </c>
      <c r="C1166" s="2" t="inlineStr">
        <is>
          <t>Обувь</t>
        </is>
      </c>
      <c r="D1166" s="2" t="inlineStr">
        <is>
          <t>Обувь → Обувь для мальчиков → Шлепанцы для мальчиков</t>
        </is>
      </c>
      <c r="E1166" s="3" t="n">
        <v>2918041</v>
      </c>
      <c r="F1166" s="3" t="n">
        <v>564</v>
      </c>
      <c r="G1166" s="3">
        <f>IFERROR(E1166/F1166,0)</f>
        <v/>
      </c>
      <c r="H1166" s="3" t="n">
        <v>192</v>
      </c>
      <c r="I1166" s="2" t="n">
        <v>20</v>
      </c>
      <c r="J1166" s="3">
        <f>IFERROR(E1166/H1166,0)</f>
        <v/>
      </c>
      <c r="K1166" s="10">
        <f>E1166/'По разделам'!$B$21</f>
        <v/>
      </c>
      <c r="L1166" s="4">
        <f>L1165+K1166</f>
        <v/>
      </c>
      <c r="M1166" s="2" t="inlineStr">
        <is>
          <t>01782</t>
        </is>
      </c>
      <c r="N1166" s="2" t="inlineStr">
        <is>
          <t>https://app.redstat.kz/niche/01782?event_date=2026-08-01</t>
        </is>
      </c>
      <c r="O1166" s="2" t="inlineStr">
        <is>
          <t>https://kaspi.kz/shop/c/boy%20flip%20flops/</t>
        </is>
      </c>
    </row>
    <row r="1167">
      <c r="A1167" s="2" t="n">
        <v>1166</v>
      </c>
      <c r="B1167" s="2" t="inlineStr">
        <is>
          <t>Гамаки в самолёт, автобус</t>
        </is>
      </c>
      <c r="C1167" s="2" t="inlineStr">
        <is>
          <t>Детские товары</t>
        </is>
      </c>
      <c r="D1167" s="2" t="inlineStr">
        <is>
          <t>Детские товары → Для малыша и мамы → Гамаки в самолёт, автобус</t>
        </is>
      </c>
      <c r="E1167" s="3" t="n">
        <v>2915789</v>
      </c>
      <c r="F1167" s="3" t="n">
        <v>611</v>
      </c>
      <c r="G1167" s="3">
        <f>IFERROR(E1167/F1167,0)</f>
        <v/>
      </c>
      <c r="H1167" s="3" t="n">
        <v>32</v>
      </c>
      <c r="I1167" s="2" t="n">
        <v>12</v>
      </c>
      <c r="J1167" s="3">
        <f>IFERROR(E1167/H1167,0)</f>
        <v/>
      </c>
      <c r="K1167" s="10">
        <f>E1167/'По разделам'!$B$21</f>
        <v/>
      </c>
      <c r="L1167" s="4">
        <f>L1166+K1167</f>
        <v/>
      </c>
      <c r="M1167" s="2" t="inlineStr">
        <is>
          <t>07120</t>
        </is>
      </c>
      <c r="N1167" s="2" t="inlineStr">
        <is>
          <t>https://app.redstat.kz/niche/07120?event_date=2026-08-01</t>
        </is>
      </c>
      <c r="O1167" s="2" t="inlineStr">
        <is>
          <t>https://kaspi.kz/shop/c/hammocks%20on%20the%20plane/</t>
        </is>
      </c>
    </row>
    <row r="1168">
      <c r="A1168" s="2" t="n">
        <v>1167</v>
      </c>
      <c r="B1168" s="2" t="inlineStr">
        <is>
          <t>Картины и постеры</t>
        </is>
      </c>
      <c r="C1168" s="2" t="inlineStr">
        <is>
          <t>Товары для дома и дачи</t>
        </is>
      </c>
      <c r="D1168" s="2" t="inlineStr">
        <is>
          <t>Товары для дома и дачи → Интерьер → Картины, панно и рамки → Картины и постеры</t>
        </is>
      </c>
      <c r="E1168" s="3" t="n">
        <v>2909887</v>
      </c>
      <c r="F1168" s="3" t="n">
        <v>333</v>
      </c>
      <c r="G1168" s="3">
        <f>IFERROR(E1168/F1168,0)</f>
        <v/>
      </c>
      <c r="H1168" s="3" t="n">
        <v>207</v>
      </c>
      <c r="I1168" s="2" t="n">
        <v>48</v>
      </c>
      <c r="J1168" s="3">
        <f>IFERROR(E1168/H1168,0)</f>
        <v/>
      </c>
      <c r="K1168" s="10">
        <f>E1168/'По разделам'!$B$21</f>
        <v/>
      </c>
      <c r="L1168" s="4">
        <f>L1167+K1168</f>
        <v/>
      </c>
      <c r="M1168" s="2" t="inlineStr">
        <is>
          <t>02181</t>
        </is>
      </c>
      <c r="N1168" s="2" t="inlineStr">
        <is>
          <t>https://app.redstat.kz/niche/02181?event_date=2026-08-01</t>
        </is>
      </c>
      <c r="O1168" s="2" t="inlineStr">
        <is>
          <t>https://kaspi.kz/shop/c/paintings%20and%20posters/</t>
        </is>
      </c>
    </row>
    <row r="1169">
      <c r="A1169" s="2" t="n">
        <v>1168</v>
      </c>
      <c r="B1169" s="2" t="inlineStr">
        <is>
          <t>Аксессуары для противоугонных устройств</t>
        </is>
      </c>
      <c r="C1169" s="2" t="inlineStr">
        <is>
          <t>Автотовары</t>
        </is>
      </c>
      <c r="D1169" s="2" t="inlineStr">
        <is>
          <t>Автотовары → Автомобильные противоугонные устройства → Аксессуары для противоугонных устройств</t>
        </is>
      </c>
      <c r="E1169" s="3" t="n">
        <v>2893030</v>
      </c>
      <c r="F1169" s="3" t="n">
        <v>360</v>
      </c>
      <c r="G1169" s="3">
        <f>IFERROR(E1169/F1169,0)</f>
        <v/>
      </c>
      <c r="H1169" s="3" t="n">
        <v>93</v>
      </c>
      <c r="I1169" s="2" t="n">
        <v>27</v>
      </c>
      <c r="J1169" s="3">
        <f>IFERROR(E1169/H1169,0)</f>
        <v/>
      </c>
      <c r="K1169" s="10">
        <f>E1169/'По разделам'!$B$21</f>
        <v/>
      </c>
      <c r="L1169" s="4">
        <f>L1168+K1169</f>
        <v/>
      </c>
      <c r="M1169" s="2" t="inlineStr">
        <is>
          <t>05724</t>
        </is>
      </c>
      <c r="N1169" s="2" t="inlineStr">
        <is>
          <t>https://app.redstat.kz/niche/05724?event_date=2026-08-01</t>
        </is>
      </c>
      <c r="O1169" s="2" t="inlineStr">
        <is>
          <t>https://kaspi.kz/shop/c/anti-theft%20devices%20accessories/</t>
        </is>
      </c>
    </row>
    <row r="1170">
      <c r="A1170" s="2" t="n">
        <v>1169</v>
      </c>
      <c r="B1170" s="2" t="inlineStr">
        <is>
          <t>Съемники пружин</t>
        </is>
      </c>
      <c r="C1170" s="2" t="inlineStr">
        <is>
          <t>Автотовары</t>
        </is>
      </c>
      <c r="D1170" s="2" t="inlineStr">
        <is>
          <t>Автотовары → Автоинструменты → Съемники пружин</t>
        </is>
      </c>
      <c r="E1170" s="3" t="n">
        <v>2876053</v>
      </c>
      <c r="F1170" s="3" t="n">
        <v>123</v>
      </c>
      <c r="G1170" s="3">
        <f>IFERROR(E1170/F1170,0)</f>
        <v/>
      </c>
      <c r="H1170" s="3" t="n">
        <v>29</v>
      </c>
      <c r="I1170" s="2" t="n">
        <v>20</v>
      </c>
      <c r="J1170" s="3">
        <f>IFERROR(E1170/H1170,0)</f>
        <v/>
      </c>
      <c r="K1170" s="10">
        <f>E1170/'По разделам'!$B$21</f>
        <v/>
      </c>
      <c r="L1170" s="4">
        <f>L1169+K1170</f>
        <v/>
      </c>
      <c r="M1170" s="2" t="inlineStr">
        <is>
          <t>04716</t>
        </is>
      </c>
      <c r="N1170" s="2" t="inlineStr">
        <is>
          <t>https://app.redstat.kz/niche/04716?event_date=2026-08-01</t>
        </is>
      </c>
      <c r="O1170" s="2" t="inlineStr">
        <is>
          <t>https://kaspi.kz/shop/c/spring%20removers/</t>
        </is>
      </c>
    </row>
    <row r="1171">
      <c r="A1171" s="2" t="n">
        <v>1170</v>
      </c>
      <c r="B1171" s="2" t="inlineStr">
        <is>
          <t>Проводные телефоны</t>
        </is>
      </c>
      <c r="C1171" s="2" t="inlineStr">
        <is>
          <t>Телефоны и гаджеты</t>
        </is>
      </c>
      <c r="D1171" s="2" t="inlineStr">
        <is>
          <t>Телефоны и гаджеты → Проводные телефоны</t>
        </is>
      </c>
      <c r="E1171" s="3" t="n">
        <v>2864417</v>
      </c>
      <c r="F1171" s="3" t="n">
        <v>421</v>
      </c>
      <c r="G1171" s="3">
        <f>IFERROR(E1171/F1171,0)</f>
        <v/>
      </c>
      <c r="H1171" s="3" t="n">
        <v>58</v>
      </c>
      <c r="I1171" s="2" t="n">
        <v>6</v>
      </c>
      <c r="J1171" s="3">
        <f>IFERROR(E1171/H1171,0)</f>
        <v/>
      </c>
      <c r="K1171" s="10">
        <f>E1171/'По разделам'!$B$21</f>
        <v/>
      </c>
      <c r="L1171" s="4">
        <f>L1170+K1171</f>
        <v/>
      </c>
      <c r="M1171" s="2" t="inlineStr">
        <is>
          <t>03350</t>
        </is>
      </c>
      <c r="N1171" s="2" t="inlineStr">
        <is>
          <t>https://app.redstat.kz/niche/03350?event_date=2026-08-01</t>
        </is>
      </c>
      <c r="O1171" s="2" t="inlineStr">
        <is>
          <t>https://kaspi.kz/shop/c/corded%20phones/</t>
        </is>
      </c>
    </row>
    <row r="1172">
      <c r="A1172" s="2" t="n">
        <v>1171</v>
      </c>
      <c r="B1172" s="2" t="inlineStr">
        <is>
          <t>Аккумуляторы для электросамокатов</t>
        </is>
      </c>
      <c r="C1172" s="2" t="inlineStr">
        <is>
          <t>Спорт, туризм</t>
        </is>
      </c>
      <c r="D1172" s="2" t="inlineStr">
        <is>
          <t>Спорт, туризм → Самокаты, гироскутеры, моноколеса → Аккумуляторы для электросамокатов</t>
        </is>
      </c>
      <c r="E1172" s="3" t="n">
        <v>2837353</v>
      </c>
      <c r="F1172" s="3" t="n">
        <v>84</v>
      </c>
      <c r="G1172" s="3">
        <f>IFERROR(E1172/F1172,0)</f>
        <v/>
      </c>
      <c r="H1172" s="3" t="n">
        <v>17</v>
      </c>
      <c r="I1172" s="2" t="n">
        <v>7</v>
      </c>
      <c r="J1172" s="3">
        <f>IFERROR(E1172/H1172,0)</f>
        <v/>
      </c>
      <c r="K1172" s="10">
        <f>E1172/'По разделам'!$B$21</f>
        <v/>
      </c>
      <c r="L1172" s="4">
        <f>L1171+K1172</f>
        <v/>
      </c>
      <c r="M1172" s="2" t="inlineStr">
        <is>
          <t>02604</t>
        </is>
      </c>
      <c r="N1172" s="2" t="inlineStr">
        <is>
          <t>https://app.redstat.kz/niche/02604?event_date=2026-08-01</t>
        </is>
      </c>
      <c r="O1172" s="2" t="inlineStr">
        <is>
          <t>https://kaspi.kz/shop/c/electric%20scooter%20batteries/</t>
        </is>
      </c>
    </row>
    <row r="1173">
      <c r="A1173" s="2" t="n">
        <v>1172</v>
      </c>
      <c r="B1173" s="2" t="inlineStr">
        <is>
          <t>Датеры, нумераторы, счетчики</t>
        </is>
      </c>
      <c r="C1173" s="2" t="inlineStr">
        <is>
          <t>Канцелярские товары</t>
        </is>
      </c>
      <c r="D1173" s="2" t="inlineStr">
        <is>
          <t>Канцелярские товары → Штемпельные принадлежности → Датеры, нумераторы, счетчики</t>
        </is>
      </c>
      <c r="E1173" s="3" t="n">
        <v>2800594</v>
      </c>
      <c r="F1173" s="3" t="n">
        <v>367</v>
      </c>
      <c r="G1173" s="3">
        <f>IFERROR(E1173/F1173,0)</f>
        <v/>
      </c>
      <c r="H1173" s="3" t="n">
        <v>52</v>
      </c>
      <c r="I1173" s="2" t="n">
        <v>12</v>
      </c>
      <c r="J1173" s="3">
        <f>IFERROR(E1173/H1173,0)</f>
        <v/>
      </c>
      <c r="K1173" s="10">
        <f>E1173/'По разделам'!$B$21</f>
        <v/>
      </c>
      <c r="L1173" s="4">
        <f>L1172+K1173</f>
        <v/>
      </c>
      <c r="M1173" s="2" t="inlineStr">
        <is>
          <t>04257</t>
        </is>
      </c>
      <c r="N1173" s="2" t="inlineStr">
        <is>
          <t>https://app.redstat.kz/niche/04257?event_date=2026-08-01</t>
        </is>
      </c>
      <c r="O1173" s="2" t="inlineStr">
        <is>
          <t>https://kaspi.kz/shop/c/date%20stamps%20and%20numberer%20stamps/</t>
        </is>
      </c>
    </row>
    <row r="1174">
      <c r="A1174" s="2" t="n">
        <v>1173</v>
      </c>
      <c r="B1174" s="2" t="inlineStr">
        <is>
          <t>Фасадные материалы</t>
        </is>
      </c>
      <c r="C1174" s="2" t="inlineStr">
        <is>
          <t>Строительство, ремонт</t>
        </is>
      </c>
      <c r="D1174" s="2" t="inlineStr">
        <is>
          <t>Строительство, ремонт → Кровля, фасад, ворота → Фасадные материалы → Фасадные материалы</t>
        </is>
      </c>
      <c r="E1174" s="3" t="n">
        <v>2799015</v>
      </c>
      <c r="F1174" s="3" t="n">
        <v>42</v>
      </c>
      <c r="G1174" s="3">
        <f>IFERROR(E1174/F1174,0)</f>
        <v/>
      </c>
      <c r="H1174" s="3" t="n">
        <v>24</v>
      </c>
      <c r="I1174" s="2" t="n">
        <v>7</v>
      </c>
      <c r="J1174" s="3">
        <f>IFERROR(E1174/H1174,0)</f>
        <v/>
      </c>
      <c r="K1174" s="10">
        <f>E1174/'По разделам'!$B$21</f>
        <v/>
      </c>
      <c r="L1174" s="4">
        <f>L1173+K1174</f>
        <v/>
      </c>
      <c r="M1174" s="2" t="inlineStr">
        <is>
          <t>q33ff865365f0fcb</t>
        </is>
      </c>
      <c r="N1174" s="2" t="inlineStr">
        <is>
          <t>https://app.redstat.kz/niche/q33ff865365f0fcb?event_date=2026-08-01</t>
        </is>
      </c>
      <c r="O1174" s="2" t="inlineStr"/>
    </row>
    <row r="1175">
      <c r="A1175" s="2" t="n">
        <v>1174</v>
      </c>
      <c r="B1175" s="2" t="inlineStr">
        <is>
          <t>Аксессуары для электромобилей</t>
        </is>
      </c>
      <c r="C1175" s="2" t="inlineStr">
        <is>
          <t>Детские товары</t>
        </is>
      </c>
      <c r="D1175" s="2" t="inlineStr">
        <is>
          <t>Детские товары → Детский транспорт → Аксессуары для электромобилей</t>
        </is>
      </c>
      <c r="E1175" s="3" t="n">
        <v>2778263</v>
      </c>
      <c r="F1175" s="3" t="n">
        <v>293</v>
      </c>
      <c r="G1175" s="3">
        <f>IFERROR(E1175/F1175,0)</f>
        <v/>
      </c>
      <c r="H1175" s="3" t="n">
        <v>33</v>
      </c>
      <c r="I1175" s="2" t="n">
        <v>11</v>
      </c>
      <c r="J1175" s="3">
        <f>IFERROR(E1175/H1175,0)</f>
        <v/>
      </c>
      <c r="K1175" s="10">
        <f>E1175/'По разделам'!$B$21</f>
        <v/>
      </c>
      <c r="L1175" s="4">
        <f>L1174+K1175</f>
        <v/>
      </c>
      <c r="M1175" s="2" t="inlineStr">
        <is>
          <t>06170</t>
        </is>
      </c>
      <c r="N1175" s="2" t="inlineStr">
        <is>
          <t>https://app.redstat.kz/niche/06170?event_date=2026-08-01</t>
        </is>
      </c>
      <c r="O1175" s="2" t="inlineStr">
        <is>
          <t>https://kaspi.kz/shop/c/accessories%20for%20electric%20vehicles/</t>
        </is>
      </c>
    </row>
    <row r="1176">
      <c r="A1176" s="2" t="n">
        <v>1175</v>
      </c>
      <c r="B1176" s="2" t="inlineStr">
        <is>
          <t>IP-телефония и конференц-оборудование</t>
        </is>
      </c>
      <c r="C1176" s="2" t="inlineStr">
        <is>
          <t>Компьютеры</t>
        </is>
      </c>
      <c r="D1176" s="2" t="inlineStr">
        <is>
          <t>Компьютеры → Оргтехника и расходные материалы → IP-телефония и конференц-оборудование → IP-телефония и конференц-оборудование</t>
        </is>
      </c>
      <c r="E1176" s="3" t="n">
        <v>2776805</v>
      </c>
      <c r="F1176" s="3" t="n">
        <v>37</v>
      </c>
      <c r="G1176" s="3">
        <f>IFERROR(E1176/F1176,0)</f>
        <v/>
      </c>
      <c r="H1176" s="3" t="n">
        <v>31</v>
      </c>
      <c r="I1176" s="2" t="n">
        <v>7</v>
      </c>
      <c r="J1176" s="3">
        <f>IFERROR(E1176/H1176,0)</f>
        <v/>
      </c>
      <c r="K1176" s="10">
        <f>E1176/'По разделам'!$B$21</f>
        <v/>
      </c>
      <c r="L1176" s="4">
        <f>L1175+K1176</f>
        <v/>
      </c>
      <c r="M1176" s="2" t="inlineStr">
        <is>
          <t>qbd82ce52c97d644</t>
        </is>
      </c>
      <c r="N1176" s="2" t="inlineStr">
        <is>
          <t>https://app.redstat.kz/niche/qbd82ce52c97d644?event_date=2026-08-01</t>
        </is>
      </c>
      <c r="O1176" s="2" t="inlineStr"/>
    </row>
    <row r="1177">
      <c r="A1177" s="2" t="n">
        <v>1176</v>
      </c>
      <c r="B1177" s="2" t="inlineStr">
        <is>
          <t>Резчики</t>
        </is>
      </c>
      <c r="C1177" s="2" t="inlineStr">
        <is>
          <t>Строительство, ремонт</t>
        </is>
      </c>
      <c r="D1177" s="2" t="inlineStr">
        <is>
          <t>Строительство, ремонт → Строительное оборудование → Резчики → Резчики</t>
        </is>
      </c>
      <c r="E1177" s="3" t="n">
        <v>2767003</v>
      </c>
      <c r="F1177" s="3" t="n">
        <v>7</v>
      </c>
      <c r="G1177" s="3">
        <f>IFERROR(E1177/F1177,0)</f>
        <v/>
      </c>
      <c r="H1177" s="3" t="n">
        <v>6</v>
      </c>
      <c r="I1177" s="2" t="n">
        <v>6</v>
      </c>
      <c r="J1177" s="3">
        <f>IFERROR(E1177/H1177,0)</f>
        <v/>
      </c>
      <c r="K1177" s="10">
        <f>E1177/'По разделам'!$B$21</f>
        <v/>
      </c>
      <c r="L1177" s="4">
        <f>L1176+K1177</f>
        <v/>
      </c>
      <c r="M1177" s="2" t="inlineStr">
        <is>
          <t>qd2550c9376351cf</t>
        </is>
      </c>
      <c r="N1177" s="2" t="inlineStr">
        <is>
          <t>https://app.redstat.kz/niche/qd2550c9376351cf?event_date=2026-08-01</t>
        </is>
      </c>
      <c r="O1177" s="2" t="inlineStr"/>
    </row>
    <row r="1178">
      <c r="A1178" s="2" t="n">
        <v>1177</v>
      </c>
      <c r="B1178" s="2" t="inlineStr">
        <is>
          <t>Мячи для художественной гимнастики</t>
        </is>
      </c>
      <c r="C1178" s="2" t="inlineStr">
        <is>
          <t>Спорт, туризм</t>
        </is>
      </c>
      <c r="D1178" s="2" t="inlineStr">
        <is>
          <t>Спорт, туризм → Художественная гимнастика и танцы → Мячи для художественной гимнастики</t>
        </is>
      </c>
      <c r="E1178" s="3" t="n">
        <v>2747262</v>
      </c>
      <c r="F1178" s="3" t="n">
        <v>225</v>
      </c>
      <c r="G1178" s="3">
        <f>IFERROR(E1178/F1178,0)</f>
        <v/>
      </c>
      <c r="H1178" s="3" t="n">
        <v>107</v>
      </c>
      <c r="I1178" s="2" t="n">
        <v>15</v>
      </c>
      <c r="J1178" s="3">
        <f>IFERROR(E1178/H1178,0)</f>
        <v/>
      </c>
      <c r="K1178" s="10">
        <f>E1178/'По разделам'!$B$21</f>
        <v/>
      </c>
      <c r="L1178" s="4">
        <f>L1177+K1178</f>
        <v/>
      </c>
      <c r="M1178" s="2" t="inlineStr">
        <is>
          <t>04365</t>
        </is>
      </c>
      <c r="N1178" s="2" t="inlineStr">
        <is>
          <t>https://app.redstat.kz/niche/04365?event_date=2026-08-01</t>
        </is>
      </c>
      <c r="O1178" s="2" t="inlineStr">
        <is>
          <t>https://kaspi.kz/shop/c/balls%20for%20rhythmic%20gymnastics/</t>
        </is>
      </c>
    </row>
    <row r="1179">
      <c r="A1179" s="2" t="n">
        <v>1178</v>
      </c>
      <c r="B1179" s="2" t="inlineStr">
        <is>
          <t>Лопаты</t>
        </is>
      </c>
      <c r="C1179" s="2" t="inlineStr">
        <is>
          <t>Строительство, ремонт</t>
        </is>
      </c>
      <c r="D1179" s="2" t="inlineStr">
        <is>
          <t>Строительство, ремонт → Строительный инвентарь → Лопаты</t>
        </is>
      </c>
      <c r="E1179" s="3" t="n">
        <v>2746859</v>
      </c>
      <c r="F1179" s="3" t="n">
        <v>324</v>
      </c>
      <c r="G1179" s="3">
        <f>IFERROR(E1179/F1179,0)</f>
        <v/>
      </c>
      <c r="H1179" s="3" t="n">
        <v>69</v>
      </c>
      <c r="I1179" s="2" t="n">
        <v>24</v>
      </c>
      <c r="J1179" s="3">
        <f>IFERROR(E1179/H1179,0)</f>
        <v/>
      </c>
      <c r="K1179" s="10">
        <f>E1179/'По разделам'!$B$21</f>
        <v/>
      </c>
      <c r="L1179" s="4">
        <f>L1178+K1179</f>
        <v/>
      </c>
      <c r="M1179" s="2" t="inlineStr">
        <is>
          <t>01841</t>
        </is>
      </c>
      <c r="N1179" s="2" t="inlineStr">
        <is>
          <t>https://app.redstat.kz/niche/01841?event_date=2026-08-01</t>
        </is>
      </c>
      <c r="O1179" s="2" t="inlineStr">
        <is>
          <t>https://kaspi.kz/shop/c/shovels/</t>
        </is>
      </c>
    </row>
    <row r="1180">
      <c r="A1180" s="2" t="n">
        <v>1179</v>
      </c>
      <c r="B1180" s="2" t="inlineStr">
        <is>
          <t>Стригальные машины, запчасти</t>
        </is>
      </c>
      <c r="C1180" s="2" t="inlineStr">
        <is>
          <t>Товары для животных</t>
        </is>
      </c>
      <c r="D1180" s="2" t="inlineStr">
        <is>
          <t>Товары для животных → Для сельскохозяйственных животных → Стригальные машины, запчасти</t>
        </is>
      </c>
      <c r="E1180" s="3" t="n">
        <v>2746499</v>
      </c>
      <c r="F1180" s="3" t="n">
        <v>280</v>
      </c>
      <c r="G1180" s="3">
        <f>IFERROR(E1180/F1180,0)</f>
        <v/>
      </c>
      <c r="H1180" s="3" t="n">
        <v>16</v>
      </c>
      <c r="I1180" s="2" t="n">
        <v>8</v>
      </c>
      <c r="J1180" s="3">
        <f>IFERROR(E1180/H1180,0)</f>
        <v/>
      </c>
      <c r="K1180" s="10">
        <f>E1180/'По разделам'!$B$21</f>
        <v/>
      </c>
      <c r="L1180" s="4">
        <f>L1179+K1180</f>
        <v/>
      </c>
      <c r="M1180" s="2" t="inlineStr">
        <is>
          <t>03711</t>
        </is>
      </c>
      <c r="N1180" s="2" t="inlineStr">
        <is>
          <t>https://app.redstat.kz/niche/03711?event_date=2026-08-01</t>
        </is>
      </c>
      <c r="O1180" s="2" t="inlineStr">
        <is>
          <t>https://kaspi.kz/shop/c/shearing%20machines%20spare%20parts/</t>
        </is>
      </c>
    </row>
    <row r="1181">
      <c r="A1181" s="2" t="n">
        <v>1180</v>
      </c>
      <c r="B1181" s="2" t="inlineStr">
        <is>
          <t>Плакаты</t>
        </is>
      </c>
      <c r="C1181" s="2" t="inlineStr">
        <is>
          <t>Канцелярские товары</t>
        </is>
      </c>
      <c r="D1181" s="2" t="inlineStr">
        <is>
          <t>Канцелярские товары → Бумага и бумажная продукция → Плакаты</t>
        </is>
      </c>
      <c r="E1181" s="3" t="n">
        <v>2746284</v>
      </c>
      <c r="F1181" s="3" t="n">
        <v>2318</v>
      </c>
      <c r="G1181" s="3">
        <f>IFERROR(E1181/F1181,0)</f>
        <v/>
      </c>
      <c r="H1181" s="3" t="n">
        <v>220</v>
      </c>
      <c r="I1181" s="2" t="n">
        <v>30</v>
      </c>
      <c r="J1181" s="3">
        <f>IFERROR(E1181/H1181,0)</f>
        <v/>
      </c>
      <c r="K1181" s="10">
        <f>E1181/'По разделам'!$B$21</f>
        <v/>
      </c>
      <c r="L1181" s="4">
        <f>L1180+K1181</f>
        <v/>
      </c>
      <c r="M1181" s="2" t="inlineStr">
        <is>
          <t>04236</t>
        </is>
      </c>
      <c r="N1181" s="2" t="inlineStr">
        <is>
          <t>https://app.redstat.kz/niche/04236?event_date=2026-08-01</t>
        </is>
      </c>
      <c r="O1181" s="2" t="inlineStr">
        <is>
          <t>https://kaspi.kz/shop/c/posters/</t>
        </is>
      </c>
    </row>
    <row r="1182">
      <c r="A1182" s="2" t="n">
        <v>1181</v>
      </c>
      <c r="B1182" s="2" t="inlineStr">
        <is>
          <t>Аксессуары для фаркопов</t>
        </is>
      </c>
      <c r="C1182" s="2" t="inlineStr">
        <is>
          <t>Автотовары</t>
        </is>
      </c>
      <c r="D1182" s="2" t="inlineStr">
        <is>
          <t>Автотовары → Автомобильное оборудование → Аксессуары для фаркопов</t>
        </is>
      </c>
      <c r="E1182" s="3" t="n">
        <v>2742605</v>
      </c>
      <c r="F1182" s="3" t="n">
        <v>193</v>
      </c>
      <c r="G1182" s="3">
        <f>IFERROR(E1182/F1182,0)</f>
        <v/>
      </c>
      <c r="H1182" s="3" t="n">
        <v>51</v>
      </c>
      <c r="I1182" s="2" t="n">
        <v>19</v>
      </c>
      <c r="J1182" s="3">
        <f>IFERROR(E1182/H1182,0)</f>
        <v/>
      </c>
      <c r="K1182" s="10">
        <f>E1182/'По разделам'!$B$21</f>
        <v/>
      </c>
      <c r="L1182" s="4">
        <f>L1181+K1182</f>
        <v/>
      </c>
      <c r="M1182" s="2" t="inlineStr">
        <is>
          <t>06759</t>
        </is>
      </c>
      <c r="N1182" s="2" t="inlineStr">
        <is>
          <t>https://app.redstat.kz/niche/06759?event_date=2026-08-01</t>
        </is>
      </c>
      <c r="O1182" s="2" t="inlineStr">
        <is>
          <t>https://kaspi.kz/shop/c/tow%20hitch%20accessories/</t>
        </is>
      </c>
    </row>
    <row r="1183">
      <c r="A1183" s="2" t="n">
        <v>1182</v>
      </c>
      <c r="B1183" s="2" t="inlineStr">
        <is>
          <t>Стойки для освещения</t>
        </is>
      </c>
      <c r="C1183" s="2" t="inlineStr">
        <is>
          <t>ТВ, Аудио, Видео</t>
        </is>
      </c>
      <c r="D1183" s="2" t="inlineStr">
        <is>
          <t>ТВ, Аудио, Видео → Фото- и видеокамеры → Стойки для освещения</t>
        </is>
      </c>
      <c r="E1183" s="3" t="n">
        <v>2736856</v>
      </c>
      <c r="F1183" s="3" t="n">
        <v>118</v>
      </c>
      <c r="G1183" s="3">
        <f>IFERROR(E1183/F1183,0)</f>
        <v/>
      </c>
      <c r="H1183" s="3" t="n">
        <v>26</v>
      </c>
      <c r="I1183" s="2" t="n">
        <v>12</v>
      </c>
      <c r="J1183" s="3">
        <f>IFERROR(E1183/H1183,0)</f>
        <v/>
      </c>
      <c r="K1183" s="10">
        <f>E1183/'По разделам'!$B$21</f>
        <v/>
      </c>
      <c r="L1183" s="4">
        <f>L1182+K1183</f>
        <v/>
      </c>
      <c r="M1183" s="2" t="inlineStr">
        <is>
          <t>04001</t>
        </is>
      </c>
      <c r="N1183" s="2" t="inlineStr">
        <is>
          <t>https://app.redstat.kz/niche/04001?event_date=2026-08-01</t>
        </is>
      </c>
      <c r="O1183" s="2" t="inlineStr">
        <is>
          <t>https://kaspi.kz/shop/c/lighting%20stands/</t>
        </is>
      </c>
    </row>
    <row r="1184">
      <c r="A1184" s="2" t="n">
        <v>1183</v>
      </c>
      <c r="B1184" s="2" t="inlineStr">
        <is>
          <t>Внешние мониторы для смартфонов</t>
        </is>
      </c>
      <c r="C1184" s="2" t="inlineStr">
        <is>
          <t>Телефоны и гаджеты</t>
        </is>
      </c>
      <c r="D1184" s="2" t="inlineStr">
        <is>
          <t>Телефоны и гаджеты → Аксессуары для телефонов → Внешние мониторы для смартфонов</t>
        </is>
      </c>
      <c r="E1184" s="3" t="n">
        <v>2732661</v>
      </c>
      <c r="F1184" s="3" t="n">
        <v>101</v>
      </c>
      <c r="G1184" s="3">
        <f>IFERROR(E1184/F1184,0)</f>
        <v/>
      </c>
      <c r="H1184" s="3" t="n">
        <v>18</v>
      </c>
      <c r="I1184" s="2" t="n">
        <v>5</v>
      </c>
      <c r="J1184" s="3">
        <f>IFERROR(E1184/H1184,0)</f>
        <v/>
      </c>
      <c r="K1184" s="10">
        <f>E1184/'По разделам'!$B$21</f>
        <v/>
      </c>
      <c r="L1184" s="4">
        <f>L1183+K1184</f>
        <v/>
      </c>
      <c r="M1184" s="2" t="inlineStr">
        <is>
          <t>09234</t>
        </is>
      </c>
      <c r="N1184" s="2" t="inlineStr">
        <is>
          <t>https://app.redstat.kz/niche/09234?event_date=2026-08-01</t>
        </is>
      </c>
      <c r="O1184" s="2" t="inlineStr">
        <is>
          <t>https://kaspi.kz/shop/c/external%20monitors%20for%20smartphones/</t>
        </is>
      </c>
    </row>
    <row r="1185">
      <c r="A1185" s="2" t="n">
        <v>1184</v>
      </c>
      <c r="B1185" s="2" t="inlineStr">
        <is>
          <t>Акустические короба и подиумы для автомобилей</t>
        </is>
      </c>
      <c r="C1185" s="2" t="inlineStr">
        <is>
          <t>Автотовары</t>
        </is>
      </c>
      <c r="D1185" s="2" t="inlineStr">
        <is>
          <t>Автотовары → Автоакустика → Акустические короба и подиумы для автомобилей</t>
        </is>
      </c>
      <c r="E1185" s="3" t="n">
        <v>2713991</v>
      </c>
      <c r="F1185" s="3" t="n">
        <v>134</v>
      </c>
      <c r="G1185" s="3">
        <f>IFERROR(E1185/F1185,0)</f>
        <v/>
      </c>
      <c r="H1185" s="3" t="n">
        <v>74</v>
      </c>
      <c r="I1185" s="2" t="n">
        <v>16</v>
      </c>
      <c r="J1185" s="3">
        <f>IFERROR(E1185/H1185,0)</f>
        <v/>
      </c>
      <c r="K1185" s="10">
        <f>E1185/'По разделам'!$B$21</f>
        <v/>
      </c>
      <c r="L1185" s="4">
        <f>L1184+K1185</f>
        <v/>
      </c>
      <c r="M1185" s="2" t="inlineStr">
        <is>
          <t>04175</t>
        </is>
      </c>
      <c r="N1185" s="2" t="inlineStr">
        <is>
          <t>https://app.redstat.kz/niche/04175?event_date=2026-08-01</t>
        </is>
      </c>
      <c r="O1185" s="2" t="inlineStr">
        <is>
          <t>https://kaspi.kz/shop/c/acoustic%20boxes%20and%20podiums%20for%20cars/</t>
        </is>
      </c>
    </row>
    <row r="1186">
      <c r="A1186" s="2" t="n">
        <v>1185</v>
      </c>
      <c r="B1186" s="2" t="inlineStr">
        <is>
          <t>Купальные костюмы и плавки для мальчиков</t>
        </is>
      </c>
      <c r="C1186" s="2" t="inlineStr">
        <is>
          <t>Одежда</t>
        </is>
      </c>
      <c r="D1186" s="2" t="inlineStr">
        <is>
          <t>Одежда → Мальчикам → Купальные костюмы и плавки для мальчиков</t>
        </is>
      </c>
      <c r="E1186" s="3" t="n">
        <v>2707371</v>
      </c>
      <c r="F1186" s="3" t="n">
        <v>596</v>
      </c>
      <c r="G1186" s="3">
        <f>IFERROR(E1186/F1186,0)</f>
        <v/>
      </c>
      <c r="H1186" s="3" t="n">
        <v>179</v>
      </c>
      <c r="I1186" s="2" t="n">
        <v>22</v>
      </c>
      <c r="J1186" s="3">
        <f>IFERROR(E1186/H1186,0)</f>
        <v/>
      </c>
      <c r="K1186" s="10">
        <f>E1186/'По разделам'!$B$21</f>
        <v/>
      </c>
      <c r="L1186" s="4">
        <f>L1185+K1186</f>
        <v/>
      </c>
      <c r="M1186" s="2" t="inlineStr">
        <is>
          <t>02016</t>
        </is>
      </c>
      <c r="N1186" s="2" t="inlineStr">
        <is>
          <t>https://app.redstat.kz/niche/02016?event_date=2026-08-01</t>
        </is>
      </c>
      <c r="O1186" s="2" t="inlineStr">
        <is>
          <t>https://kaspi.kz/shop/c/boy%20swim%20briefs%20and%20shorts/</t>
        </is>
      </c>
    </row>
    <row r="1187">
      <c r="A1187" s="2" t="n">
        <v>1186</v>
      </c>
      <c r="B1187" s="2" t="inlineStr">
        <is>
          <t>Тренажеры, подушки и ленты для растяжки</t>
        </is>
      </c>
      <c r="C1187" s="2" t="inlineStr">
        <is>
          <t>Спорт, туризм</t>
        </is>
      </c>
      <c r="D1187" s="2" t="inlineStr">
        <is>
          <t>Спорт, туризм → Художественная гимнастика и танцы → Тренажеры, подушки и ленты для растяжки</t>
        </is>
      </c>
      <c r="E1187" s="3" t="n">
        <v>2693607</v>
      </c>
      <c r="F1187" s="3" t="n">
        <v>423</v>
      </c>
      <c r="G1187" s="3">
        <f>IFERROR(E1187/F1187,0)</f>
        <v/>
      </c>
      <c r="H1187" s="3" t="n">
        <v>72</v>
      </c>
      <c r="I1187" s="2" t="n">
        <v>17</v>
      </c>
      <c r="J1187" s="3">
        <f>IFERROR(E1187/H1187,0)</f>
        <v/>
      </c>
      <c r="K1187" s="10">
        <f>E1187/'По разделам'!$B$21</f>
        <v/>
      </c>
      <c r="L1187" s="4">
        <f>L1186+K1187</f>
        <v/>
      </c>
      <c r="M1187" s="2" t="inlineStr">
        <is>
          <t>05779</t>
        </is>
      </c>
      <c r="N1187" s="2" t="inlineStr">
        <is>
          <t>https://app.redstat.kz/niche/05779?event_date=2026-08-01</t>
        </is>
      </c>
      <c r="O1187" s="2" t="inlineStr">
        <is>
          <t>https://kaspi.kz/shop/c/rhythmic%20gymnastics%20equipment%20for%20stretching/</t>
        </is>
      </c>
    </row>
    <row r="1188">
      <c r="A1188" s="2" t="n">
        <v>1187</v>
      </c>
      <c r="B1188" s="2" t="inlineStr">
        <is>
          <t>Юбки для девочек</t>
        </is>
      </c>
      <c r="C1188" s="2" t="inlineStr">
        <is>
          <t>Одежда</t>
        </is>
      </c>
      <c r="D1188" s="2" t="inlineStr">
        <is>
          <t>Одежда → Девочкам → Юбки для девочек</t>
        </is>
      </c>
      <c r="E1188" s="3" t="n">
        <v>2684752</v>
      </c>
      <c r="F1188" s="3" t="n">
        <v>718</v>
      </c>
      <c r="G1188" s="3">
        <f>IFERROR(E1188/F1188,0)</f>
        <v/>
      </c>
      <c r="H1188" s="3" t="n">
        <v>170</v>
      </c>
      <c r="I1188" s="2" t="n">
        <v>19</v>
      </c>
      <c r="J1188" s="3">
        <f>IFERROR(E1188/H1188,0)</f>
        <v/>
      </c>
      <c r="K1188" s="10">
        <f>E1188/'По разделам'!$B$21</f>
        <v/>
      </c>
      <c r="L1188" s="4">
        <f>L1187+K1188</f>
        <v/>
      </c>
      <c r="M1188" s="2" t="inlineStr">
        <is>
          <t>01414</t>
        </is>
      </c>
      <c r="N1188" s="2" t="inlineStr">
        <is>
          <t>https://app.redstat.kz/niche/01414?event_date=2026-08-01</t>
        </is>
      </c>
      <c r="O1188" s="2" t="inlineStr">
        <is>
          <t>https://kaspi.kz/shop/c/girl%20skirts/</t>
        </is>
      </c>
    </row>
    <row r="1189">
      <c r="A1189" s="2" t="n">
        <v>1188</v>
      </c>
      <c r="B1189" s="2" t="inlineStr">
        <is>
          <t>Цифровые фоторамки</t>
        </is>
      </c>
      <c r="C1189" s="2" t="inlineStr">
        <is>
          <t>ТВ, Аудио, Видео</t>
        </is>
      </c>
      <c r="D1189" s="2" t="inlineStr">
        <is>
          <t>ТВ, Аудио, Видео → Фото- и видеокамеры → Цифровые фоторамки</t>
        </is>
      </c>
      <c r="E1189" s="3" t="n">
        <v>2683285</v>
      </c>
      <c r="F1189" s="3" t="n">
        <v>89</v>
      </c>
      <c r="G1189" s="3">
        <f>IFERROR(E1189/F1189,0)</f>
        <v/>
      </c>
      <c r="H1189" s="3" t="n">
        <v>21</v>
      </c>
      <c r="I1189" s="2" t="n">
        <v>8</v>
      </c>
      <c r="J1189" s="3">
        <f>IFERROR(E1189/H1189,0)</f>
        <v/>
      </c>
      <c r="K1189" s="10">
        <f>E1189/'По разделам'!$B$21</f>
        <v/>
      </c>
      <c r="L1189" s="4">
        <f>L1188+K1189</f>
        <v/>
      </c>
      <c r="M1189" s="2" t="inlineStr">
        <is>
          <t>02766</t>
        </is>
      </c>
      <c r="N1189" s="2" t="inlineStr">
        <is>
          <t>https://app.redstat.kz/niche/02766?event_date=2026-08-01</t>
        </is>
      </c>
      <c r="O1189" s="2" t="inlineStr">
        <is>
          <t>https://kaspi.kz/shop/c/digital%20photo%20frames/</t>
        </is>
      </c>
    </row>
    <row r="1190">
      <c r="A1190" s="2" t="n">
        <v>1189</v>
      </c>
      <c r="B1190" s="2" t="inlineStr">
        <is>
          <t>Мотооборудование</t>
        </is>
      </c>
      <c r="C1190" s="2" t="inlineStr">
        <is>
          <t>Автотовары</t>
        </is>
      </c>
      <c r="D1190" s="2" t="inlineStr">
        <is>
          <t>Автотовары → Мототехника → Мотооборудование</t>
        </is>
      </c>
      <c r="E1190" s="3" t="n">
        <v>2669704</v>
      </c>
      <c r="F1190" s="3" t="n">
        <v>63</v>
      </c>
      <c r="G1190" s="3">
        <f>IFERROR(E1190/F1190,0)</f>
        <v/>
      </c>
      <c r="H1190" s="3" t="n">
        <v>18</v>
      </c>
      <c r="I1190" s="2" t="n">
        <v>6</v>
      </c>
      <c r="J1190" s="3">
        <f>IFERROR(E1190/H1190,0)</f>
        <v/>
      </c>
      <c r="K1190" s="10">
        <f>E1190/'По разделам'!$B$21</f>
        <v/>
      </c>
      <c r="L1190" s="4">
        <f>L1189+K1190</f>
        <v/>
      </c>
      <c r="M1190" s="2" t="inlineStr">
        <is>
          <t>07017</t>
        </is>
      </c>
      <c r="N1190" s="2" t="inlineStr">
        <is>
          <t>https://app.redstat.kz/niche/07017?event_date=2026-08-01</t>
        </is>
      </c>
      <c r="O1190" s="2" t="inlineStr">
        <is>
          <t>https://kaspi.kz/shop/c/motorcycle%20equipment/</t>
        </is>
      </c>
    </row>
    <row r="1191">
      <c r="A1191" s="2" t="n">
        <v>1190</v>
      </c>
      <c r="B1191" s="2" t="inlineStr">
        <is>
          <t>Степлеры и антистеплеры</t>
        </is>
      </c>
      <c r="C1191" s="2" t="inlineStr">
        <is>
          <t>Канцелярские товары</t>
        </is>
      </c>
      <c r="D1191" s="2" t="inlineStr">
        <is>
          <t>Канцелярские товары → Офисные принадлежности → Степлеры и антистеплеры</t>
        </is>
      </c>
      <c r="E1191" s="3" t="n">
        <v>2637201</v>
      </c>
      <c r="F1191" s="3" t="n">
        <v>1900</v>
      </c>
      <c r="G1191" s="3">
        <f>IFERROR(E1191/F1191,0)</f>
        <v/>
      </c>
      <c r="H1191" s="3" t="n">
        <v>116</v>
      </c>
      <c r="I1191" s="2" t="n">
        <v>37</v>
      </c>
      <c r="J1191" s="3">
        <f>IFERROR(E1191/H1191,0)</f>
        <v/>
      </c>
      <c r="K1191" s="10">
        <f>E1191/'По разделам'!$B$21</f>
        <v/>
      </c>
      <c r="L1191" s="4">
        <f>L1190+K1191</f>
        <v/>
      </c>
      <c r="M1191" s="2" t="inlineStr">
        <is>
          <t>04283</t>
        </is>
      </c>
      <c r="N1191" s="2" t="inlineStr">
        <is>
          <t>https://app.redstat.kz/niche/04283?event_date=2026-08-01</t>
        </is>
      </c>
      <c r="O1191" s="2" t="inlineStr">
        <is>
          <t>https://kaspi.kz/shop/c/staplers%20and%20staple%20removers/</t>
        </is>
      </c>
    </row>
    <row r="1192">
      <c r="A1192" s="2" t="n">
        <v>1191</v>
      </c>
      <c r="B1192" s="2" t="inlineStr">
        <is>
          <t>Перфорированные уголки, ленты и пластины</t>
        </is>
      </c>
      <c r="C1192" s="2" t="inlineStr">
        <is>
          <t>Строительство, ремонт</t>
        </is>
      </c>
      <c r="D1192" s="2" t="inlineStr">
        <is>
          <t>Строительство, ремонт → Строительный крепеж → Перфорированные уголки, ленты и пластины</t>
        </is>
      </c>
      <c r="E1192" s="3" t="n">
        <v>2631388</v>
      </c>
      <c r="F1192" s="3" t="n">
        <v>692</v>
      </c>
      <c r="G1192" s="3">
        <f>IFERROR(E1192/F1192,0)</f>
        <v/>
      </c>
      <c r="H1192" s="3" t="n">
        <v>111</v>
      </c>
      <c r="I1192" s="2" t="n">
        <v>20</v>
      </c>
      <c r="J1192" s="3">
        <f>IFERROR(E1192/H1192,0)</f>
        <v/>
      </c>
      <c r="K1192" s="10">
        <f>E1192/'По разделам'!$B$21</f>
        <v/>
      </c>
      <c r="L1192" s="4">
        <f>L1191+K1192</f>
        <v/>
      </c>
      <c r="M1192" s="2" t="inlineStr">
        <is>
          <t>06311</t>
        </is>
      </c>
      <c r="N1192" s="2" t="inlineStr">
        <is>
          <t>https://app.redstat.kz/niche/06311?event_date=2026-08-01</t>
        </is>
      </c>
      <c r="O1192" s="2" t="inlineStr">
        <is>
          <t>https://kaspi.kz/shop/c/perforated%20corners%20and%20plates/</t>
        </is>
      </c>
    </row>
    <row r="1193">
      <c r="A1193" s="2" t="n">
        <v>1192</v>
      </c>
      <c r="B1193" s="2" t="inlineStr">
        <is>
          <t>Запчасти и комплектующие для доильных аппаратов</t>
        </is>
      </c>
      <c r="C1193" s="2" t="inlineStr">
        <is>
          <t>Товары для животных</t>
        </is>
      </c>
      <c r="D1193" s="2" t="inlineStr">
        <is>
          <t>Товары для животных → Для сельскохозяйственных животных → Запчасти и комплектующие для доильных аппаратов</t>
        </is>
      </c>
      <c r="E1193" s="3" t="n">
        <v>2630132</v>
      </c>
      <c r="F1193" s="3" t="n">
        <v>323</v>
      </c>
      <c r="G1193" s="3">
        <f>IFERROR(E1193/F1193,0)</f>
        <v/>
      </c>
      <c r="H1193" s="3" t="n">
        <v>82</v>
      </c>
      <c r="I1193" s="2" t="n">
        <v>10</v>
      </c>
      <c r="J1193" s="3">
        <f>IFERROR(E1193/H1193,0)</f>
        <v/>
      </c>
      <c r="K1193" s="10">
        <f>E1193/'По разделам'!$B$21</f>
        <v/>
      </c>
      <c r="L1193" s="4">
        <f>L1192+K1193</f>
        <v/>
      </c>
      <c r="M1193" s="2" t="inlineStr">
        <is>
          <t>05723</t>
        </is>
      </c>
      <c r="N1193" s="2" t="inlineStr">
        <is>
          <t>https://app.redstat.kz/niche/05723?event_date=2026-08-01</t>
        </is>
      </c>
      <c r="O1193" s="2" t="inlineStr">
        <is>
          <t>https://kaspi.kz/shop/c/milking%20machine%20spare%20parts/</t>
        </is>
      </c>
    </row>
    <row r="1194">
      <c r="A1194" s="2" t="n">
        <v>1193</v>
      </c>
      <c r="B1194" s="2" t="inlineStr">
        <is>
          <t>Аккумуляторы для инструментов</t>
        </is>
      </c>
      <c r="C1194" s="2" t="inlineStr">
        <is>
          <t>Строительство, ремонт</t>
        </is>
      </c>
      <c r="D1194" s="2" t="inlineStr">
        <is>
          <t>Строительство, ремонт → Инструменты → Оснастка и расходники для инструмента → Аккумуляторы и зарядные устройства для инструментов → Аккумуляторы для инструментов</t>
        </is>
      </c>
      <c r="E1194" s="3" t="n">
        <v>2620747</v>
      </c>
      <c r="F1194" s="3" t="n">
        <v>624</v>
      </c>
      <c r="G1194" s="3">
        <f>IFERROR(E1194/F1194,0)</f>
        <v/>
      </c>
      <c r="H1194" s="3" t="n">
        <v>247</v>
      </c>
      <c r="I1194" s="2" t="n">
        <v>95</v>
      </c>
      <c r="J1194" s="3">
        <f>IFERROR(E1194/H1194,0)</f>
        <v/>
      </c>
      <c r="K1194" s="10">
        <f>E1194/'По разделам'!$B$21</f>
        <v/>
      </c>
      <c r="L1194" s="4">
        <f>L1193+K1194</f>
        <v/>
      </c>
      <c r="M1194" s="2" t="inlineStr">
        <is>
          <t>06116</t>
        </is>
      </c>
      <c r="N1194" s="2" t="inlineStr">
        <is>
          <t>https://app.redstat.kz/niche/06116?event_date=2026-08-01</t>
        </is>
      </c>
      <c r="O1194" s="2" t="inlineStr">
        <is>
          <t>https://kaspi.kz/shop/c/tool%20batteries/</t>
        </is>
      </c>
    </row>
    <row r="1195">
      <c r="A1195" s="2" t="n">
        <v>1194</v>
      </c>
      <c r="B1195" s="2" t="inlineStr">
        <is>
          <t>Акриловые пудры, гели для наращивания и моделирования</t>
        </is>
      </c>
      <c r="C1195" s="2" t="inlineStr">
        <is>
          <t>Красота и здоровье</t>
        </is>
      </c>
      <c r="D1195" s="2" t="inlineStr">
        <is>
          <t>Красота и здоровье → Для маникюра и педикюра → Система наращивания → Акриловые пудры, гели для наращивания и моделирования</t>
        </is>
      </c>
      <c r="E1195" s="3" t="n">
        <v>2616469</v>
      </c>
      <c r="F1195" s="3" t="n">
        <v>714</v>
      </c>
      <c r="G1195" s="3">
        <f>IFERROR(E1195/F1195,0)</f>
        <v/>
      </c>
      <c r="H1195" s="3" t="n">
        <v>280</v>
      </c>
      <c r="I1195" s="2" t="n">
        <v>62</v>
      </c>
      <c r="J1195" s="3">
        <f>IFERROR(E1195/H1195,0)</f>
        <v/>
      </c>
      <c r="K1195" s="10">
        <f>E1195/'По разделам'!$B$21</f>
        <v/>
      </c>
      <c r="L1195" s="4">
        <f>L1194+K1195</f>
        <v/>
      </c>
      <c r="M1195" s="2" t="inlineStr">
        <is>
          <t>06662</t>
        </is>
      </c>
      <c r="N1195" s="2" t="inlineStr">
        <is>
          <t>https://app.redstat.kz/niche/06662?event_date=2026-08-01</t>
        </is>
      </c>
      <c r="O1195" s="2" t="inlineStr">
        <is>
          <t>https://kaspi.kz/shop/c/acrylic%20powders%20gels%20for%20building%20and%20modeling/</t>
        </is>
      </c>
    </row>
    <row r="1196">
      <c r="A1196" s="2" t="n">
        <v>1195</v>
      </c>
      <c r="B1196" s="2" t="inlineStr">
        <is>
          <t>Терминалы сбора данных</t>
        </is>
      </c>
      <c r="C1196" s="2" t="inlineStr">
        <is>
          <t>Компьютеры</t>
        </is>
      </c>
      <c r="D1196" s="2" t="inlineStr">
        <is>
          <t>Компьютеры → Электронное оборудование для торговли → Терминалы сбора данных</t>
        </is>
      </c>
      <c r="E1196" s="3" t="n">
        <v>2614672</v>
      </c>
      <c r="F1196" s="3" t="n">
        <v>6</v>
      </c>
      <c r="G1196" s="3">
        <f>IFERROR(E1196/F1196,0)</f>
        <v/>
      </c>
      <c r="H1196" s="3" t="n">
        <v>6</v>
      </c>
      <c r="I1196" s="2" t="n">
        <v>6</v>
      </c>
      <c r="J1196" s="3">
        <f>IFERROR(E1196/H1196,0)</f>
        <v/>
      </c>
      <c r="K1196" s="10">
        <f>E1196/'По разделам'!$B$21</f>
        <v/>
      </c>
      <c r="L1196" s="4">
        <f>L1195+K1196</f>
        <v/>
      </c>
      <c r="M1196" s="2" t="inlineStr">
        <is>
          <t>04633</t>
        </is>
      </c>
      <c r="N1196" s="2" t="inlineStr">
        <is>
          <t>https://app.redstat.kz/niche/04633?event_date=2026-08-01</t>
        </is>
      </c>
      <c r="O1196" s="2" t="inlineStr">
        <is>
          <t>https://kaspi.kz/shop/c/data%20collection%20terminals/</t>
        </is>
      </c>
    </row>
    <row r="1197">
      <c r="A1197" s="2" t="n">
        <v>1196</v>
      </c>
      <c r="B1197" s="2" t="inlineStr">
        <is>
          <t>Наборы для фондю</t>
        </is>
      </c>
      <c r="C1197" s="2" t="inlineStr">
        <is>
          <t>Товары для дома и дачи</t>
        </is>
      </c>
      <c r="D1197" s="2" t="inlineStr">
        <is>
          <t>Товары для дома и дачи → Посуда и принадлежности → Сервировка стола → Наборы для фондю</t>
        </is>
      </c>
      <c r="E1197" s="3" t="n">
        <v>2602386</v>
      </c>
      <c r="F1197" s="3" t="n">
        <v>586</v>
      </c>
      <c r="G1197" s="3">
        <f>IFERROR(E1197/F1197,0)</f>
        <v/>
      </c>
      <c r="H1197" s="3" t="n">
        <v>290</v>
      </c>
      <c r="I1197" s="2" t="n">
        <v>118</v>
      </c>
      <c r="J1197" s="3">
        <f>IFERROR(E1197/H1197,0)</f>
        <v/>
      </c>
      <c r="K1197" s="10">
        <f>E1197/'По разделам'!$B$21</f>
        <v/>
      </c>
      <c r="L1197" s="4">
        <f>L1196+K1197</f>
        <v/>
      </c>
      <c r="M1197" s="2" t="inlineStr">
        <is>
          <t>03709</t>
        </is>
      </c>
      <c r="N1197" s="2" t="inlineStr">
        <is>
          <t>https://app.redstat.kz/niche/03709?event_date=2026-08-01</t>
        </is>
      </c>
      <c r="O1197" s="2" t="inlineStr">
        <is>
          <t>https://kaspi.kz/shop/c/fondue%20sets/</t>
        </is>
      </c>
    </row>
    <row r="1198">
      <c r="A1198" s="2" t="n">
        <v>1197</v>
      </c>
      <c r="B1198" s="2" t="inlineStr">
        <is>
          <t>Райдеры</t>
        </is>
      </c>
      <c r="C1198" s="2" t="inlineStr">
        <is>
          <t>Спорт, туризм</t>
        </is>
      </c>
      <c r="D1198" s="2" t="inlineStr">
        <is>
          <t>Спорт, туризм → Тренажеры → Райдеры</t>
        </is>
      </c>
      <c r="E1198" s="3" t="n">
        <v>2562291</v>
      </c>
      <c r="F1198" s="3" t="n">
        <v>12</v>
      </c>
      <c r="G1198" s="3">
        <f>IFERROR(E1198/F1198,0)</f>
        <v/>
      </c>
      <c r="H1198" s="3" t="n">
        <v>9</v>
      </c>
      <c r="I1198" s="2" t="n">
        <v>4</v>
      </c>
      <c r="J1198" s="3">
        <f>IFERROR(E1198/H1198,0)</f>
        <v/>
      </c>
      <c r="K1198" s="10">
        <f>E1198/'По разделам'!$B$21</f>
        <v/>
      </c>
      <c r="L1198" s="4">
        <f>L1197+K1198</f>
        <v/>
      </c>
      <c r="M1198" s="2" t="inlineStr">
        <is>
          <t>06577</t>
        </is>
      </c>
      <c r="N1198" s="2" t="inlineStr">
        <is>
          <t>https://app.redstat.kz/niche/06577?event_date=2026-08-01</t>
        </is>
      </c>
      <c r="O1198" s="2" t="inlineStr">
        <is>
          <t>https://kaspi.kz/shop/c/riders/</t>
        </is>
      </c>
    </row>
    <row r="1199">
      <c r="A1199" s="2" t="n">
        <v>1198</v>
      </c>
      <c r="B1199" s="2" t="inlineStr">
        <is>
          <t>Бадминтон</t>
        </is>
      </c>
      <c r="C1199" s="2" t="inlineStr">
        <is>
          <t>Спорт, туризм</t>
        </is>
      </c>
      <c r="D1199" s="2" t="inlineStr">
        <is>
          <t>Спорт, туризм → Теннис и бадминтон → Бадминтон → Бадминтон</t>
        </is>
      </c>
      <c r="E1199" s="3" t="n">
        <v>2558187</v>
      </c>
      <c r="F1199" s="3" t="n">
        <v>634</v>
      </c>
      <c r="G1199" s="3">
        <f>IFERROR(E1199/F1199,0)</f>
        <v/>
      </c>
      <c r="H1199" s="3" t="n">
        <v>102</v>
      </c>
      <c r="I1199" s="2" t="n">
        <v>31</v>
      </c>
      <c r="J1199" s="3">
        <f>IFERROR(E1199/H1199,0)</f>
        <v/>
      </c>
      <c r="K1199" s="10">
        <f>E1199/'По разделам'!$B$21</f>
        <v/>
      </c>
      <c r="L1199" s="4">
        <f>L1198+K1199</f>
        <v/>
      </c>
      <c r="M1199" s="2" t="inlineStr">
        <is>
          <t>qeb89216ab488634</t>
        </is>
      </c>
      <c r="N1199" s="2" t="inlineStr">
        <is>
          <t>https://app.redstat.kz/niche/qeb89216ab488634?event_date=2026-08-01</t>
        </is>
      </c>
      <c r="O1199" s="2" t="inlineStr"/>
    </row>
    <row r="1200">
      <c r="A1200" s="2" t="n">
        <v>1199</v>
      </c>
      <c r="B1200" s="2" t="inlineStr">
        <is>
          <t>Портативные видеорегистраторы</t>
        </is>
      </c>
      <c r="C1200" s="2" t="inlineStr">
        <is>
          <t>ТВ, Аудио, Видео</t>
        </is>
      </c>
      <c r="D1200" s="2" t="inlineStr">
        <is>
          <t>ТВ, Аудио, Видео → Фото- и видеокамеры → Портативные видеорегистраторы</t>
        </is>
      </c>
      <c r="E1200" s="3" t="n">
        <v>2535529</v>
      </c>
      <c r="F1200" s="3" t="n">
        <v>46</v>
      </c>
      <c r="G1200" s="3">
        <f>IFERROR(E1200/F1200,0)</f>
        <v/>
      </c>
      <c r="H1200" s="3" t="n">
        <v>14</v>
      </c>
      <c r="I1200" s="2" t="n">
        <v>7</v>
      </c>
      <c r="J1200" s="3">
        <f>IFERROR(E1200/H1200,0)</f>
        <v/>
      </c>
      <c r="K1200" s="10">
        <f>E1200/'По разделам'!$B$21</f>
        <v/>
      </c>
      <c r="L1200" s="4">
        <f>L1199+K1200</f>
        <v/>
      </c>
      <c r="M1200" s="2" t="inlineStr">
        <is>
          <t>06806</t>
        </is>
      </c>
      <c r="N1200" s="2" t="inlineStr">
        <is>
          <t>https://app.redstat.kz/niche/06806?event_date=2026-08-01</t>
        </is>
      </c>
      <c r="O1200" s="2" t="inlineStr">
        <is>
          <t>https://kaspi.kz/shop/c/portable%20video%20recorders/</t>
        </is>
      </c>
    </row>
    <row r="1201">
      <c r="A1201" s="2" t="n">
        <v>1200</v>
      </c>
      <c r="B1201" s="2" t="inlineStr">
        <is>
          <t>Пепельницы</t>
        </is>
      </c>
      <c r="C1201" s="2" t="inlineStr">
        <is>
          <t>Товары для дома и дачи</t>
        </is>
      </c>
      <c r="D1201" s="2" t="inlineStr">
        <is>
          <t>Товары для дома и дачи → Интерьер → Пепельницы</t>
        </is>
      </c>
      <c r="E1201" s="3" t="n">
        <v>2524427</v>
      </c>
      <c r="F1201" s="3" t="n">
        <v>708</v>
      </c>
      <c r="G1201" s="3">
        <f>IFERROR(E1201/F1201,0)</f>
        <v/>
      </c>
      <c r="H1201" s="3" t="n">
        <v>144</v>
      </c>
      <c r="I1201" s="2" t="n">
        <v>37</v>
      </c>
      <c r="J1201" s="3">
        <f>IFERROR(E1201/H1201,0)</f>
        <v/>
      </c>
      <c r="K1201" s="10">
        <f>E1201/'По разделам'!$B$21</f>
        <v/>
      </c>
      <c r="L1201" s="4">
        <f>L1200+K1201</f>
        <v/>
      </c>
      <c r="M1201" s="2" t="inlineStr">
        <is>
          <t>03985</t>
        </is>
      </c>
      <c r="N1201" s="2" t="inlineStr">
        <is>
          <t>https://app.redstat.kz/niche/03985?event_date=2026-08-01</t>
        </is>
      </c>
      <c r="O1201" s="2" t="inlineStr">
        <is>
          <t>https://kaspi.kz/shop/c/ashtrays/</t>
        </is>
      </c>
    </row>
    <row r="1202">
      <c r="A1202" s="2" t="n">
        <v>1201</v>
      </c>
      <c r="B1202" s="2" t="inlineStr">
        <is>
          <t>Джинсы для девочек</t>
        </is>
      </c>
      <c r="C1202" s="2" t="inlineStr">
        <is>
          <t>Одежда</t>
        </is>
      </c>
      <c r="D1202" s="2" t="inlineStr">
        <is>
          <t>Одежда → Девочкам → Джинсы для девочек</t>
        </is>
      </c>
      <c r="E1202" s="3" t="n">
        <v>2499057</v>
      </c>
      <c r="F1202" s="3" t="n">
        <v>620</v>
      </c>
      <c r="G1202" s="3">
        <f>IFERROR(E1202/F1202,0)</f>
        <v/>
      </c>
      <c r="H1202" s="3" t="n">
        <v>147</v>
      </c>
      <c r="I1202" s="2" t="n">
        <v>21</v>
      </c>
      <c r="J1202" s="3">
        <f>IFERROR(E1202/H1202,0)</f>
        <v/>
      </c>
      <c r="K1202" s="10">
        <f>E1202/'По разделам'!$B$21</f>
        <v/>
      </c>
      <c r="L1202" s="4">
        <f>L1201+K1202</f>
        <v/>
      </c>
      <c r="M1202" s="2" t="inlineStr">
        <is>
          <t>01513</t>
        </is>
      </c>
      <c r="N1202" s="2" t="inlineStr">
        <is>
          <t>https://app.redstat.kz/niche/01513?event_date=2026-08-01</t>
        </is>
      </c>
      <c r="O1202" s="2" t="inlineStr">
        <is>
          <t>https://kaspi.kz/shop/c/girl%20jeans/</t>
        </is>
      </c>
    </row>
    <row r="1203">
      <c r="A1203" s="2" t="n">
        <v>1202</v>
      </c>
      <c r="B1203" s="2" t="inlineStr">
        <is>
          <t>Строительные растворители</t>
        </is>
      </c>
      <c r="C1203" s="2" t="inlineStr">
        <is>
          <t>Строительство, ремонт</t>
        </is>
      </c>
      <c r="D1203" s="2" t="inlineStr">
        <is>
          <t>Строительство, ремонт → Лакокрасочные материалы → Строительные растворители</t>
        </is>
      </c>
      <c r="E1203" s="3" t="n">
        <v>2489747</v>
      </c>
      <c r="F1203" s="3" t="n">
        <v>524</v>
      </c>
      <c r="G1203" s="3">
        <f>IFERROR(E1203/F1203,0)</f>
        <v/>
      </c>
      <c r="H1203" s="3" t="n">
        <v>65</v>
      </c>
      <c r="I1203" s="2" t="n">
        <v>24</v>
      </c>
      <c r="J1203" s="3">
        <f>IFERROR(E1203/H1203,0)</f>
        <v/>
      </c>
      <c r="K1203" s="10">
        <f>E1203/'По разделам'!$B$21</f>
        <v/>
      </c>
      <c r="L1203" s="4">
        <f>L1202+K1203</f>
        <v/>
      </c>
      <c r="M1203" s="2" t="inlineStr">
        <is>
          <t>02762</t>
        </is>
      </c>
      <c r="N1203" s="2" t="inlineStr">
        <is>
          <t>https://app.redstat.kz/niche/02762?event_date=2026-08-01</t>
        </is>
      </c>
      <c r="O1203" s="2" t="inlineStr">
        <is>
          <t>https://kaspi.kz/shop/c/construction%20solvents/</t>
        </is>
      </c>
    </row>
    <row r="1204">
      <c r="A1204" s="2" t="n">
        <v>1203</v>
      </c>
      <c r="B1204" s="2" t="inlineStr">
        <is>
          <t>Навесное оборудование для внедорожников</t>
        </is>
      </c>
      <c r="C1204" s="2" t="inlineStr">
        <is>
          <t>Автотовары</t>
        </is>
      </c>
      <c r="D1204" s="2" t="inlineStr">
        <is>
          <t>Автотовары → Защита и внешний тюнинг → Навесное оборудование для внедорожников</t>
        </is>
      </c>
      <c r="E1204" s="3" t="n">
        <v>2488995</v>
      </c>
      <c r="F1204" s="3" t="n">
        <v>15</v>
      </c>
      <c r="G1204" s="3">
        <f>IFERROR(E1204/F1204,0)</f>
        <v/>
      </c>
      <c r="H1204" s="3" t="n">
        <v>11</v>
      </c>
      <c r="I1204" s="2" t="n">
        <v>3</v>
      </c>
      <c r="J1204" s="3">
        <f>IFERROR(E1204/H1204,0)</f>
        <v/>
      </c>
      <c r="K1204" s="10">
        <f>E1204/'По разделам'!$B$21</f>
        <v/>
      </c>
      <c r="L1204" s="4">
        <f>L1203+K1204</f>
        <v/>
      </c>
      <c r="M1204" s="2" t="inlineStr">
        <is>
          <t>07055</t>
        </is>
      </c>
      <c r="N1204" s="2" t="inlineStr">
        <is>
          <t>https://app.redstat.kz/niche/07055?event_date=2026-08-01</t>
        </is>
      </c>
      <c r="O1204" s="2" t="inlineStr">
        <is>
          <t>https://kaspi.kz/shop/c/attachments%20for%20suvs/</t>
        </is>
      </c>
    </row>
    <row r="1205">
      <c r="A1205" s="2" t="n">
        <v>1204</v>
      </c>
      <c r="B1205" s="2" t="inlineStr">
        <is>
          <t>Ювелирные весы</t>
        </is>
      </c>
      <c r="C1205" s="2" t="inlineStr">
        <is>
          <t>Украшения</t>
        </is>
      </c>
      <c r="D1205" s="2" t="inlineStr">
        <is>
          <t>Украшения → Ювелирное оборудование, подставки и фурнитура → Ювелирные весы</t>
        </is>
      </c>
      <c r="E1205" s="3" t="n">
        <v>2480017</v>
      </c>
      <c r="F1205" s="3" t="n">
        <v>745</v>
      </c>
      <c r="G1205" s="3">
        <f>IFERROR(E1205/F1205,0)</f>
        <v/>
      </c>
      <c r="H1205" s="3" t="n">
        <v>74</v>
      </c>
      <c r="I1205" s="2" t="n">
        <v>18</v>
      </c>
      <c r="J1205" s="3">
        <f>IFERROR(E1205/H1205,0)</f>
        <v/>
      </c>
      <c r="K1205" s="10">
        <f>E1205/'По разделам'!$B$21</f>
        <v/>
      </c>
      <c r="L1205" s="4">
        <f>L1204+K1205</f>
        <v/>
      </c>
      <c r="M1205" s="2" t="inlineStr">
        <is>
          <t>06346</t>
        </is>
      </c>
      <c r="N1205" s="2" t="inlineStr">
        <is>
          <t>https://app.redstat.kz/niche/06346?event_date=2026-08-01</t>
        </is>
      </c>
      <c r="O1205" s="2" t="inlineStr">
        <is>
          <t>https://kaspi.kz/shop/c/jewelry%20scales/</t>
        </is>
      </c>
    </row>
    <row r="1206">
      <c r="A1206" s="2" t="n">
        <v>1205</v>
      </c>
      <c r="B1206" s="2" t="inlineStr">
        <is>
          <t>Комплектующие и аксессуары для мототехники</t>
        </is>
      </c>
      <c r="C1206" s="2" t="inlineStr">
        <is>
          <t>Автотовары</t>
        </is>
      </c>
      <c r="D1206" s="2" t="inlineStr">
        <is>
          <t>Автотовары → Мототехника → Комплектующие и аксессуары для мототехники</t>
        </is>
      </c>
      <c r="E1206" s="3" t="n">
        <v>2464488</v>
      </c>
      <c r="F1206" s="3" t="n">
        <v>205</v>
      </c>
      <c r="G1206" s="3">
        <f>IFERROR(E1206/F1206,0)</f>
        <v/>
      </c>
      <c r="H1206" s="3" t="n">
        <v>45</v>
      </c>
      <c r="I1206" s="2" t="n">
        <v>17</v>
      </c>
      <c r="J1206" s="3">
        <f>IFERROR(E1206/H1206,0)</f>
        <v/>
      </c>
      <c r="K1206" s="10">
        <f>E1206/'По разделам'!$B$21</f>
        <v/>
      </c>
      <c r="L1206" s="4">
        <f>L1205+K1206</f>
        <v/>
      </c>
      <c r="M1206" s="2" t="inlineStr">
        <is>
          <t>07150</t>
        </is>
      </c>
      <c r="N1206" s="2" t="inlineStr">
        <is>
          <t>https://app.redstat.kz/niche/07150?event_date=2026-08-01</t>
        </is>
      </c>
      <c r="O1206" s="2" t="inlineStr">
        <is>
          <t>https://kaspi.kz/shop/c/components%20and%20accessories%20for%20motor%20vehicles/</t>
        </is>
      </c>
    </row>
    <row r="1207">
      <c r="A1207" s="2" t="n">
        <v>1206</v>
      </c>
      <c r="B1207" s="2" t="inlineStr">
        <is>
          <t>Толстовки для девочек</t>
        </is>
      </c>
      <c r="C1207" s="2" t="inlineStr">
        <is>
          <t>Одежда</t>
        </is>
      </c>
      <c r="D1207" s="2" t="inlineStr">
        <is>
          <t>Одежда → Девочкам → Толстовки для девочек</t>
        </is>
      </c>
      <c r="E1207" s="3" t="n">
        <v>2450067</v>
      </c>
      <c r="F1207" s="3" t="n">
        <v>591</v>
      </c>
      <c r="G1207" s="3">
        <f>IFERROR(E1207/F1207,0)</f>
        <v/>
      </c>
      <c r="H1207" s="3" t="n">
        <v>208</v>
      </c>
      <c r="I1207" s="2" t="n">
        <v>21</v>
      </c>
      <c r="J1207" s="3">
        <f>IFERROR(E1207/H1207,0)</f>
        <v/>
      </c>
      <c r="K1207" s="10">
        <f>E1207/'По разделам'!$B$21</f>
        <v/>
      </c>
      <c r="L1207" s="4">
        <f>L1206+K1207</f>
        <v/>
      </c>
      <c r="M1207" s="2" t="inlineStr">
        <is>
          <t>01252</t>
        </is>
      </c>
      <c r="N1207" s="2" t="inlineStr">
        <is>
          <t>https://app.redstat.kz/niche/01252?event_date=2026-08-01</t>
        </is>
      </c>
      <c r="O1207" s="2" t="inlineStr">
        <is>
          <t>https://kaspi.kz/shop/c/girl%20hoodies/</t>
        </is>
      </c>
    </row>
    <row r="1208">
      <c r="A1208" s="2" t="n">
        <v>1207</v>
      </c>
      <c r="B1208" s="2" t="inlineStr">
        <is>
          <t>Ленты для художественной гимнастики</t>
        </is>
      </c>
      <c r="C1208" s="2" t="inlineStr">
        <is>
          <t>Спорт, туризм</t>
        </is>
      </c>
      <c r="D1208" s="2" t="inlineStr">
        <is>
          <t>Спорт, туризм → Художественная гимнастика и танцы → Ленты для художественной гимнастики</t>
        </is>
      </c>
      <c r="E1208" s="3" t="n">
        <v>2428329</v>
      </c>
      <c r="F1208" s="3" t="n">
        <v>150</v>
      </c>
      <c r="G1208" s="3">
        <f>IFERROR(E1208/F1208,0)</f>
        <v/>
      </c>
      <c r="H1208" s="3" t="n">
        <v>72</v>
      </c>
      <c r="I1208" s="2" t="n">
        <v>10</v>
      </c>
      <c r="J1208" s="3">
        <f>IFERROR(E1208/H1208,0)</f>
        <v/>
      </c>
      <c r="K1208" s="10">
        <f>E1208/'По разделам'!$B$21</f>
        <v/>
      </c>
      <c r="L1208" s="4">
        <f>L1207+K1208</f>
        <v/>
      </c>
      <c r="M1208" s="2" t="inlineStr">
        <is>
          <t>04366</t>
        </is>
      </c>
      <c r="N1208" s="2" t="inlineStr">
        <is>
          <t>https://app.redstat.kz/niche/04366?event_date=2026-08-01</t>
        </is>
      </c>
      <c r="O1208" s="2" t="inlineStr">
        <is>
          <t>https://kaspi.kz/shop/c/ribbons%20or%20rhythmic%20gymnastics/</t>
        </is>
      </c>
    </row>
    <row r="1209">
      <c r="A1209" s="2" t="n">
        <v>1208</v>
      </c>
      <c r="B1209" s="2" t="inlineStr">
        <is>
          <t>Булавы для художественной гимнастики</t>
        </is>
      </c>
      <c r="C1209" s="2" t="inlineStr">
        <is>
          <t>Спорт, туризм</t>
        </is>
      </c>
      <c r="D1209" s="2" t="inlineStr">
        <is>
          <t>Спорт, туризм → Художественная гимнастика и танцы → Булавы для художественной гимнастики</t>
        </is>
      </c>
      <c r="E1209" s="3" t="n">
        <v>2407098</v>
      </c>
      <c r="F1209" s="3" t="n">
        <v>95</v>
      </c>
      <c r="G1209" s="3">
        <f>IFERROR(E1209/F1209,0)</f>
        <v/>
      </c>
      <c r="H1209" s="3" t="n">
        <v>62</v>
      </c>
      <c r="I1209" s="2" t="n">
        <v>8</v>
      </c>
      <c r="J1209" s="3">
        <f>IFERROR(E1209/H1209,0)</f>
        <v/>
      </c>
      <c r="K1209" s="10">
        <f>E1209/'По разделам'!$B$21</f>
        <v/>
      </c>
      <c r="L1209" s="4">
        <f>L1208+K1209</f>
        <v/>
      </c>
      <c r="M1209" s="2" t="inlineStr">
        <is>
          <t>04398</t>
        </is>
      </c>
      <c r="N1209" s="2" t="inlineStr">
        <is>
          <t>https://app.redstat.kz/niche/04398?event_date=2026-08-01</t>
        </is>
      </c>
      <c r="O1209" s="2" t="inlineStr">
        <is>
          <t>https://kaspi.kz/shop/c/clubs%20for%20rhythmic%20gymnastics/</t>
        </is>
      </c>
    </row>
    <row r="1210">
      <c r="A1210" s="2" t="n">
        <v>1209</v>
      </c>
      <c r="B1210" s="2" t="inlineStr">
        <is>
          <t>Кухонные весы</t>
        </is>
      </c>
      <c r="C1210" s="2" t="inlineStr">
        <is>
          <t>Бытовая техника</t>
        </is>
      </c>
      <c r="D1210" s="2" t="inlineStr">
        <is>
          <t>Бытовая техника → Мелкая техника для кухни → Прочая кухонная техника → Кухонные весы</t>
        </is>
      </c>
      <c r="E1210" s="3" t="n">
        <v>2398293</v>
      </c>
      <c r="F1210" s="3" t="n">
        <v>204</v>
      </c>
      <c r="G1210" s="3">
        <f>IFERROR(E1210/F1210,0)</f>
        <v/>
      </c>
      <c r="H1210" s="3" t="n">
        <v>101</v>
      </c>
      <c r="I1210" s="2" t="n">
        <v>52</v>
      </c>
      <c r="J1210" s="3">
        <f>IFERROR(E1210/H1210,0)</f>
        <v/>
      </c>
      <c r="K1210" s="10">
        <f>E1210/'По разделам'!$B$21</f>
        <v/>
      </c>
      <c r="L1210" s="4">
        <f>L1209+K1210</f>
        <v/>
      </c>
      <c r="M1210" s="2" t="inlineStr">
        <is>
          <t>02902</t>
        </is>
      </c>
      <c r="N1210" s="2" t="inlineStr">
        <is>
          <t>https://app.redstat.kz/niche/02902?event_date=2026-08-01</t>
        </is>
      </c>
      <c r="O1210" s="2" t="inlineStr">
        <is>
          <t>https://kaspi.kz/shop/c/kitchen%20scales/</t>
        </is>
      </c>
    </row>
    <row r="1211">
      <c r="A1211" s="2" t="n">
        <v>1210</v>
      </c>
      <c r="B1211" s="2" t="inlineStr">
        <is>
          <t>Дополнительное оборудование для тренажеров</t>
        </is>
      </c>
      <c r="C1211" s="2" t="inlineStr">
        <is>
          <t>Спорт, туризм</t>
        </is>
      </c>
      <c r="D1211" s="2" t="inlineStr">
        <is>
          <t>Спорт, туризм → Тренажеры → Дополнительное оборудование для тренажеров</t>
        </is>
      </c>
      <c r="E1211" s="3" t="n">
        <v>2371330</v>
      </c>
      <c r="F1211" s="3" t="n">
        <v>368</v>
      </c>
      <c r="G1211" s="3">
        <f>IFERROR(E1211/F1211,0)</f>
        <v/>
      </c>
      <c r="H1211" s="3" t="n">
        <v>76</v>
      </c>
      <c r="I1211" s="2" t="n">
        <v>29</v>
      </c>
      <c r="J1211" s="3">
        <f>IFERROR(E1211/H1211,0)</f>
        <v/>
      </c>
      <c r="K1211" s="10">
        <f>E1211/'По разделам'!$B$21</f>
        <v/>
      </c>
      <c r="L1211" s="4">
        <f>L1210+K1211</f>
        <v/>
      </c>
      <c r="M1211" s="2" t="inlineStr">
        <is>
          <t>04831</t>
        </is>
      </c>
      <c r="N1211" s="2" t="inlineStr">
        <is>
          <t>https://app.redstat.kz/niche/04831?event_date=2026-08-01</t>
        </is>
      </c>
      <c r="O1211" s="2" t="inlineStr">
        <is>
          <t>https://kaspi.kz/shop/c/additional%20equipment%20for%20trainers/</t>
        </is>
      </c>
    </row>
    <row r="1212">
      <c r="A1212" s="2" t="n">
        <v>1211</v>
      </c>
      <c r="B1212" s="2" t="inlineStr">
        <is>
          <t>Шноркели для внедорожников</t>
        </is>
      </c>
      <c r="C1212" s="2" t="inlineStr">
        <is>
          <t>Автотовары</t>
        </is>
      </c>
      <c r="D1212" s="2" t="inlineStr">
        <is>
          <t>Автотовары → Защита и внешний тюнинг → Шноркели для внедорожников</t>
        </is>
      </c>
      <c r="E1212" s="3" t="n">
        <v>2370776</v>
      </c>
      <c r="F1212" s="3" t="n">
        <v>42</v>
      </c>
      <c r="G1212" s="3">
        <f>IFERROR(E1212/F1212,0)</f>
        <v/>
      </c>
      <c r="H1212" s="3" t="n">
        <v>23</v>
      </c>
      <c r="I1212" s="2" t="n">
        <v>5</v>
      </c>
      <c r="J1212" s="3">
        <f>IFERROR(E1212/H1212,0)</f>
        <v/>
      </c>
      <c r="K1212" s="10">
        <f>E1212/'По разделам'!$B$21</f>
        <v/>
      </c>
      <c r="L1212" s="4">
        <f>L1211+K1212</f>
        <v/>
      </c>
      <c r="M1212" s="2" t="inlineStr">
        <is>
          <t>02293</t>
        </is>
      </c>
      <c r="N1212" s="2" t="inlineStr">
        <is>
          <t>https://app.redstat.kz/niche/02293?event_date=2026-08-01</t>
        </is>
      </c>
      <c r="O1212" s="2" t="inlineStr">
        <is>
          <t>https://kaspi.kz/shop/c/snorkels%20for%20suvs/</t>
        </is>
      </c>
    </row>
    <row r="1213">
      <c r="A1213" s="2" t="n">
        <v>1212</v>
      </c>
      <c r="B1213" s="2" t="inlineStr">
        <is>
          <t>Зубочистки</t>
        </is>
      </c>
      <c r="C1213" s="2" t="inlineStr">
        <is>
          <t>Товары для дома и дачи</t>
        </is>
      </c>
      <c r="D1213" s="2" t="inlineStr">
        <is>
          <t>Товары для дома и дачи → Хозяйственные товары → Зубочистки</t>
        </is>
      </c>
      <c r="E1213" s="3" t="n">
        <v>2369120</v>
      </c>
      <c r="F1213" s="3" t="n">
        <v>2740</v>
      </c>
      <c r="G1213" s="3">
        <f>IFERROR(E1213/F1213,0)</f>
        <v/>
      </c>
      <c r="H1213" s="3" t="n">
        <v>120</v>
      </c>
      <c r="I1213" s="2" t="n">
        <v>29</v>
      </c>
      <c r="J1213" s="3">
        <f>IFERROR(E1213/H1213,0)</f>
        <v/>
      </c>
      <c r="K1213" s="10">
        <f>E1213/'По разделам'!$B$21</f>
        <v/>
      </c>
      <c r="L1213" s="4">
        <f>L1212+K1213</f>
        <v/>
      </c>
      <c r="M1213" s="2" t="inlineStr">
        <is>
          <t>03987</t>
        </is>
      </c>
      <c r="N1213" s="2" t="inlineStr">
        <is>
          <t>https://app.redstat.kz/niche/03987?event_date=2026-08-01</t>
        </is>
      </c>
      <c r="O1213" s="2" t="inlineStr">
        <is>
          <t>https://kaspi.kz/shop/c/toothpicks/</t>
        </is>
      </c>
    </row>
    <row r="1214">
      <c r="A1214" s="2" t="n">
        <v>1213</v>
      </c>
      <c r="B1214" s="2" t="inlineStr">
        <is>
          <t>Кондиционеры и ополаскиватели для белья</t>
        </is>
      </c>
      <c r="C1214" s="2" t="inlineStr">
        <is>
          <t>Товары для дома и дачи</t>
        </is>
      </c>
      <c r="D1214" s="2" t="inlineStr">
        <is>
          <t>Товары для дома и дачи → Бытовая химия → Средства для стирки → Кондиционеры и ополаскиватели для белья</t>
        </is>
      </c>
      <c r="E1214" s="3" t="n">
        <v>2347476</v>
      </c>
      <c r="F1214" s="3" t="n">
        <v>678</v>
      </c>
      <c r="G1214" s="3">
        <f>IFERROR(E1214/F1214,0)</f>
        <v/>
      </c>
      <c r="H1214" s="3" t="n">
        <v>234</v>
      </c>
      <c r="I1214" s="2" t="n">
        <v>144</v>
      </c>
      <c r="J1214" s="3">
        <f>IFERROR(E1214/H1214,0)</f>
        <v/>
      </c>
      <c r="K1214" s="10">
        <f>E1214/'По разделам'!$B$21</f>
        <v/>
      </c>
      <c r="L1214" s="4">
        <f>L1213+K1214</f>
        <v/>
      </c>
      <c r="M1214" s="2" t="inlineStr">
        <is>
          <t>02616</t>
        </is>
      </c>
      <c r="N1214" s="2" t="inlineStr">
        <is>
          <t>https://app.redstat.kz/niche/02616?event_date=2026-08-01</t>
        </is>
      </c>
      <c r="O1214" s="2" t="inlineStr">
        <is>
          <t>https://kaspi.kz/shop/c/fabric%20conditioners%20and%20softeners/</t>
        </is>
      </c>
    </row>
    <row r="1215">
      <c r="A1215" s="2" t="n">
        <v>1214</v>
      </c>
      <c r="B1215" s="2" t="inlineStr">
        <is>
          <t>Сапоги для малышей</t>
        </is>
      </c>
      <c r="C1215" s="2" t="inlineStr">
        <is>
          <t>Обувь</t>
        </is>
      </c>
      <c r="D1215" s="2" t="inlineStr">
        <is>
          <t>Обувь → Обувь для малышей → Сапоги для малышей</t>
        </is>
      </c>
      <c r="E1215" s="3" t="n">
        <v>2325210</v>
      </c>
      <c r="F1215" s="3" t="n">
        <v>171</v>
      </c>
      <c r="G1215" s="3">
        <f>IFERROR(E1215/F1215,0)</f>
        <v/>
      </c>
      <c r="H1215" s="3" t="n">
        <v>88</v>
      </c>
      <c r="I1215" s="2" t="n">
        <v>16</v>
      </c>
      <c r="J1215" s="3">
        <f>IFERROR(E1215/H1215,0)</f>
        <v/>
      </c>
      <c r="K1215" s="10">
        <f>E1215/'По разделам'!$B$21</f>
        <v/>
      </c>
      <c r="L1215" s="4">
        <f>L1214+K1215</f>
        <v/>
      </c>
      <c r="M1215" s="2" t="inlineStr">
        <is>
          <t>07251</t>
        </is>
      </c>
      <c r="N1215" s="2" t="inlineStr">
        <is>
          <t>https://app.redstat.kz/niche/07251?event_date=2026-08-01</t>
        </is>
      </c>
      <c r="O1215" s="2" t="inlineStr">
        <is>
          <t>https://kaspi.kz/shop/c/knee%20boots%20for%20babies/</t>
        </is>
      </c>
    </row>
    <row r="1216">
      <c r="A1216" s="2" t="n">
        <v>1215</v>
      </c>
      <c r="B1216" s="2" t="inlineStr">
        <is>
          <t>Доски Садху</t>
        </is>
      </c>
      <c r="C1216" s="2" t="inlineStr">
        <is>
          <t>Спорт, туризм</t>
        </is>
      </c>
      <c r="D1216" s="2" t="inlineStr">
        <is>
          <t>Спорт, туризм → Йога и пилатес → Доски Садху</t>
        </is>
      </c>
      <c r="E1216" s="3" t="n">
        <v>2313378</v>
      </c>
      <c r="F1216" s="3" t="n">
        <v>245</v>
      </c>
      <c r="G1216" s="3">
        <f>IFERROR(E1216/F1216,0)</f>
        <v/>
      </c>
      <c r="H1216" s="3" t="n">
        <v>29</v>
      </c>
      <c r="I1216" s="2" t="n">
        <v>3</v>
      </c>
      <c r="J1216" s="3">
        <f>IFERROR(E1216/H1216,0)</f>
        <v/>
      </c>
      <c r="K1216" s="10">
        <f>E1216/'По разделам'!$B$21</f>
        <v/>
      </c>
      <c r="L1216" s="4">
        <f>L1215+K1216</f>
        <v/>
      </c>
      <c r="M1216" s="2" t="inlineStr">
        <is>
          <t>04828</t>
        </is>
      </c>
      <c r="N1216" s="2" t="inlineStr">
        <is>
          <t>https://app.redstat.kz/niche/04828?event_date=2026-08-01</t>
        </is>
      </c>
      <c r="O1216" s="2" t="inlineStr">
        <is>
          <t>https://kaspi.kz/shop/c/sadhu%20boards/</t>
        </is>
      </c>
    </row>
    <row r="1217">
      <c r="A1217" s="2" t="n">
        <v>1216</v>
      </c>
      <c r="B1217" s="2" t="inlineStr">
        <is>
          <t>Ключи и головки для лямбда-зонда</t>
        </is>
      </c>
      <c r="C1217" s="2" t="inlineStr">
        <is>
          <t>Автотовары</t>
        </is>
      </c>
      <c r="D1217" s="2" t="inlineStr">
        <is>
          <t>Автотовары → Автоинструменты → Ключи и головки для лямбда-зонда</t>
        </is>
      </c>
      <c r="E1217" s="3" t="n">
        <v>2305230</v>
      </c>
      <c r="F1217" s="3" t="n">
        <v>200</v>
      </c>
      <c r="G1217" s="3">
        <f>IFERROR(E1217/F1217,0)</f>
        <v/>
      </c>
      <c r="H1217" s="3" t="n">
        <v>8</v>
      </c>
      <c r="I1217" s="2" t="n">
        <v>3</v>
      </c>
      <c r="J1217" s="3">
        <f>IFERROR(E1217/H1217,0)</f>
        <v/>
      </c>
      <c r="K1217" s="10">
        <f>E1217/'По разделам'!$B$21</f>
        <v/>
      </c>
      <c r="L1217" s="4">
        <f>L1216+K1217</f>
        <v/>
      </c>
      <c r="M1217" s="2" t="inlineStr">
        <is>
          <t>05549</t>
        </is>
      </c>
      <c r="N1217" s="2" t="inlineStr">
        <is>
          <t>https://app.redstat.kz/niche/05549?event_date=2026-08-01</t>
        </is>
      </c>
      <c r="O1217" s="2" t="inlineStr">
        <is>
          <t>https://kaspi.kz/shop/c/keys%20and%20heads%20for%20lambda%20probe/</t>
        </is>
      </c>
    </row>
    <row r="1218">
      <c r="A1218" s="2" t="n">
        <v>1217</v>
      </c>
      <c r="B1218" s="2" t="inlineStr">
        <is>
          <t>Аксессуары для зубных щеток</t>
        </is>
      </c>
      <c r="C1218" s="2" t="inlineStr">
        <is>
          <t>Красота и здоровье</t>
        </is>
      </c>
      <c r="D1218" s="2" t="inlineStr">
        <is>
          <t>Красота и здоровье → Уход за полостью рта → Аксессуары для зубных щеток</t>
        </is>
      </c>
      <c r="E1218" s="3" t="n">
        <v>2294689</v>
      </c>
      <c r="F1218" s="3" t="n">
        <v>3068</v>
      </c>
      <c r="G1218" s="3">
        <f>IFERROR(E1218/F1218,0)</f>
        <v/>
      </c>
      <c r="H1218" s="3" t="n">
        <v>129</v>
      </c>
      <c r="I1218" s="2" t="n">
        <v>25</v>
      </c>
      <c r="J1218" s="3">
        <f>IFERROR(E1218/H1218,0)</f>
        <v/>
      </c>
      <c r="K1218" s="10">
        <f>E1218/'По разделам'!$B$21</f>
        <v/>
      </c>
      <c r="L1218" s="4">
        <f>L1217+K1218</f>
        <v/>
      </c>
      <c r="M1218" s="2" t="inlineStr">
        <is>
          <t>07026</t>
        </is>
      </c>
      <c r="N1218" s="2" t="inlineStr">
        <is>
          <t>https://app.redstat.kz/niche/07026?event_date=2026-08-01</t>
        </is>
      </c>
      <c r="O1218" s="2" t="inlineStr">
        <is>
          <t>https://kaspi.kz/shop/c/toothbrush%20accessories/</t>
        </is>
      </c>
    </row>
    <row r="1219">
      <c r="A1219" s="2" t="n">
        <v>1218</v>
      </c>
      <c r="B1219" s="2" t="inlineStr">
        <is>
          <t>Приборы для регулировки и проверки света фар</t>
        </is>
      </c>
      <c r="C1219" s="2" t="inlineStr">
        <is>
          <t>Автотовары</t>
        </is>
      </c>
      <c r="D1219" s="2" t="inlineStr">
        <is>
          <t>Автотовары → Автосервисное оборудование → Приборы для регулировки и проверки света фар</t>
        </is>
      </c>
      <c r="E1219" s="3" t="n">
        <v>2292975</v>
      </c>
      <c r="F1219" s="3" t="n">
        <v>5</v>
      </c>
      <c r="G1219" s="3">
        <f>IFERROR(E1219/F1219,0)</f>
        <v/>
      </c>
      <c r="H1219" s="3" t="n">
        <v>2</v>
      </c>
      <c r="I1219" s="2" t="n">
        <v>1</v>
      </c>
      <c r="J1219" s="3">
        <f>IFERROR(E1219/H1219,0)</f>
        <v/>
      </c>
      <c r="K1219" s="10">
        <f>E1219/'По разделам'!$B$21</f>
        <v/>
      </c>
      <c r="L1219" s="4">
        <f>L1218+K1219</f>
        <v/>
      </c>
      <c r="M1219" s="2" t="inlineStr">
        <is>
          <t>05413</t>
        </is>
      </c>
      <c r="N1219" s="2" t="inlineStr">
        <is>
          <t>https://app.redstat.kz/niche/05413?event_date=2026-08-01</t>
        </is>
      </c>
      <c r="O1219" s="2" t="inlineStr">
        <is>
          <t>https://kaspi.kz/shop/c/devices%20for%20adjusting%20and%20checking%20headlights/</t>
        </is>
      </c>
    </row>
    <row r="1220">
      <c r="A1220" s="2" t="n">
        <v>1219</v>
      </c>
      <c r="B1220" s="2" t="inlineStr">
        <is>
          <t>Колеровочные средства</t>
        </is>
      </c>
      <c r="C1220" s="2" t="inlineStr">
        <is>
          <t>Строительство, ремонт</t>
        </is>
      </c>
      <c r="D1220" s="2" t="inlineStr">
        <is>
          <t>Строительство, ремонт → Лакокрасочные материалы → Колеровочные средства</t>
        </is>
      </c>
      <c r="E1220" s="3" t="n">
        <v>2277373</v>
      </c>
      <c r="F1220" s="3" t="n">
        <v>914</v>
      </c>
      <c r="G1220" s="3">
        <f>IFERROR(E1220/F1220,0)</f>
        <v/>
      </c>
      <c r="H1220" s="3" t="n">
        <v>122</v>
      </c>
      <c r="I1220" s="2" t="n">
        <v>11</v>
      </c>
      <c r="J1220" s="3">
        <f>IFERROR(E1220/H1220,0)</f>
        <v/>
      </c>
      <c r="K1220" s="10">
        <f>E1220/'По разделам'!$B$21</f>
        <v/>
      </c>
      <c r="L1220" s="4">
        <f>L1219+K1220</f>
        <v/>
      </c>
      <c r="M1220" s="2" t="inlineStr">
        <is>
          <t>03285</t>
        </is>
      </c>
      <c r="N1220" s="2" t="inlineStr">
        <is>
          <t>https://app.redstat.kz/niche/03285?event_date=2026-08-01</t>
        </is>
      </c>
      <c r="O1220" s="2" t="inlineStr">
        <is>
          <t>https://kaspi.kz/shop/c/tinting%20agents/</t>
        </is>
      </c>
    </row>
    <row r="1221">
      <c r="A1221" s="2" t="n">
        <v>1220</v>
      </c>
      <c r="B1221" s="2" t="inlineStr">
        <is>
          <t>Маслораздаточные установки и нагнетатели смазки</t>
        </is>
      </c>
      <c r="C1221" s="2" t="inlineStr">
        <is>
          <t>Автотовары</t>
        </is>
      </c>
      <c r="D1221" s="2" t="inlineStr">
        <is>
          <t>Автотовары → Автосервисное оборудование → Маслораздаточные установки и нагнетатели смазки</t>
        </is>
      </c>
      <c r="E1221" s="3" t="n">
        <v>2268560</v>
      </c>
      <c r="F1221" s="3" t="n">
        <v>52</v>
      </c>
      <c r="G1221" s="3">
        <f>IFERROR(E1221/F1221,0)</f>
        <v/>
      </c>
      <c r="H1221" s="3" t="n">
        <v>26</v>
      </c>
      <c r="I1221" s="2" t="n">
        <v>15</v>
      </c>
      <c r="J1221" s="3">
        <f>IFERROR(E1221/H1221,0)</f>
        <v/>
      </c>
      <c r="K1221" s="10">
        <f>E1221/'По разделам'!$B$21</f>
        <v/>
      </c>
      <c r="L1221" s="4">
        <f>L1220+K1221</f>
        <v/>
      </c>
      <c r="M1221" s="2" t="inlineStr">
        <is>
          <t>04386</t>
        </is>
      </c>
      <c r="N1221" s="2" t="inlineStr">
        <is>
          <t>https://app.redstat.kz/niche/04386?event_date=2026-08-01</t>
        </is>
      </c>
      <c r="O1221" s="2" t="inlineStr">
        <is>
          <t>https://kaspi.kz/shop/c/oil%20dispensers%20and%20lubrication%20blowers/</t>
        </is>
      </c>
    </row>
    <row r="1222">
      <c r="A1222" s="2" t="n">
        <v>1221</v>
      </c>
      <c r="B1222" s="2" t="inlineStr">
        <is>
          <t>Гигиена сельскохозяйственных животных</t>
        </is>
      </c>
      <c r="C1222" s="2" t="inlineStr">
        <is>
          <t>Товары для животных</t>
        </is>
      </c>
      <c r="D1222" s="2" t="inlineStr">
        <is>
          <t>Товары для животных → Для сельскохозяйственных животных → Гигиена сельскохозяйственных животных → Гигиена сельскохозяйственных животных</t>
        </is>
      </c>
      <c r="E1222" s="3" t="n">
        <v>2260603</v>
      </c>
      <c r="F1222" s="3" t="n">
        <v>644</v>
      </c>
      <c r="G1222" s="3">
        <f>IFERROR(E1222/F1222,0)</f>
        <v/>
      </c>
      <c r="H1222" s="3" t="n">
        <v>41</v>
      </c>
      <c r="I1222" s="2" t="n">
        <v>15</v>
      </c>
      <c r="J1222" s="3">
        <f>IFERROR(E1222/H1222,0)</f>
        <v/>
      </c>
      <c r="K1222" s="10">
        <f>E1222/'По разделам'!$B$21</f>
        <v/>
      </c>
      <c r="L1222" s="4">
        <f>L1221+K1222</f>
        <v/>
      </c>
      <c r="M1222" s="2" t="inlineStr">
        <is>
          <t>q38cae91da101244</t>
        </is>
      </c>
      <c r="N1222" s="2" t="inlineStr">
        <is>
          <t>https://app.redstat.kz/niche/q38cae91da101244?event_date=2026-08-01</t>
        </is>
      </c>
      <c r="O1222" s="2" t="inlineStr"/>
    </row>
    <row r="1223">
      <c r="A1223" s="2" t="n">
        <v>1222</v>
      </c>
      <c r="B1223" s="2" t="inlineStr">
        <is>
          <t>Смарт-линзы для смартфонов</t>
        </is>
      </c>
      <c r="C1223" s="2" t="inlineStr">
        <is>
          <t>Телефоны и гаджеты</t>
        </is>
      </c>
      <c r="D1223" s="2" t="inlineStr">
        <is>
          <t>Телефоны и гаджеты → Аксессуары для телефонов → Смарт-линзы для смартфонов</t>
        </is>
      </c>
      <c r="E1223" s="3" t="n">
        <v>2252940</v>
      </c>
      <c r="F1223" s="3" t="n">
        <v>336</v>
      </c>
      <c r="G1223" s="3">
        <f>IFERROR(E1223/F1223,0)</f>
        <v/>
      </c>
      <c r="H1223" s="3" t="n">
        <v>45</v>
      </c>
      <c r="I1223" s="2" t="n">
        <v>12</v>
      </c>
      <c r="J1223" s="3">
        <f>IFERROR(E1223/H1223,0)</f>
        <v/>
      </c>
      <c r="K1223" s="10">
        <f>E1223/'По разделам'!$B$21</f>
        <v/>
      </c>
      <c r="L1223" s="4">
        <f>L1222+K1223</f>
        <v/>
      </c>
      <c r="M1223" s="2" t="inlineStr">
        <is>
          <t>04056</t>
        </is>
      </c>
      <c r="N1223" s="2" t="inlineStr">
        <is>
          <t>https://app.redstat.kz/niche/04056?event_date=2026-08-01</t>
        </is>
      </c>
      <c r="O1223" s="2" t="inlineStr">
        <is>
          <t>https://kaspi.kz/shop/c/smart%20lenses%20for%20smartphones/</t>
        </is>
      </c>
    </row>
    <row r="1224">
      <c r="A1224" s="2" t="n">
        <v>1223</v>
      </c>
      <c r="B1224" s="2" t="inlineStr">
        <is>
          <t>Страховочные системы</t>
        </is>
      </c>
      <c r="C1224" s="2" t="inlineStr">
        <is>
          <t>Спорт, туризм</t>
        </is>
      </c>
      <c r="D1224" s="2" t="inlineStr">
        <is>
          <t>Спорт, туризм → Альпинизм и скалолазание → Страховочные системы</t>
        </is>
      </c>
      <c r="E1224" s="3" t="n">
        <v>2243650</v>
      </c>
      <c r="F1224" s="3" t="n">
        <v>63</v>
      </c>
      <c r="G1224" s="3">
        <f>IFERROR(E1224/F1224,0)</f>
        <v/>
      </c>
      <c r="H1224" s="3" t="n">
        <v>42</v>
      </c>
      <c r="I1224" s="2" t="n">
        <v>13</v>
      </c>
      <c r="J1224" s="3">
        <f>IFERROR(E1224/H1224,0)</f>
        <v/>
      </c>
      <c r="K1224" s="10">
        <f>E1224/'По разделам'!$B$21</f>
        <v/>
      </c>
      <c r="L1224" s="4">
        <f>L1223+K1224</f>
        <v/>
      </c>
      <c r="M1224" s="2" t="inlineStr">
        <is>
          <t>02814</t>
        </is>
      </c>
      <c r="N1224" s="2" t="inlineStr">
        <is>
          <t>https://app.redstat.kz/niche/02814?event_date=2026-08-01</t>
        </is>
      </c>
      <c r="O1224" s="2" t="inlineStr">
        <is>
          <t>https://kaspi.kz/shop/c/climbing%20harnesses/</t>
        </is>
      </c>
    </row>
    <row r="1225">
      <c r="A1225" s="2" t="n">
        <v>1224</v>
      </c>
      <c r="B1225" s="2" t="inlineStr">
        <is>
          <t>Манекены тренировочные</t>
        </is>
      </c>
      <c r="C1225" s="2" t="inlineStr">
        <is>
          <t>Красота и здоровье</t>
        </is>
      </c>
      <c r="D1225" s="2" t="inlineStr">
        <is>
          <t>Красота и здоровье → Инструменты для укладки, ухода и наращивания волос → Манекены тренировочные</t>
        </is>
      </c>
      <c r="E1225" s="3" t="n">
        <v>2237121</v>
      </c>
      <c r="F1225" s="3" t="n">
        <v>164</v>
      </c>
      <c r="G1225" s="3">
        <f>IFERROR(E1225/F1225,0)</f>
        <v/>
      </c>
      <c r="H1225" s="3" t="n">
        <v>33</v>
      </c>
      <c r="I1225" s="2" t="n">
        <v>6</v>
      </c>
      <c r="J1225" s="3">
        <f>IFERROR(E1225/H1225,0)</f>
        <v/>
      </c>
      <c r="K1225" s="10">
        <f>E1225/'По разделам'!$B$21</f>
        <v/>
      </c>
      <c r="L1225" s="4">
        <f>L1224+K1225</f>
        <v/>
      </c>
      <c r="M1225" s="2" t="inlineStr">
        <is>
          <t>05498</t>
        </is>
      </c>
      <c r="N1225" s="2" t="inlineStr">
        <is>
          <t>https://app.redstat.kz/niche/05498?event_date=2026-08-01</t>
        </is>
      </c>
      <c r="O1225" s="2" t="inlineStr">
        <is>
          <t>https://kaspi.kz/shop/c/training%20dummies/</t>
        </is>
      </c>
    </row>
    <row r="1226">
      <c r="A1226" s="2" t="n">
        <v>1225</v>
      </c>
      <c r="B1226" s="2" t="inlineStr">
        <is>
          <t>Спортивные защитные маски</t>
        </is>
      </c>
      <c r="C1226" s="2" t="inlineStr">
        <is>
          <t>Спорт, туризм</t>
        </is>
      </c>
      <c r="D1226" s="2" t="inlineStr">
        <is>
          <t>Спорт, туризм → Спортивная защита и экипировка → Спортивные защитные маски</t>
        </is>
      </c>
      <c r="E1226" s="3" t="n">
        <v>2222754</v>
      </c>
      <c r="F1226" s="3" t="n">
        <v>1264</v>
      </c>
      <c r="G1226" s="3">
        <f>IFERROR(E1226/F1226,0)</f>
        <v/>
      </c>
      <c r="H1226" s="3" t="n">
        <v>102</v>
      </c>
      <c r="I1226" s="2" t="n">
        <v>20</v>
      </c>
      <c r="J1226" s="3">
        <f>IFERROR(E1226/H1226,0)</f>
        <v/>
      </c>
      <c r="K1226" s="10">
        <f>E1226/'По разделам'!$B$21</f>
        <v/>
      </c>
      <c r="L1226" s="4">
        <f>L1225+K1226</f>
        <v/>
      </c>
      <c r="M1226" s="2" t="inlineStr">
        <is>
          <t>06141</t>
        </is>
      </c>
      <c r="N1226" s="2" t="inlineStr">
        <is>
          <t>https://app.redstat.kz/niche/06141?event_date=2026-08-01</t>
        </is>
      </c>
      <c r="O1226" s="2" t="inlineStr">
        <is>
          <t>https://kaspi.kz/shop/c/protective%20masks%20for%20shooting/</t>
        </is>
      </c>
    </row>
    <row r="1227">
      <c r="A1227" s="2" t="n">
        <v>1226</v>
      </c>
      <c r="B1227" s="2" t="inlineStr">
        <is>
          <t>Серверные шкафы</t>
        </is>
      </c>
      <c r="C1227" s="2" t="inlineStr">
        <is>
          <t>Компьютеры</t>
        </is>
      </c>
      <c r="D1227" s="2" t="inlineStr">
        <is>
          <t>Компьютеры → Серверное оборудование → Серверные шкафы</t>
        </is>
      </c>
      <c r="E1227" s="3" t="n">
        <v>2221237</v>
      </c>
      <c r="F1227" s="3" t="n">
        <v>67</v>
      </c>
      <c r="G1227" s="3">
        <f>IFERROR(E1227/F1227,0)</f>
        <v/>
      </c>
      <c r="H1227" s="3" t="n">
        <v>16</v>
      </c>
      <c r="I1227" s="2" t="n">
        <v>5</v>
      </c>
      <c r="J1227" s="3">
        <f>IFERROR(E1227/H1227,0)</f>
        <v/>
      </c>
      <c r="K1227" s="10">
        <f>E1227/'По разделам'!$B$21</f>
        <v/>
      </c>
      <c r="L1227" s="4">
        <f>L1226+K1227</f>
        <v/>
      </c>
      <c r="M1227" s="2" t="inlineStr">
        <is>
          <t>03958</t>
        </is>
      </c>
      <c r="N1227" s="2" t="inlineStr">
        <is>
          <t>https://app.redstat.kz/niche/03958?event_date=2026-08-01</t>
        </is>
      </c>
      <c r="O1227" s="2" t="inlineStr">
        <is>
          <t>https://kaspi.kz/shop/c/server%20cabinets/</t>
        </is>
      </c>
    </row>
    <row r="1228">
      <c r="A1228" s="2" t="n">
        <v>1227</v>
      </c>
      <c r="B1228" s="2" t="inlineStr">
        <is>
          <t>Бетон и железобетонные изделия</t>
        </is>
      </c>
      <c r="C1228" s="2" t="inlineStr">
        <is>
          <t>Строительство, ремонт</t>
        </is>
      </c>
      <c r="D1228" s="2" t="inlineStr">
        <is>
          <t>Строительство, ремонт → Строительные материалы → Бетон и железобетонные изделия → Бетон и железобетонные изделия</t>
        </is>
      </c>
      <c r="E1228" s="3" t="n">
        <v>2212763</v>
      </c>
      <c r="F1228" s="3" t="n">
        <v>91</v>
      </c>
      <c r="G1228" s="3">
        <f>IFERROR(E1228/F1228,0)</f>
        <v/>
      </c>
      <c r="H1228" s="3" t="n">
        <v>43</v>
      </c>
      <c r="I1228" s="2" t="n">
        <v>3</v>
      </c>
      <c r="J1228" s="3">
        <f>IFERROR(E1228/H1228,0)</f>
        <v/>
      </c>
      <c r="K1228" s="10">
        <f>E1228/'По разделам'!$B$21</f>
        <v/>
      </c>
      <c r="L1228" s="4">
        <f>L1227+K1228</f>
        <v/>
      </c>
      <c r="M1228" s="2" t="inlineStr">
        <is>
          <t>q87017def11d75f6</t>
        </is>
      </c>
      <c r="N1228" s="2" t="inlineStr">
        <is>
          <t>https://app.redstat.kz/niche/q87017def11d75f6?event_date=2026-08-01</t>
        </is>
      </c>
      <c r="O1228" s="2" t="inlineStr"/>
    </row>
    <row r="1229">
      <c r="A1229" s="2" t="n">
        <v>1228</v>
      </c>
      <c r="B1229" s="2" t="inlineStr">
        <is>
          <t>Дыроколы и аксессуары</t>
        </is>
      </c>
      <c r="C1229" s="2" t="inlineStr">
        <is>
          <t>Канцелярские товары</t>
        </is>
      </c>
      <c r="D1229" s="2" t="inlineStr">
        <is>
          <t>Канцелярские товары → Офисные принадлежности → Дыроколы и аксессуары → Дыроколы и аксессуары</t>
        </is>
      </c>
      <c r="E1229" s="3" t="n">
        <v>2182880</v>
      </c>
      <c r="F1229" s="3" t="n">
        <v>576</v>
      </c>
      <c r="G1229" s="3">
        <f>IFERROR(E1229/F1229,0)</f>
        <v/>
      </c>
      <c r="H1229" s="3" t="n">
        <v>99</v>
      </c>
      <c r="I1229" s="2" t="n">
        <v>27</v>
      </c>
      <c r="J1229" s="3">
        <f>IFERROR(E1229/H1229,0)</f>
        <v/>
      </c>
      <c r="K1229" s="10">
        <f>E1229/'По разделам'!$B$21</f>
        <v/>
      </c>
      <c r="L1229" s="4">
        <f>L1228+K1229</f>
        <v/>
      </c>
      <c r="M1229" s="2" t="inlineStr">
        <is>
          <t>qfe554dee1ee7f8b</t>
        </is>
      </c>
      <c r="N1229" s="2" t="inlineStr">
        <is>
          <t>https://app.redstat.kz/niche/qfe554dee1ee7f8b?event_date=2026-08-01</t>
        </is>
      </c>
      <c r="O1229" s="2" t="inlineStr"/>
    </row>
    <row r="1230">
      <c r="A1230" s="2" t="n">
        <v>1229</v>
      </c>
      <c r="B1230" s="2" t="inlineStr">
        <is>
          <t>Информационные табло</t>
        </is>
      </c>
      <c r="C1230" s="2" t="inlineStr">
        <is>
          <t>Канцелярские товары</t>
        </is>
      </c>
      <c r="D1230" s="2" t="inlineStr">
        <is>
          <t>Канцелярские товары → Торговые и рекламные принадлежности → Информационные табло</t>
        </is>
      </c>
      <c r="E1230" s="3" t="n">
        <v>2178957</v>
      </c>
      <c r="F1230" s="3" t="n">
        <v>108</v>
      </c>
      <c r="G1230" s="3">
        <f>IFERROR(E1230/F1230,0)</f>
        <v/>
      </c>
      <c r="H1230" s="3" t="n">
        <v>56</v>
      </c>
      <c r="I1230" s="2" t="n">
        <v>14</v>
      </c>
      <c r="J1230" s="3">
        <f>IFERROR(E1230/H1230,0)</f>
        <v/>
      </c>
      <c r="K1230" s="10">
        <f>E1230/'По разделам'!$B$21</f>
        <v/>
      </c>
      <c r="L1230" s="4">
        <f>L1229+K1230</f>
        <v/>
      </c>
      <c r="M1230" s="2" t="inlineStr">
        <is>
          <t>04060</t>
        </is>
      </c>
      <c r="N1230" s="2" t="inlineStr">
        <is>
          <t>https://app.redstat.kz/niche/04060?event_date=2026-08-01</t>
        </is>
      </c>
      <c r="O1230" s="2" t="inlineStr">
        <is>
          <t>https://kaspi.kz/shop/c/information%20boards/</t>
        </is>
      </c>
    </row>
    <row r="1231">
      <c r="A1231" s="2" t="n">
        <v>1230</v>
      </c>
      <c r="B1231" s="2" t="inlineStr">
        <is>
          <t>Комбинезоны для мальчиков</t>
        </is>
      </c>
      <c r="C1231" s="2" t="inlineStr">
        <is>
          <t>Одежда</t>
        </is>
      </c>
      <c r="D1231" s="2" t="inlineStr">
        <is>
          <t>Одежда → Мальчикам → Комбинезоны для мальчиков</t>
        </is>
      </c>
      <c r="E1231" s="3" t="n">
        <v>2174153</v>
      </c>
      <c r="F1231" s="3" t="n">
        <v>96</v>
      </c>
      <c r="G1231" s="3">
        <f>IFERROR(E1231/F1231,0)</f>
        <v/>
      </c>
      <c r="H1231" s="3" t="n">
        <v>83</v>
      </c>
      <c r="I1231" s="2" t="n">
        <v>29</v>
      </c>
      <c r="J1231" s="3">
        <f>IFERROR(E1231/H1231,0)</f>
        <v/>
      </c>
      <c r="K1231" s="10">
        <f>E1231/'По разделам'!$B$21</f>
        <v/>
      </c>
      <c r="L1231" s="4">
        <f>L1230+K1231</f>
        <v/>
      </c>
      <c r="M1231" s="2" t="inlineStr">
        <is>
          <t>01618</t>
        </is>
      </c>
      <c r="N1231" s="2" t="inlineStr">
        <is>
          <t>https://app.redstat.kz/niche/01618?event_date=2026-08-01</t>
        </is>
      </c>
      <c r="O1231" s="2" t="inlineStr">
        <is>
          <t>https://kaspi.kz/shop/c/boy%20jumpsuits/</t>
        </is>
      </c>
    </row>
    <row r="1232">
      <c r="A1232" s="2" t="n">
        <v>1231</v>
      </c>
      <c r="B1232" s="2" t="inlineStr">
        <is>
          <t>Спортивные повязки на голову</t>
        </is>
      </c>
      <c r="C1232" s="2" t="inlineStr">
        <is>
          <t>Спорт, туризм</t>
        </is>
      </c>
      <c r="D1232" s="2" t="inlineStr">
        <is>
          <t>Спорт, туризм → Спортивная защита и экипировка → Спортивные повязки на голову</t>
        </is>
      </c>
      <c r="E1232" s="3" t="n">
        <v>2166788</v>
      </c>
      <c r="F1232" s="3" t="n">
        <v>1948</v>
      </c>
      <c r="G1232" s="3">
        <f>IFERROR(E1232/F1232,0)</f>
        <v/>
      </c>
      <c r="H1232" s="3" t="n">
        <v>127</v>
      </c>
      <c r="I1232" s="2" t="n">
        <v>30</v>
      </c>
      <c r="J1232" s="3">
        <f>IFERROR(E1232/H1232,0)</f>
        <v/>
      </c>
      <c r="K1232" s="10">
        <f>E1232/'По разделам'!$B$21</f>
        <v/>
      </c>
      <c r="L1232" s="4">
        <f>L1231+K1232</f>
        <v/>
      </c>
      <c r="M1232" s="2" t="inlineStr">
        <is>
          <t>02369</t>
        </is>
      </c>
      <c r="N1232" s="2" t="inlineStr">
        <is>
          <t>https://app.redstat.kz/niche/02369?event_date=2026-08-01</t>
        </is>
      </c>
      <c r="O1232" s="2" t="inlineStr">
        <is>
          <t>https://kaspi.kz/shop/c/sport%20headbands/</t>
        </is>
      </c>
    </row>
    <row r="1233">
      <c r="A1233" s="2" t="n">
        <v>1232</v>
      </c>
      <c r="B1233" s="2" t="inlineStr">
        <is>
          <t>Сапоги для девочек</t>
        </is>
      </c>
      <c r="C1233" s="2" t="inlineStr">
        <is>
          <t>Обувь</t>
        </is>
      </c>
      <c r="D1233" s="2" t="inlineStr">
        <is>
          <t>Обувь → Обувь для девочек → Сапоги для девочек</t>
        </is>
      </c>
      <c r="E1233" s="3" t="n">
        <v>2149090</v>
      </c>
      <c r="F1233" s="3" t="n">
        <v>113</v>
      </c>
      <c r="G1233" s="3">
        <f>IFERROR(E1233/F1233,0)</f>
        <v/>
      </c>
      <c r="H1233" s="3" t="n">
        <v>90</v>
      </c>
      <c r="I1233" s="2" t="n">
        <v>27</v>
      </c>
      <c r="J1233" s="3">
        <f>IFERROR(E1233/H1233,0)</f>
        <v/>
      </c>
      <c r="K1233" s="10">
        <f>E1233/'По разделам'!$B$21</f>
        <v/>
      </c>
      <c r="L1233" s="4">
        <f>L1232+K1233</f>
        <v/>
      </c>
      <c r="M1233" s="2" t="inlineStr">
        <is>
          <t>01146</t>
        </is>
      </c>
      <c r="N1233" s="2" t="inlineStr">
        <is>
          <t>https://app.redstat.kz/niche/01146?event_date=2026-08-01</t>
        </is>
      </c>
      <c r="O1233" s="2" t="inlineStr">
        <is>
          <t>https://kaspi.kz/shop/c/girl%20knee%20boots/</t>
        </is>
      </c>
    </row>
    <row r="1234">
      <c r="A1234" s="2" t="n">
        <v>1233</v>
      </c>
      <c r="B1234" s="2" t="inlineStr">
        <is>
          <t>Велотуфли</t>
        </is>
      </c>
      <c r="C1234" s="2" t="inlineStr">
        <is>
          <t>Спорт, туризм</t>
        </is>
      </c>
      <c r="D1234" s="2" t="inlineStr">
        <is>
          <t>Спорт, туризм → Велоспорт → Велотуфли</t>
        </is>
      </c>
      <c r="E1234" s="3" t="n">
        <v>2146815</v>
      </c>
      <c r="F1234" s="3" t="n">
        <v>39</v>
      </c>
      <c r="G1234" s="3">
        <f>IFERROR(E1234/F1234,0)</f>
        <v/>
      </c>
      <c r="H1234" s="3" t="n">
        <v>35</v>
      </c>
      <c r="I1234" s="2" t="n">
        <v>9</v>
      </c>
      <c r="J1234" s="3">
        <f>IFERROR(E1234/H1234,0)</f>
        <v/>
      </c>
      <c r="K1234" s="10">
        <f>E1234/'По разделам'!$B$21</f>
        <v/>
      </c>
      <c r="L1234" s="4">
        <f>L1233+K1234</f>
        <v/>
      </c>
      <c r="M1234" s="2" t="inlineStr">
        <is>
          <t>05832</t>
        </is>
      </c>
      <c r="N1234" s="2" t="inlineStr">
        <is>
          <t>https://app.redstat.kz/niche/05832?event_date=2026-08-01</t>
        </is>
      </c>
      <c r="O1234" s="2" t="inlineStr">
        <is>
          <t>https://kaspi.kz/shop/c/cycling%20shoes/</t>
        </is>
      </c>
    </row>
    <row r="1235">
      <c r="A1235" s="2" t="n">
        <v>1234</v>
      </c>
      <c r="B1235" s="2" t="inlineStr">
        <is>
          <t>Масла и воск</t>
        </is>
      </c>
      <c r="C1235" s="2" t="inlineStr">
        <is>
          <t>Строительство, ремонт</t>
        </is>
      </c>
      <c r="D1235" s="2" t="inlineStr">
        <is>
          <t>Строительство, ремонт → Лакокрасочные материалы → Масла и воск</t>
        </is>
      </c>
      <c r="E1235" s="3" t="n">
        <v>2136116</v>
      </c>
      <c r="F1235" s="3" t="n">
        <v>112</v>
      </c>
      <c r="G1235" s="3">
        <f>IFERROR(E1235/F1235,0)</f>
        <v/>
      </c>
      <c r="H1235" s="3" t="n">
        <v>39</v>
      </c>
      <c r="I1235" s="2" t="n">
        <v>15</v>
      </c>
      <c r="J1235" s="3">
        <f>IFERROR(E1235/H1235,0)</f>
        <v/>
      </c>
      <c r="K1235" s="10">
        <f>E1235/'По разделам'!$B$21</f>
        <v/>
      </c>
      <c r="L1235" s="4">
        <f>L1234+K1235</f>
        <v/>
      </c>
      <c r="M1235" s="2" t="inlineStr">
        <is>
          <t>03849</t>
        </is>
      </c>
      <c r="N1235" s="2" t="inlineStr">
        <is>
          <t>https://app.redstat.kz/niche/03849?event_date=2026-08-01</t>
        </is>
      </c>
      <c r="O1235" s="2" t="inlineStr">
        <is>
          <t>https://kaspi.kz/shop/c/construction%20oils%20and%20wax/</t>
        </is>
      </c>
    </row>
    <row r="1236">
      <c r="A1236" s="2" t="n">
        <v>1235</v>
      </c>
      <c r="B1236" s="2" t="inlineStr">
        <is>
          <t>Защитные очки для стрельбы</t>
        </is>
      </c>
      <c r="C1236" s="2" t="inlineStr">
        <is>
          <t>Спорт, туризм</t>
        </is>
      </c>
      <c r="D1236" s="2" t="inlineStr">
        <is>
          <t>Спорт, туризм → Товары для охоты и стрельбы → Защитные очки для стрельбы</t>
        </is>
      </c>
      <c r="E1236" s="3" t="n">
        <v>2134966</v>
      </c>
      <c r="F1236" s="3" t="n">
        <v>499</v>
      </c>
      <c r="G1236" s="3">
        <f>IFERROR(E1236/F1236,0)</f>
        <v/>
      </c>
      <c r="H1236" s="3" t="n">
        <v>57</v>
      </c>
      <c r="I1236" s="2" t="n">
        <v>14</v>
      </c>
      <c r="J1236" s="3">
        <f>IFERROR(E1236/H1236,0)</f>
        <v/>
      </c>
      <c r="K1236" s="10">
        <f>E1236/'По разделам'!$B$21</f>
        <v/>
      </c>
      <c r="L1236" s="4">
        <f>L1235+K1236</f>
        <v/>
      </c>
      <c r="M1236" s="2" t="inlineStr">
        <is>
          <t>06142</t>
        </is>
      </c>
      <c r="N1236" s="2" t="inlineStr">
        <is>
          <t>https://app.redstat.kz/niche/06142?event_date=2026-08-01</t>
        </is>
      </c>
      <c r="O1236" s="2" t="inlineStr">
        <is>
          <t>https://kaspi.kz/shop/c/goggles%20for%20shooting/</t>
        </is>
      </c>
    </row>
    <row r="1237">
      <c r="A1237" s="2" t="n">
        <v>1236</v>
      </c>
      <c r="B1237" s="2" t="inlineStr">
        <is>
          <t>Грунты для аквариумов и террариумов</t>
        </is>
      </c>
      <c r="C1237" s="2" t="inlineStr">
        <is>
          <t>Товары для животных</t>
        </is>
      </c>
      <c r="D1237" s="2" t="inlineStr">
        <is>
          <t>Товары для животных → Для рыб и рептилий → Грунты для аквариумов и террариумов</t>
        </is>
      </c>
      <c r="E1237" s="3" t="n">
        <v>2131753</v>
      </c>
      <c r="F1237" s="3" t="n">
        <v>447</v>
      </c>
      <c r="G1237" s="3">
        <f>IFERROR(E1237/F1237,0)</f>
        <v/>
      </c>
      <c r="H1237" s="3" t="n">
        <v>100</v>
      </c>
      <c r="I1237" s="2" t="n">
        <v>28</v>
      </c>
      <c r="J1237" s="3">
        <f>IFERROR(E1237/H1237,0)</f>
        <v/>
      </c>
      <c r="K1237" s="10">
        <f>E1237/'По разделам'!$B$21</f>
        <v/>
      </c>
      <c r="L1237" s="4">
        <f>L1236+K1237</f>
        <v/>
      </c>
      <c r="M1237" s="2" t="inlineStr">
        <is>
          <t>04779</t>
        </is>
      </c>
      <c r="N1237" s="2" t="inlineStr">
        <is>
          <t>https://app.redstat.kz/niche/04779?event_date=2026-08-01</t>
        </is>
      </c>
      <c r="O1237" s="2" t="inlineStr">
        <is>
          <t>https://kaspi.kz/shop/c/soils%20for%20aquariums%20and%20terrariums/</t>
        </is>
      </c>
    </row>
    <row r="1238">
      <c r="A1238" s="2" t="n">
        <v>1237</v>
      </c>
      <c r="B1238" s="2" t="inlineStr">
        <is>
          <t>Магнитные планеры</t>
        </is>
      </c>
      <c r="C1238" s="2" t="inlineStr">
        <is>
          <t>Канцелярские товары</t>
        </is>
      </c>
      <c r="D1238" s="2" t="inlineStr">
        <is>
          <t>Канцелярские товары → Демонстрационные доски → Магнитные планеры</t>
        </is>
      </c>
      <c r="E1238" s="3" t="n">
        <v>2102298</v>
      </c>
      <c r="F1238" s="3" t="n">
        <v>393</v>
      </c>
      <c r="G1238" s="3">
        <f>IFERROR(E1238/F1238,0)</f>
        <v/>
      </c>
      <c r="H1238" s="3" t="n">
        <v>72</v>
      </c>
      <c r="I1238" s="2" t="n">
        <v>8</v>
      </c>
      <c r="J1238" s="3">
        <f>IFERROR(E1238/H1238,0)</f>
        <v/>
      </c>
      <c r="K1238" s="10">
        <f>E1238/'По разделам'!$B$21</f>
        <v/>
      </c>
      <c r="L1238" s="4">
        <f>L1237+K1238</f>
        <v/>
      </c>
      <c r="M1238" s="2" t="inlineStr">
        <is>
          <t>04304</t>
        </is>
      </c>
      <c r="N1238" s="2" t="inlineStr">
        <is>
          <t>https://app.redstat.kz/niche/04304?event_date=2026-08-01</t>
        </is>
      </c>
      <c r="O1238" s="2" t="inlineStr">
        <is>
          <t>https://kaspi.kz/shop/c/magnetic%20gliders/</t>
        </is>
      </c>
    </row>
    <row r="1239">
      <c r="A1239" s="2" t="n">
        <v>1238</v>
      </c>
      <c r="B1239" s="2" t="inlineStr">
        <is>
          <t>Горнолыжная защита</t>
        </is>
      </c>
      <c r="C1239" s="2" t="inlineStr">
        <is>
          <t>Спорт, туризм</t>
        </is>
      </c>
      <c r="D1239" s="2" t="inlineStr">
        <is>
          <t>Спорт, туризм → Зимний спорт → Горнолыжная защита → Горнолыжная защита</t>
        </is>
      </c>
      <c r="E1239" s="3" t="n">
        <v>2100640</v>
      </c>
      <c r="F1239" s="3" t="n">
        <v>119</v>
      </c>
      <c r="G1239" s="3">
        <f>IFERROR(E1239/F1239,0)</f>
        <v/>
      </c>
      <c r="H1239" s="3" t="n">
        <v>65</v>
      </c>
      <c r="I1239" s="2" t="n">
        <v>19</v>
      </c>
      <c r="J1239" s="3">
        <f>IFERROR(E1239/H1239,0)</f>
        <v/>
      </c>
      <c r="K1239" s="10">
        <f>E1239/'По разделам'!$B$21</f>
        <v/>
      </c>
      <c r="L1239" s="4">
        <f>L1238+K1239</f>
        <v/>
      </c>
      <c r="M1239" s="2" t="inlineStr">
        <is>
          <t>q3154cef6032bd59</t>
        </is>
      </c>
      <c r="N1239" s="2" t="inlineStr">
        <is>
          <t>https://app.redstat.kz/niche/q3154cef6032bd59?event_date=2026-08-01</t>
        </is>
      </c>
      <c r="O1239" s="2" t="inlineStr"/>
    </row>
    <row r="1240">
      <c r="A1240" s="2" t="n">
        <v>1239</v>
      </c>
      <c r="B1240" s="2" t="inlineStr">
        <is>
          <t>Зажигалки</t>
        </is>
      </c>
      <c r="C1240" s="2" t="inlineStr">
        <is>
          <t>Товары для дома и дачи</t>
        </is>
      </c>
      <c r="D1240" s="2" t="inlineStr">
        <is>
          <t>Товары для дома и дачи → Хозяйственные товары → Зажигалки</t>
        </is>
      </c>
      <c r="E1240" s="3" t="n">
        <v>2097326</v>
      </c>
      <c r="F1240" s="3" t="n">
        <v>467</v>
      </c>
      <c r="G1240" s="3">
        <f>IFERROR(E1240/F1240,0)</f>
        <v/>
      </c>
      <c r="H1240" s="3" t="n">
        <v>148</v>
      </c>
      <c r="I1240" s="2" t="n">
        <v>25</v>
      </c>
      <c r="J1240" s="3">
        <f>IFERROR(E1240/H1240,0)</f>
        <v/>
      </c>
      <c r="K1240" s="10">
        <f>E1240/'По разделам'!$B$21</f>
        <v/>
      </c>
      <c r="L1240" s="4">
        <f>L1239+K1240</f>
        <v/>
      </c>
      <c r="M1240" s="2" t="inlineStr">
        <is>
          <t>03968</t>
        </is>
      </c>
      <c r="N1240" s="2" t="inlineStr">
        <is>
          <t>https://app.redstat.kz/niche/03968?event_date=2026-08-01</t>
        </is>
      </c>
      <c r="O1240" s="2" t="inlineStr">
        <is>
          <t>https://kaspi.kz/shop/c/lighters/</t>
        </is>
      </c>
    </row>
    <row r="1241">
      <c r="A1241" s="2" t="n">
        <v>1240</v>
      </c>
      <c r="B1241" s="2" t="inlineStr">
        <is>
          <t>Вещательные мониторы</t>
        </is>
      </c>
      <c r="C1241" s="2" t="inlineStr">
        <is>
          <t>ТВ, Аудио, Видео</t>
        </is>
      </c>
      <c r="D1241" s="2" t="inlineStr">
        <is>
          <t>ТВ, Аудио, Видео → Фото- и видеокамеры → Вещательные мониторы</t>
        </is>
      </c>
      <c r="E1241" s="3" t="n">
        <v>2091548</v>
      </c>
      <c r="F1241" s="3" t="n">
        <v>16</v>
      </c>
      <c r="G1241" s="3">
        <f>IFERROR(E1241/F1241,0)</f>
        <v/>
      </c>
      <c r="H1241" s="3" t="n">
        <v>12</v>
      </c>
      <c r="I1241" s="2" t="n">
        <v>6</v>
      </c>
      <c r="J1241" s="3">
        <f>IFERROR(E1241/H1241,0)</f>
        <v/>
      </c>
      <c r="K1241" s="10">
        <f>E1241/'По разделам'!$B$21</f>
        <v/>
      </c>
      <c r="L1241" s="4">
        <f>L1240+K1241</f>
        <v/>
      </c>
      <c r="M1241" s="2" t="inlineStr">
        <is>
          <t>06447</t>
        </is>
      </c>
      <c r="N1241" s="2" t="inlineStr">
        <is>
          <t>https://app.redstat.kz/niche/06447?event_date=2026-08-01</t>
        </is>
      </c>
      <c r="O1241" s="2" t="inlineStr">
        <is>
          <t>https://kaspi.kz/shop/search/?text=%D0%92%D0%B5%D1%89%D0%B0%D1%82%D0%B5%D0%BB%D1%8C%D0%BD%D1%8B%D0%B5%20%D0%BC%D0%BE%D0%BD%D0%B8%D1%82%D0%BE%D1%80%D1%8B</t>
        </is>
      </c>
    </row>
    <row r="1242">
      <c r="A1242" s="2" t="n">
        <v>1241</v>
      </c>
      <c r="B1242" s="2" t="inlineStr">
        <is>
          <t>Камеры видеонаблюдения</t>
        </is>
      </c>
      <c r="C1242" s="2" t="inlineStr">
        <is>
          <t>Строительство, ремонт</t>
        </is>
      </c>
      <c r="D1242" s="2" t="inlineStr">
        <is>
          <t>Строительство, ремонт → Системы безопасности → Системы видеонаблюдения → Камеры видеонаблюдения</t>
        </is>
      </c>
      <c r="E1242" s="3" t="n">
        <v>2091131</v>
      </c>
      <c r="F1242" s="3" t="n">
        <v>121</v>
      </c>
      <c r="G1242" s="3">
        <f>IFERROR(E1242/F1242,0)</f>
        <v/>
      </c>
      <c r="H1242" s="3" t="n">
        <v>62</v>
      </c>
      <c r="I1242" s="2" t="n">
        <v>36</v>
      </c>
      <c r="J1242" s="3">
        <f>IFERROR(E1242/H1242,0)</f>
        <v/>
      </c>
      <c r="K1242" s="10">
        <f>E1242/'По разделам'!$B$21</f>
        <v/>
      </c>
      <c r="L1242" s="4">
        <f>L1241+K1242</f>
        <v/>
      </c>
      <c r="M1242" s="2" t="inlineStr">
        <is>
          <t>03618</t>
        </is>
      </c>
      <c r="N1242" s="2" t="inlineStr">
        <is>
          <t>https://app.redstat.kz/niche/03618?event_date=2026-08-01</t>
        </is>
      </c>
      <c r="O1242" s="2" t="inlineStr">
        <is>
          <t>https://kaspi.kz/shop/c/security%20cameras/</t>
        </is>
      </c>
    </row>
    <row r="1243">
      <c r="A1243" s="2" t="n">
        <v>1242</v>
      </c>
      <c r="B1243" s="2" t="inlineStr">
        <is>
          <t>Бинты для единоборств</t>
        </is>
      </c>
      <c r="C1243" s="2" t="inlineStr">
        <is>
          <t>Спорт, туризм</t>
        </is>
      </c>
      <c r="D1243" s="2" t="inlineStr">
        <is>
          <t>Спорт, туризм → Единоборства → Бинты для единоборств</t>
        </is>
      </c>
      <c r="E1243" s="3" t="n">
        <v>2079889</v>
      </c>
      <c r="F1243" s="3" t="n">
        <v>857</v>
      </c>
      <c r="G1243" s="3">
        <f>IFERROR(E1243/F1243,0)</f>
        <v/>
      </c>
      <c r="H1243" s="3" t="n">
        <v>167</v>
      </c>
      <c r="I1243" s="2" t="n">
        <v>38</v>
      </c>
      <c r="J1243" s="3">
        <f>IFERROR(E1243/H1243,0)</f>
        <v/>
      </c>
      <c r="K1243" s="10">
        <f>E1243/'По разделам'!$B$21</f>
        <v/>
      </c>
      <c r="L1243" s="4">
        <f>L1242+K1243</f>
        <v/>
      </c>
      <c r="M1243" s="2" t="inlineStr">
        <is>
          <t>01979</t>
        </is>
      </c>
      <c r="N1243" s="2" t="inlineStr">
        <is>
          <t>https://app.redstat.kz/niche/01979?event_date=2026-08-01</t>
        </is>
      </c>
      <c r="O1243" s="2" t="inlineStr">
        <is>
          <t>https://kaspi.kz/shop/c/martial%20arts%20hand%20wraps/</t>
        </is>
      </c>
    </row>
    <row r="1244">
      <c r="A1244" s="2" t="n">
        <v>1243</v>
      </c>
      <c r="B1244" s="2" t="inlineStr">
        <is>
          <t>Ароматические диффузоры</t>
        </is>
      </c>
      <c r="C1244" s="2" t="inlineStr">
        <is>
          <t>Товары для дома и дачи</t>
        </is>
      </c>
      <c r="D1244" s="2" t="inlineStr">
        <is>
          <t>Товары для дома и дачи → Интерьер → Парфюмерия для дома → Ароматические диффузоры</t>
        </is>
      </c>
      <c r="E1244" s="3" t="n">
        <v>2073233</v>
      </c>
      <c r="F1244" s="3" t="n">
        <v>795</v>
      </c>
      <c r="G1244" s="3">
        <f>IFERROR(E1244/F1244,0)</f>
        <v/>
      </c>
      <c r="H1244" s="3" t="n">
        <v>319</v>
      </c>
      <c r="I1244" s="2" t="n">
        <v>84</v>
      </c>
      <c r="J1244" s="3">
        <f>IFERROR(E1244/H1244,0)</f>
        <v/>
      </c>
      <c r="K1244" s="10">
        <f>E1244/'По разделам'!$B$21</f>
        <v/>
      </c>
      <c r="L1244" s="4">
        <f>L1243+K1244</f>
        <v/>
      </c>
      <c r="M1244" s="2" t="inlineStr">
        <is>
          <t>05808</t>
        </is>
      </c>
      <c r="N1244" s="2" t="inlineStr">
        <is>
          <t>https://app.redstat.kz/niche/05808?event_date=2026-08-01</t>
        </is>
      </c>
      <c r="O1244" s="2" t="inlineStr">
        <is>
          <t>https://kaspi.kz/shop/c/aroma%20diffusers/</t>
        </is>
      </c>
    </row>
    <row r="1245">
      <c r="A1245" s="2" t="n">
        <v>1244</v>
      </c>
      <c r="B1245" s="2" t="inlineStr">
        <is>
          <t>Гидравлические жидкости и масла</t>
        </is>
      </c>
      <c r="C1245" s="2" t="inlineStr">
        <is>
          <t>Автотовары</t>
        </is>
      </c>
      <c r="D1245" s="2" t="inlineStr">
        <is>
          <t>Автотовары → Масла и технические жидкости → Гидравлические жидкости и масла</t>
        </is>
      </c>
      <c r="E1245" s="3" t="n">
        <v>2068670</v>
      </c>
      <c r="F1245" s="3" t="n">
        <v>167</v>
      </c>
      <c r="G1245" s="3">
        <f>IFERROR(E1245/F1245,0)</f>
        <v/>
      </c>
      <c r="H1245" s="3" t="n">
        <v>40</v>
      </c>
      <c r="I1245" s="2" t="n">
        <v>23</v>
      </c>
      <c r="J1245" s="3">
        <f>IFERROR(E1245/H1245,0)</f>
        <v/>
      </c>
      <c r="K1245" s="10">
        <f>E1245/'По разделам'!$B$21</f>
        <v/>
      </c>
      <c r="L1245" s="4">
        <f>L1244+K1245</f>
        <v/>
      </c>
      <c r="M1245" s="2" t="inlineStr">
        <is>
          <t>02235</t>
        </is>
      </c>
      <c r="N1245" s="2" t="inlineStr">
        <is>
          <t>https://app.redstat.kz/niche/02235?event_date=2026-08-01</t>
        </is>
      </c>
      <c r="O1245" s="2" t="inlineStr">
        <is>
          <t>https://kaspi.kz/shop/c/hydraulic%20fluids%20and%20oils/</t>
        </is>
      </c>
    </row>
    <row r="1246">
      <c r="A1246" s="2" t="n">
        <v>1245</v>
      </c>
      <c r="B1246" s="2" t="inlineStr">
        <is>
          <t>Аксессуары для гироскутеров</t>
        </is>
      </c>
      <c r="C1246" s="2" t="inlineStr">
        <is>
          <t>Спорт, туризм</t>
        </is>
      </c>
      <c r="D1246" s="2" t="inlineStr">
        <is>
          <t>Спорт, туризм → Самокаты, гироскутеры, моноколеса → Аксессуары для гироскутеров</t>
        </is>
      </c>
      <c r="E1246" s="3" t="n">
        <v>2049467</v>
      </c>
      <c r="F1246" s="3" t="n">
        <v>308</v>
      </c>
      <c r="G1246" s="3">
        <f>IFERROR(E1246/F1246,0)</f>
        <v/>
      </c>
      <c r="H1246" s="3" t="n">
        <v>26</v>
      </c>
      <c r="I1246" s="2" t="n">
        <v>13</v>
      </c>
      <c r="J1246" s="3">
        <f>IFERROR(E1246/H1246,0)</f>
        <v/>
      </c>
      <c r="K1246" s="10">
        <f>E1246/'По разделам'!$B$21</f>
        <v/>
      </c>
      <c r="L1246" s="4">
        <f>L1245+K1246</f>
        <v/>
      </c>
      <c r="M1246" s="2" t="inlineStr">
        <is>
          <t>04714</t>
        </is>
      </c>
      <c r="N1246" s="2" t="inlineStr">
        <is>
          <t>https://app.redstat.kz/niche/04714?event_date=2026-08-01</t>
        </is>
      </c>
      <c r="O1246" s="2" t="inlineStr">
        <is>
          <t>https://kaspi.kz/shop/c/hoverboard%20accessories/</t>
        </is>
      </c>
    </row>
    <row r="1247">
      <c r="A1247" s="2" t="n">
        <v>1246</v>
      </c>
      <c r="B1247" s="2" t="inlineStr">
        <is>
          <t>Аксессуары для настольных игр</t>
        </is>
      </c>
      <c r="C1247" s="2" t="inlineStr">
        <is>
          <t>Досуг, книги</t>
        </is>
      </c>
      <c r="D1247" s="2" t="inlineStr">
        <is>
          <t>Досуг, книги → Игры для компаний → Аксессуары для настольных игр</t>
        </is>
      </c>
      <c r="E1247" s="3" t="n">
        <v>2045912</v>
      </c>
      <c r="F1247" s="3" t="n">
        <v>487</v>
      </c>
      <c r="G1247" s="3">
        <f>IFERROR(E1247/F1247,0)</f>
        <v/>
      </c>
      <c r="H1247" s="3" t="n">
        <v>79</v>
      </c>
      <c r="I1247" s="2" t="n">
        <v>10</v>
      </c>
      <c r="J1247" s="3">
        <f>IFERROR(E1247/H1247,0)</f>
        <v/>
      </c>
      <c r="K1247" s="10">
        <f>E1247/'По разделам'!$B$21</f>
        <v/>
      </c>
      <c r="L1247" s="4">
        <f>L1246+K1247</f>
        <v/>
      </c>
      <c r="M1247" s="2" t="inlineStr">
        <is>
          <t>03948</t>
        </is>
      </c>
      <c r="N1247" s="2" t="inlineStr">
        <is>
          <t>https://app.redstat.kz/niche/03948?event_date=2026-08-01</t>
        </is>
      </c>
      <c r="O1247" s="2" t="inlineStr">
        <is>
          <t>https://kaspi.kz/shop/c/board%20game%20accessories/</t>
        </is>
      </c>
    </row>
    <row r="1248">
      <c r="A1248" s="2" t="n">
        <v>1247</v>
      </c>
      <c r="B1248" s="2" t="inlineStr">
        <is>
          <t>Упаковочная продукция</t>
        </is>
      </c>
      <c r="C1248" s="2" t="inlineStr">
        <is>
          <t>Товары для дома и дачи</t>
        </is>
      </c>
      <c r="D1248" s="2" t="inlineStr">
        <is>
          <t>Товары для дома и дачи → Хозяйственные товары → Упаковочные материалы → Упаковочная продукция</t>
        </is>
      </c>
      <c r="E1248" s="3" t="n">
        <v>2032273</v>
      </c>
      <c r="F1248" s="3" t="n">
        <v>586</v>
      </c>
      <c r="G1248" s="3">
        <f>IFERROR(E1248/F1248,0)</f>
        <v/>
      </c>
      <c r="H1248" s="3" t="n">
        <v>246</v>
      </c>
      <c r="I1248" s="2" t="n">
        <v>48</v>
      </c>
      <c r="J1248" s="3">
        <f>IFERROR(E1248/H1248,0)</f>
        <v/>
      </c>
      <c r="K1248" s="10">
        <f>E1248/'По разделам'!$B$21</f>
        <v/>
      </c>
      <c r="L1248" s="4">
        <f>L1247+K1248</f>
        <v/>
      </c>
      <c r="M1248" s="2" t="inlineStr">
        <is>
          <t>09279</t>
        </is>
      </c>
      <c r="N1248" s="2" t="inlineStr">
        <is>
          <t>https://app.redstat.kz/niche/09279?event_date=2026-08-01</t>
        </is>
      </c>
      <c r="O1248" s="2" t="inlineStr">
        <is>
          <t>https://kaspi.kz/shop/c/packaging%20products/</t>
        </is>
      </c>
    </row>
    <row r="1249">
      <c r="A1249" s="2" t="n">
        <v>1248</v>
      </c>
      <c r="B1249" s="2" t="inlineStr">
        <is>
          <t>Дополнительные аксессуары для водного спорта</t>
        </is>
      </c>
      <c r="C1249" s="2" t="inlineStr">
        <is>
          <t>Спорт, туризм</t>
        </is>
      </c>
      <c r="D1249" s="2" t="inlineStr">
        <is>
          <t>Спорт, туризм → Водный спорт → Дополнительные аксессуары для водного спорта</t>
        </is>
      </c>
      <c r="E1249" s="3" t="n">
        <v>2031939</v>
      </c>
      <c r="F1249" s="3" t="n">
        <v>194</v>
      </c>
      <c r="G1249" s="3">
        <f>IFERROR(E1249/F1249,0)</f>
        <v/>
      </c>
      <c r="H1249" s="3" t="n">
        <v>57</v>
      </c>
      <c r="I1249" s="2" t="n">
        <v>15</v>
      </c>
      <c r="J1249" s="3">
        <f>IFERROR(E1249/H1249,0)</f>
        <v/>
      </c>
      <c r="K1249" s="10">
        <f>E1249/'По разделам'!$B$21</f>
        <v/>
      </c>
      <c r="L1249" s="4">
        <f>L1248+K1249</f>
        <v/>
      </c>
      <c r="M1249" s="2" t="inlineStr">
        <is>
          <t>06726</t>
        </is>
      </c>
      <c r="N1249" s="2" t="inlineStr">
        <is>
          <t>https://app.redstat.kz/niche/06726?event_date=2026-08-01</t>
        </is>
      </c>
      <c r="O1249" s="2" t="inlineStr">
        <is>
          <t>https://kaspi.kz/shop/c/additional%20accessories%20for%20water%20sports/</t>
        </is>
      </c>
    </row>
    <row r="1250">
      <c r="A1250" s="2" t="n">
        <v>1249</v>
      </c>
      <c r="B1250" s="2" t="inlineStr">
        <is>
          <t>Попоны, бинты и бандажи для животных</t>
        </is>
      </c>
      <c r="C1250" s="2" t="inlineStr">
        <is>
          <t>Товары для животных</t>
        </is>
      </c>
      <c r="D1250" s="2" t="inlineStr">
        <is>
          <t>Товары для животных → Ветаптека → Попоны, бинты и бандажи для животных</t>
        </is>
      </c>
      <c r="E1250" s="3" t="n">
        <v>2030808</v>
      </c>
      <c r="F1250" s="3" t="n">
        <v>837</v>
      </c>
      <c r="G1250" s="3">
        <f>IFERROR(E1250/F1250,0)</f>
        <v/>
      </c>
      <c r="H1250" s="3" t="n">
        <v>94</v>
      </c>
      <c r="I1250" s="2" t="n">
        <v>14</v>
      </c>
      <c r="J1250" s="3">
        <f>IFERROR(E1250/H1250,0)</f>
        <v/>
      </c>
      <c r="K1250" s="10">
        <f>E1250/'По разделам'!$B$21</f>
        <v/>
      </c>
      <c r="L1250" s="4">
        <f>L1249+K1250</f>
        <v/>
      </c>
      <c r="M1250" s="2" t="inlineStr">
        <is>
          <t>03420</t>
        </is>
      </c>
      <c r="N1250" s="2" t="inlineStr">
        <is>
          <t>https://app.redstat.kz/niche/03420?event_date=2026-08-01</t>
        </is>
      </c>
      <c r="O1250" s="2" t="inlineStr">
        <is>
          <t>https://kaspi.kz/shop/c/body%20recovery%20suit%20for%20pets/</t>
        </is>
      </c>
    </row>
    <row r="1251">
      <c r="A1251" s="2" t="n">
        <v>1250</v>
      </c>
      <c r="B1251" s="2" t="inlineStr">
        <is>
          <t>Шкатулки</t>
        </is>
      </c>
      <c r="C1251" s="2" t="inlineStr">
        <is>
          <t>Товары для дома и дачи</t>
        </is>
      </c>
      <c r="D1251" s="2" t="inlineStr">
        <is>
          <t>Товары для дома и дачи → Интерьер → Оформление интерьера → Шкатулки</t>
        </is>
      </c>
      <c r="E1251" s="3" t="n">
        <v>2028175</v>
      </c>
      <c r="F1251" s="3" t="n">
        <v>579</v>
      </c>
      <c r="G1251" s="3">
        <f>IFERROR(E1251/F1251,0)</f>
        <v/>
      </c>
      <c r="H1251" s="3" t="n">
        <v>300</v>
      </c>
      <c r="I1251" s="2" t="n">
        <v>67</v>
      </c>
      <c r="J1251" s="3">
        <f>IFERROR(E1251/H1251,0)</f>
        <v/>
      </c>
      <c r="K1251" s="10">
        <f>E1251/'По разделам'!$B$21</f>
        <v/>
      </c>
      <c r="L1251" s="4">
        <f>L1250+K1251</f>
        <v/>
      </c>
      <c r="M1251" s="2" t="inlineStr">
        <is>
          <t>01396</t>
        </is>
      </c>
      <c r="N1251" s="2" t="inlineStr">
        <is>
          <t>https://app.redstat.kz/niche/01396?event_date=2026-08-01</t>
        </is>
      </c>
      <c r="O1251" s="2" t="inlineStr">
        <is>
          <t>https://kaspi.kz/shop/c/jewelry%20boxes/</t>
        </is>
      </c>
    </row>
    <row r="1252">
      <c r="A1252" s="2" t="n">
        <v>1251</v>
      </c>
      <c r="B1252" s="2" t="inlineStr">
        <is>
          <t>Смазки для автомобилей</t>
        </is>
      </c>
      <c r="C1252" s="2" t="inlineStr">
        <is>
          <t>Автотовары</t>
        </is>
      </c>
      <c r="D1252" s="2" t="inlineStr">
        <is>
          <t>Автотовары → Масла и технические жидкости → Смазки для автомобилей</t>
        </is>
      </c>
      <c r="E1252" s="3" t="n">
        <v>1998454</v>
      </c>
      <c r="F1252" s="3" t="n">
        <v>528</v>
      </c>
      <c r="G1252" s="3">
        <f>IFERROR(E1252/F1252,0)</f>
        <v/>
      </c>
      <c r="H1252" s="3" t="n">
        <v>86</v>
      </c>
      <c r="I1252" s="2" t="n">
        <v>28</v>
      </c>
      <c r="J1252" s="3">
        <f>IFERROR(E1252/H1252,0)</f>
        <v/>
      </c>
      <c r="K1252" s="10">
        <f>E1252/'По разделам'!$B$21</f>
        <v/>
      </c>
      <c r="L1252" s="4">
        <f>L1251+K1252</f>
        <v/>
      </c>
      <c r="M1252" s="2" t="inlineStr">
        <is>
          <t>02355</t>
        </is>
      </c>
      <c r="N1252" s="2" t="inlineStr">
        <is>
          <t>https://app.redstat.kz/niche/02355?event_date=2026-08-01</t>
        </is>
      </c>
      <c r="O1252" s="2" t="inlineStr">
        <is>
          <t>https://kaspi.kz/shop/c/lubricants%20for%20cars/</t>
        </is>
      </c>
    </row>
    <row r="1253">
      <c r="A1253" s="2" t="n">
        <v>1252</v>
      </c>
      <c r="B1253" s="2" t="inlineStr">
        <is>
          <t>Съемники подшипников</t>
        </is>
      </c>
      <c r="C1253" s="2" t="inlineStr">
        <is>
          <t>Автотовары</t>
        </is>
      </c>
      <c r="D1253" s="2" t="inlineStr">
        <is>
          <t>Автотовары → Автоинструменты → Съемники подшипников</t>
        </is>
      </c>
      <c r="E1253" s="3" t="n">
        <v>1984331</v>
      </c>
      <c r="F1253" s="3" t="n">
        <v>119</v>
      </c>
      <c r="G1253" s="3">
        <f>IFERROR(E1253/F1253,0)</f>
        <v/>
      </c>
      <c r="H1253" s="3" t="n">
        <v>40</v>
      </c>
      <c r="I1253" s="2" t="n">
        <v>18</v>
      </c>
      <c r="J1253" s="3">
        <f>IFERROR(E1253/H1253,0)</f>
        <v/>
      </c>
      <c r="K1253" s="10">
        <f>E1253/'По разделам'!$B$21</f>
        <v/>
      </c>
      <c r="L1253" s="4">
        <f>L1252+K1253</f>
        <v/>
      </c>
      <c r="M1253" s="2" t="inlineStr">
        <is>
          <t>04447</t>
        </is>
      </c>
      <c r="N1253" s="2" t="inlineStr">
        <is>
          <t>https://app.redstat.kz/niche/04447?event_date=2026-08-01</t>
        </is>
      </c>
      <c r="O1253" s="2" t="inlineStr">
        <is>
          <t>https://kaspi.kz/shop/c/bearing%20pullers/</t>
        </is>
      </c>
    </row>
    <row r="1254">
      <c r="A1254" s="2" t="n">
        <v>1253</v>
      </c>
      <c r="B1254" s="2" t="inlineStr">
        <is>
          <t>Хладагенты</t>
        </is>
      </c>
      <c r="C1254" s="2" t="inlineStr">
        <is>
          <t>Строительство, ремонт</t>
        </is>
      </c>
      <c r="D1254" s="2" t="inlineStr">
        <is>
          <t>Строительство, ремонт → Вентиляция → Хладагенты</t>
        </is>
      </c>
      <c r="E1254" s="3" t="n">
        <v>1977614</v>
      </c>
      <c r="F1254" s="3" t="n">
        <v>54</v>
      </c>
      <c r="G1254" s="3">
        <f>IFERROR(E1254/F1254,0)</f>
        <v/>
      </c>
      <c r="H1254" s="3" t="n">
        <v>14</v>
      </c>
      <c r="I1254" s="2" t="n">
        <v>6</v>
      </c>
      <c r="J1254" s="3">
        <f>IFERROR(E1254/H1254,0)</f>
        <v/>
      </c>
      <c r="K1254" s="10">
        <f>E1254/'По разделам'!$B$21</f>
        <v/>
      </c>
      <c r="L1254" s="4">
        <f>L1253+K1254</f>
        <v/>
      </c>
      <c r="M1254" s="2" t="inlineStr">
        <is>
          <t>04079</t>
        </is>
      </c>
      <c r="N1254" s="2" t="inlineStr">
        <is>
          <t>https://app.redstat.kz/niche/04079?event_date=2026-08-01</t>
        </is>
      </c>
      <c r="O1254" s="2" t="inlineStr">
        <is>
          <t>https://kaspi.kz/shop/c/refrigerants/</t>
        </is>
      </c>
    </row>
    <row r="1255">
      <c r="A1255" s="2" t="n">
        <v>1254</v>
      </c>
      <c r="B1255" s="2" t="inlineStr">
        <is>
          <t>Шланги для полива</t>
        </is>
      </c>
      <c r="C1255" s="2" t="inlineStr">
        <is>
          <t>Товары для дома и дачи</t>
        </is>
      </c>
      <c r="D1255" s="2" t="inlineStr">
        <is>
          <t>Товары для дома и дачи → Дача, сад и огород → Аксессуары для полива → Шланги для полива</t>
        </is>
      </c>
      <c r="E1255" s="3" t="n">
        <v>1960521</v>
      </c>
      <c r="F1255" s="3" t="n">
        <v>273</v>
      </c>
      <c r="G1255" s="3">
        <f>IFERROR(E1255/F1255,0)</f>
        <v/>
      </c>
      <c r="H1255" s="3" t="n">
        <v>142</v>
      </c>
      <c r="I1255" s="2" t="n">
        <v>43</v>
      </c>
      <c r="J1255" s="3">
        <f>IFERROR(E1255/H1255,0)</f>
        <v/>
      </c>
      <c r="K1255" s="10">
        <f>E1255/'По разделам'!$B$21</f>
        <v/>
      </c>
      <c r="L1255" s="4">
        <f>L1254+K1255</f>
        <v/>
      </c>
      <c r="M1255" s="2" t="inlineStr">
        <is>
          <t>03364</t>
        </is>
      </c>
      <c r="N1255" s="2" t="inlineStr">
        <is>
          <t>https://app.redstat.kz/niche/03364?event_date=2026-08-01</t>
        </is>
      </c>
      <c r="O1255" s="2" t="inlineStr">
        <is>
          <t>https://kaspi.kz/shop/c/garden%20hoses/</t>
        </is>
      </c>
    </row>
    <row r="1256">
      <c r="A1256" s="2" t="n">
        <v>1255</v>
      </c>
      <c r="B1256" s="2" t="inlineStr">
        <is>
          <t>Женские карнавальные костюмы</t>
        </is>
      </c>
      <c r="C1256" s="2" t="inlineStr">
        <is>
          <t>Одежда</t>
        </is>
      </c>
      <c r="D1256" s="2" t="inlineStr">
        <is>
          <t>Одежда → Женщинам → Женские карнавальные костюмы</t>
        </is>
      </c>
      <c r="E1256" s="3" t="n">
        <v>1946810</v>
      </c>
      <c r="F1256" s="3" t="n">
        <v>72</v>
      </c>
      <c r="G1256" s="3">
        <f>IFERROR(E1256/F1256,0)</f>
        <v/>
      </c>
      <c r="H1256" s="3" t="n">
        <v>30</v>
      </c>
      <c r="I1256" s="2" t="n">
        <v>4</v>
      </c>
      <c r="J1256" s="3">
        <f>IFERROR(E1256/H1256,0)</f>
        <v/>
      </c>
      <c r="K1256" s="10">
        <f>E1256/'По разделам'!$B$21</f>
        <v/>
      </c>
      <c r="L1256" s="4">
        <f>L1255+K1256</f>
        <v/>
      </c>
      <c r="M1256" s="2" t="inlineStr">
        <is>
          <t>05480</t>
        </is>
      </c>
      <c r="N1256" s="2" t="inlineStr">
        <is>
          <t>https://app.redstat.kz/niche/05480?event_date=2026-08-01</t>
        </is>
      </c>
      <c r="O1256" s="2" t="inlineStr">
        <is>
          <t>https://kaspi.kz/shop/c/women%20costumes/</t>
        </is>
      </c>
    </row>
    <row r="1257">
      <c r="A1257" s="2" t="n">
        <v>1256</v>
      </c>
      <c r="B1257" s="2" t="inlineStr">
        <is>
          <t>Сыворотки и масла для животных</t>
        </is>
      </c>
      <c r="C1257" s="2" t="inlineStr">
        <is>
          <t>Товары для животных</t>
        </is>
      </c>
      <c r="D1257" s="2" t="inlineStr">
        <is>
          <t>Товары для животных → Гигиена и уход за животными → Сыворотки и масла для животных</t>
        </is>
      </c>
      <c r="E1257" s="3" t="n">
        <v>1932196</v>
      </c>
      <c r="F1257" s="3" t="n">
        <v>429</v>
      </c>
      <c r="G1257" s="3">
        <f>IFERROR(E1257/F1257,0)</f>
        <v/>
      </c>
      <c r="H1257" s="3" t="n">
        <v>52</v>
      </c>
      <c r="I1257" s="2" t="n">
        <v>23</v>
      </c>
      <c r="J1257" s="3">
        <f>IFERROR(E1257/H1257,0)</f>
        <v/>
      </c>
      <c r="K1257" s="10">
        <f>E1257/'По разделам'!$B$21</f>
        <v/>
      </c>
      <c r="L1257" s="4">
        <f>L1256+K1257</f>
        <v/>
      </c>
      <c r="M1257" s="2" t="inlineStr">
        <is>
          <t>03105</t>
        </is>
      </c>
      <c r="N1257" s="2" t="inlineStr">
        <is>
          <t>https://app.redstat.kz/niche/03105?event_date=2026-08-01</t>
        </is>
      </c>
      <c r="O1257" s="2" t="inlineStr">
        <is>
          <t>https://kaspi.kz/shop/c/pet%20serums%20and%20oils/</t>
        </is>
      </c>
    </row>
    <row r="1258">
      <c r="A1258" s="2" t="n">
        <v>1257</v>
      </c>
      <c r="B1258" s="2" t="inlineStr">
        <is>
          <t>Кормушки для рыбалки</t>
        </is>
      </c>
      <c r="C1258" s="2" t="inlineStr">
        <is>
          <t>Спорт, туризм</t>
        </is>
      </c>
      <c r="D1258" s="2" t="inlineStr">
        <is>
          <t>Спорт, туризм → Товары для рыбалки → Кормушки для рыбалки</t>
        </is>
      </c>
      <c r="E1258" s="3" t="n">
        <v>1929737</v>
      </c>
      <c r="F1258" s="3" t="n">
        <v>875</v>
      </c>
      <c r="G1258" s="3">
        <f>IFERROR(E1258/F1258,0)</f>
        <v/>
      </c>
      <c r="H1258" s="3" t="n">
        <v>177</v>
      </c>
      <c r="I1258" s="2" t="n">
        <v>33</v>
      </c>
      <c r="J1258" s="3">
        <f>IFERROR(E1258/H1258,0)</f>
        <v/>
      </c>
      <c r="K1258" s="10">
        <f>E1258/'По разделам'!$B$21</f>
        <v/>
      </c>
      <c r="L1258" s="4">
        <f>L1257+K1258</f>
        <v/>
      </c>
      <c r="M1258" s="2" t="inlineStr">
        <is>
          <t>04640</t>
        </is>
      </c>
      <c r="N1258" s="2" t="inlineStr">
        <is>
          <t>https://app.redstat.kz/niche/04640?event_date=2026-08-01</t>
        </is>
      </c>
      <c r="O1258" s="2" t="inlineStr">
        <is>
          <t>https://kaspi.kz/shop/c/fishing%20feeders/</t>
        </is>
      </c>
    </row>
    <row r="1259">
      <c r="A1259" s="2" t="n">
        <v>1258</v>
      </c>
      <c r="B1259" s="2" t="inlineStr">
        <is>
          <t>Чистящие средства для сантехники, кафеля и труб</t>
        </is>
      </c>
      <c r="C1259" s="2" t="inlineStr">
        <is>
          <t>Товары для дома и дачи</t>
        </is>
      </c>
      <c r="D1259" s="2" t="inlineStr">
        <is>
          <t>Товары для дома и дачи → Бытовая химия → Чистящие средства → Чистящие средства для сантехники, кафеля и труб</t>
        </is>
      </c>
      <c r="E1259" s="3" t="n">
        <v>1913206</v>
      </c>
      <c r="F1259" s="3" t="n">
        <v>771</v>
      </c>
      <c r="G1259" s="3">
        <f>IFERROR(E1259/F1259,0)</f>
        <v/>
      </c>
      <c r="H1259" s="3" t="n">
        <v>266</v>
      </c>
      <c r="I1259" s="2" t="n">
        <v>151</v>
      </c>
      <c r="J1259" s="3">
        <f>IFERROR(E1259/H1259,0)</f>
        <v/>
      </c>
      <c r="K1259" s="10">
        <f>E1259/'По разделам'!$B$21</f>
        <v/>
      </c>
      <c r="L1259" s="4">
        <f>L1258+K1259</f>
        <v/>
      </c>
      <c r="M1259" s="2" t="inlineStr">
        <is>
          <t>02841</t>
        </is>
      </c>
      <c r="N1259" s="2" t="inlineStr">
        <is>
          <t>https://app.redstat.kz/niche/02841?event_date=2026-08-01</t>
        </is>
      </c>
      <c r="O1259" s="2" t="inlineStr">
        <is>
          <t>https://kaspi.kz/shop/c/plumbing%20detergents/</t>
        </is>
      </c>
    </row>
    <row r="1260">
      <c r="A1260" s="2" t="n">
        <v>1259</v>
      </c>
      <c r="B1260" s="2" t="inlineStr">
        <is>
          <t>Межкомнатные двери</t>
        </is>
      </c>
      <c r="C1260" s="2" t="inlineStr">
        <is>
          <t>Строительство, ремонт</t>
        </is>
      </c>
      <c r="D1260" s="2" t="inlineStr">
        <is>
          <t>Строительство, ремонт → Двери, окна, лестницы → Двери → Межкомнатные двери и коробки → Межкомнатные двери</t>
        </is>
      </c>
      <c r="E1260" s="3" t="n">
        <v>1910317</v>
      </c>
      <c r="F1260" s="3" t="n">
        <v>293</v>
      </c>
      <c r="G1260" s="3">
        <f>IFERROR(E1260/F1260,0)</f>
        <v/>
      </c>
      <c r="H1260" s="3" t="n">
        <v>117</v>
      </c>
      <c r="I1260" s="2" t="n">
        <v>47</v>
      </c>
      <c r="J1260" s="3">
        <f>IFERROR(E1260/H1260,0)</f>
        <v/>
      </c>
      <c r="K1260" s="10">
        <f>E1260/'По разделам'!$B$21</f>
        <v/>
      </c>
      <c r="L1260" s="4">
        <f>L1259+K1260</f>
        <v/>
      </c>
      <c r="M1260" s="2" t="inlineStr">
        <is>
          <t>00699</t>
        </is>
      </c>
      <c r="N1260" s="2" t="inlineStr">
        <is>
          <t>https://app.redstat.kz/niche/00699?event_date=2026-08-01</t>
        </is>
      </c>
      <c r="O1260" s="2" t="inlineStr">
        <is>
          <t>https://kaspi.kz/shop/c/interior%20doors/</t>
        </is>
      </c>
    </row>
    <row r="1261">
      <c r="A1261" s="2" t="n">
        <v>1260</v>
      </c>
      <c r="B1261" s="2" t="inlineStr">
        <is>
          <t>Распашонки, лонгсливы, толстовки для малышей</t>
        </is>
      </c>
      <c r="C1261" s="2" t="inlineStr">
        <is>
          <t>Одежда</t>
        </is>
      </c>
      <c r="D1261" s="2" t="inlineStr">
        <is>
          <t>Одежда → Одежда для малышей → Распашонки, лонгсливы, толстовки для малышей</t>
        </is>
      </c>
      <c r="E1261" s="3" t="n">
        <v>1909511</v>
      </c>
      <c r="F1261" s="3" t="n">
        <v>596</v>
      </c>
      <c r="G1261" s="3">
        <f>IFERROR(E1261/F1261,0)</f>
        <v/>
      </c>
      <c r="H1261" s="3" t="n">
        <v>189</v>
      </c>
      <c r="I1261" s="2" t="n">
        <v>23</v>
      </c>
      <c r="J1261" s="3">
        <f>IFERROR(E1261/H1261,0)</f>
        <v/>
      </c>
      <c r="K1261" s="10">
        <f>E1261/'По разделам'!$B$21</f>
        <v/>
      </c>
      <c r="L1261" s="4">
        <f>L1260+K1261</f>
        <v/>
      </c>
      <c r="M1261" s="2" t="inlineStr">
        <is>
          <t>02830</t>
        </is>
      </c>
      <c r="N1261" s="2" t="inlineStr">
        <is>
          <t>https://app.redstat.kz/niche/02830?event_date=2026-08-01</t>
        </is>
      </c>
      <c r="O1261" s="2" t="inlineStr">
        <is>
          <t>https://kaspi.kz/shop/c/baby%20sweaters/</t>
        </is>
      </c>
    </row>
    <row r="1262">
      <c r="A1262" s="2" t="n">
        <v>1261</v>
      </c>
      <c r="B1262" s="2" t="inlineStr">
        <is>
          <t>Подвески и шармы бижутерные</t>
        </is>
      </c>
      <c r="C1262" s="2" t="inlineStr">
        <is>
          <t>Украшения</t>
        </is>
      </c>
      <c r="D1262" s="2" t="inlineStr">
        <is>
          <t>Украшения → Подвески и шармы → Подвески и шармы бижутерные</t>
        </is>
      </c>
      <c r="E1262" s="3" t="n">
        <v>1901156</v>
      </c>
      <c r="F1262" s="3" t="n">
        <v>764</v>
      </c>
      <c r="G1262" s="3">
        <f>IFERROR(E1262/F1262,0)</f>
        <v/>
      </c>
      <c r="H1262" s="3" t="n">
        <v>189</v>
      </c>
      <c r="I1262" s="2" t="n">
        <v>43</v>
      </c>
      <c r="J1262" s="3">
        <f>IFERROR(E1262/H1262,0)</f>
        <v/>
      </c>
      <c r="K1262" s="10">
        <f>E1262/'По разделам'!$B$21</f>
        <v/>
      </c>
      <c r="L1262" s="4">
        <f>L1261+K1262</f>
        <v/>
      </c>
      <c r="M1262" s="2" t="inlineStr">
        <is>
          <t>01762</t>
        </is>
      </c>
      <c r="N1262" s="2" t="inlineStr">
        <is>
          <t>https://app.redstat.kz/niche/01762?event_date=2026-08-01</t>
        </is>
      </c>
      <c r="O1262" s="2" t="inlineStr">
        <is>
          <t>https://kaspi.kz/shop/c/imitation%20pendants/</t>
        </is>
      </c>
    </row>
    <row r="1263">
      <c r="A1263" s="2" t="n">
        <v>1262</v>
      </c>
      <c r="B1263" s="2" t="inlineStr">
        <is>
          <t>Спортивная магнезия</t>
        </is>
      </c>
      <c r="C1263" s="2" t="inlineStr">
        <is>
          <t>Спорт, туризм</t>
        </is>
      </c>
      <c r="D1263" s="2" t="inlineStr">
        <is>
          <t>Спорт, туризм → Альпинизм и скалолазание → Спортивная магнезия</t>
        </is>
      </c>
      <c r="E1263" s="3" t="n">
        <v>1889951</v>
      </c>
      <c r="F1263" s="3" t="n">
        <v>976</v>
      </c>
      <c r="G1263" s="3">
        <f>IFERROR(E1263/F1263,0)</f>
        <v/>
      </c>
      <c r="H1263" s="3" t="n">
        <v>57</v>
      </c>
      <c r="I1263" s="2" t="n">
        <v>19</v>
      </c>
      <c r="J1263" s="3">
        <f>IFERROR(E1263/H1263,0)</f>
        <v/>
      </c>
      <c r="K1263" s="10">
        <f>E1263/'По разделам'!$B$21</f>
        <v/>
      </c>
      <c r="L1263" s="4">
        <f>L1262+K1263</f>
        <v/>
      </c>
      <c r="M1263" s="2" t="inlineStr">
        <is>
          <t>05661</t>
        </is>
      </c>
      <c r="N1263" s="2" t="inlineStr">
        <is>
          <t>https://app.redstat.kz/niche/05661?event_date=2026-08-01</t>
        </is>
      </c>
      <c r="O1263" s="2" t="inlineStr">
        <is>
          <t>https://kaspi.kz/shop/c/magnesium%20mineral%20supplements/</t>
        </is>
      </c>
    </row>
    <row r="1264">
      <c r="A1264" s="2" t="n">
        <v>1263</v>
      </c>
      <c r="B1264" s="2" t="inlineStr">
        <is>
          <t>Тепловые насосы</t>
        </is>
      </c>
      <c r="C1264" s="2" t="inlineStr">
        <is>
          <t>Строительство, ремонт</t>
        </is>
      </c>
      <c r="D1264" s="2" t="inlineStr">
        <is>
          <t>Строительство, ремонт → Системы отопления → Тепловые насосы</t>
        </is>
      </c>
      <c r="E1264" s="3" t="n">
        <v>1861085</v>
      </c>
      <c r="F1264" s="3" t="n">
        <v>2</v>
      </c>
      <c r="G1264" s="3">
        <f>IFERROR(E1264/F1264,0)</f>
        <v/>
      </c>
      <c r="H1264" s="3" t="n">
        <v>1</v>
      </c>
      <c r="I1264" s="2" t="n">
        <v>1</v>
      </c>
      <c r="J1264" s="3">
        <f>IFERROR(E1264/H1264,0)</f>
        <v/>
      </c>
      <c r="K1264" s="10">
        <f>E1264/'По разделам'!$B$21</f>
        <v/>
      </c>
      <c r="L1264" s="4">
        <f>L1263+K1264</f>
        <v/>
      </c>
      <c r="M1264" s="2" t="inlineStr">
        <is>
          <t>06976</t>
        </is>
      </c>
      <c r="N1264" s="2" t="inlineStr">
        <is>
          <t>https://app.redstat.kz/niche/06976?event_date=2026-08-01</t>
        </is>
      </c>
      <c r="O1264" s="2" t="inlineStr">
        <is>
          <t>https://kaspi.kz/shop/c/heat%20pumps/</t>
        </is>
      </c>
    </row>
    <row r="1265">
      <c r="A1265" s="2" t="n">
        <v>1264</v>
      </c>
      <c r="B1265" s="2" t="inlineStr">
        <is>
          <t>Коврики для мисок и лотков</t>
        </is>
      </c>
      <c r="C1265" s="2" t="inlineStr">
        <is>
          <t>Товары для животных</t>
        </is>
      </c>
      <c r="D1265" s="2" t="inlineStr">
        <is>
          <t>Товары для животных → Аксессуары для животных → Коврики для мисок и лотков</t>
        </is>
      </c>
      <c r="E1265" s="3" t="n">
        <v>1857868</v>
      </c>
      <c r="F1265" s="3" t="n">
        <v>781</v>
      </c>
      <c r="G1265" s="3">
        <f>IFERROR(E1265/F1265,0)</f>
        <v/>
      </c>
      <c r="H1265" s="3" t="n">
        <v>86</v>
      </c>
      <c r="I1265" s="2" t="n">
        <v>18</v>
      </c>
      <c r="J1265" s="3">
        <f>IFERROR(E1265/H1265,0)</f>
        <v/>
      </c>
      <c r="K1265" s="10">
        <f>E1265/'По разделам'!$B$21</f>
        <v/>
      </c>
      <c r="L1265" s="4">
        <f>L1264+K1265</f>
        <v/>
      </c>
      <c r="M1265" s="2" t="inlineStr">
        <is>
          <t>04805</t>
        </is>
      </c>
      <c r="N1265" s="2" t="inlineStr">
        <is>
          <t>https://app.redstat.kz/niche/04805?event_date=2026-08-01</t>
        </is>
      </c>
      <c r="O1265" s="2" t="inlineStr">
        <is>
          <t>https://kaspi.kz/shop/c/pet%20mats/</t>
        </is>
      </c>
    </row>
    <row r="1266">
      <c r="A1266" s="2" t="n">
        <v>1265</v>
      </c>
      <c r="B1266" s="2" t="inlineStr">
        <is>
          <t>Подгузники для животных</t>
        </is>
      </c>
      <c r="C1266" s="2" t="inlineStr">
        <is>
          <t>Товары для животных</t>
        </is>
      </c>
      <c r="D1266" s="2" t="inlineStr">
        <is>
          <t>Товары для животных → Гигиена и уход за животными → Подгузники для животных</t>
        </is>
      </c>
      <c r="E1266" s="3" t="n">
        <v>1840077</v>
      </c>
      <c r="F1266" s="3" t="n">
        <v>374</v>
      </c>
      <c r="G1266" s="3">
        <f>IFERROR(E1266/F1266,0)</f>
        <v/>
      </c>
      <c r="H1266" s="3" t="n">
        <v>80</v>
      </c>
      <c r="I1266" s="2" t="n">
        <v>15</v>
      </c>
      <c r="J1266" s="3">
        <f>IFERROR(E1266/H1266,0)</f>
        <v/>
      </c>
      <c r="K1266" s="10">
        <f>E1266/'По разделам'!$B$21</f>
        <v/>
      </c>
      <c r="L1266" s="4">
        <f>L1265+K1266</f>
        <v/>
      </c>
      <c r="M1266" s="2" t="inlineStr">
        <is>
          <t>03107</t>
        </is>
      </c>
      <c r="N1266" s="2" t="inlineStr">
        <is>
          <t>https://app.redstat.kz/niche/03107?event_date=2026-08-01</t>
        </is>
      </c>
      <c r="O1266" s="2" t="inlineStr">
        <is>
          <t>https://kaspi.kz/shop/c/diapers%20for%20animals/</t>
        </is>
      </c>
    </row>
    <row r="1267">
      <c r="A1267" s="2" t="n">
        <v>1266</v>
      </c>
      <c r="B1267" s="2" t="inlineStr">
        <is>
          <t>Палочки для художественной гимнастики</t>
        </is>
      </c>
      <c r="C1267" s="2" t="inlineStr">
        <is>
          <t>Спорт, туризм</t>
        </is>
      </c>
      <c r="D1267" s="2" t="inlineStr">
        <is>
          <t>Спорт, туризм → Художественная гимнастика и танцы → Палочки для художественной гимнастики</t>
        </is>
      </c>
      <c r="E1267" s="3" t="n">
        <v>1828328</v>
      </c>
      <c r="F1267" s="3" t="n">
        <v>171</v>
      </c>
      <c r="G1267" s="3">
        <f>IFERROR(E1267/F1267,0)</f>
        <v/>
      </c>
      <c r="H1267" s="3" t="n">
        <v>47</v>
      </c>
      <c r="I1267" s="2" t="n">
        <v>10</v>
      </c>
      <c r="J1267" s="3">
        <f>IFERROR(E1267/H1267,0)</f>
        <v/>
      </c>
      <c r="K1267" s="10">
        <f>E1267/'По разделам'!$B$21</f>
        <v/>
      </c>
      <c r="L1267" s="4">
        <f>L1266+K1267</f>
        <v/>
      </c>
      <c r="M1267" s="2" t="inlineStr">
        <is>
          <t>06768</t>
        </is>
      </c>
      <c r="N1267" s="2" t="inlineStr">
        <is>
          <t>https://app.redstat.kz/niche/06768?event_date=2026-08-01</t>
        </is>
      </c>
      <c r="O1267" s="2" t="inlineStr">
        <is>
          <t>https://kaspi.kz/shop/c/sticks%20for%20rhythmic%20gymnastics/</t>
        </is>
      </c>
    </row>
    <row r="1268">
      <c r="A1268" s="2" t="n">
        <v>1267</v>
      </c>
      <c r="B1268" s="2" t="inlineStr">
        <is>
          <t>Календари</t>
        </is>
      </c>
      <c r="C1268" s="2" t="inlineStr">
        <is>
          <t>Канцелярские товары</t>
        </is>
      </c>
      <c r="D1268" s="2" t="inlineStr">
        <is>
          <t>Канцелярские товары → Бумага и бумажная продукция → Календари</t>
        </is>
      </c>
      <c r="E1268" s="3" t="n">
        <v>1827823</v>
      </c>
      <c r="F1268" s="3" t="n">
        <v>386</v>
      </c>
      <c r="G1268" s="3">
        <f>IFERROR(E1268/F1268,0)</f>
        <v/>
      </c>
      <c r="H1268" s="3" t="n">
        <v>50</v>
      </c>
      <c r="I1268" s="2" t="n">
        <v>4</v>
      </c>
      <c r="J1268" s="3">
        <f>IFERROR(E1268/H1268,0)</f>
        <v/>
      </c>
      <c r="K1268" s="10">
        <f>E1268/'По разделам'!$B$21</f>
        <v/>
      </c>
      <c r="L1268" s="4">
        <f>L1267+K1268</f>
        <v/>
      </c>
      <c r="M1268" s="2" t="inlineStr">
        <is>
          <t>04244</t>
        </is>
      </c>
      <c r="N1268" s="2" t="inlineStr">
        <is>
          <t>https://app.redstat.kz/niche/04244?event_date=2026-08-01</t>
        </is>
      </c>
      <c r="O1268" s="2" t="inlineStr">
        <is>
          <t>https://kaspi.kz/shop/c/calendars/</t>
        </is>
      </c>
    </row>
    <row r="1269">
      <c r="A1269" s="2" t="n">
        <v>1268</v>
      </c>
      <c r="B1269" s="2" t="inlineStr">
        <is>
          <t>Затирочные машины</t>
        </is>
      </c>
      <c r="C1269" s="2" t="inlineStr">
        <is>
          <t>Строительство, ремонт</t>
        </is>
      </c>
      <c r="D1269" s="2" t="inlineStr">
        <is>
          <t>Строительство, ремонт → Строительное оборудование → Затирочные машины</t>
        </is>
      </c>
      <c r="E1269" s="3" t="n">
        <v>1820187</v>
      </c>
      <c r="F1269" s="3" t="n">
        <v>6</v>
      </c>
      <c r="G1269" s="3">
        <f>IFERROR(E1269/F1269,0)</f>
        <v/>
      </c>
      <c r="H1269" s="3" t="n">
        <v>5</v>
      </c>
      <c r="I1269" s="2" t="n">
        <v>3</v>
      </c>
      <c r="J1269" s="3">
        <f>IFERROR(E1269/H1269,0)</f>
        <v/>
      </c>
      <c r="K1269" s="10">
        <f>E1269/'По разделам'!$B$21</f>
        <v/>
      </c>
      <c r="L1269" s="4">
        <f>L1268+K1269</f>
        <v/>
      </c>
      <c r="M1269" s="2" t="inlineStr">
        <is>
          <t>03090</t>
        </is>
      </c>
      <c r="N1269" s="2" t="inlineStr">
        <is>
          <t>https://app.redstat.kz/niche/03090?event_date=2026-08-01</t>
        </is>
      </c>
      <c r="O1269" s="2" t="inlineStr">
        <is>
          <t>https://kaspi.kz/shop/c/trowel%20machines/</t>
        </is>
      </c>
    </row>
    <row r="1270">
      <c r="A1270" s="2" t="n">
        <v>1269</v>
      </c>
      <c r="B1270" s="2" t="inlineStr">
        <is>
          <t>Сушилки для обуви</t>
        </is>
      </c>
      <c r="C1270" s="2" t="inlineStr">
        <is>
          <t>Товары для дома и дачи</t>
        </is>
      </c>
      <c r="D1270" s="2" t="inlineStr">
        <is>
          <t>Товары для дома и дачи → Хозяйственные товары → Уход за обувью → Сушилки для обуви</t>
        </is>
      </c>
      <c r="E1270" s="3" t="n">
        <v>1814605</v>
      </c>
      <c r="F1270" s="3" t="n">
        <v>922</v>
      </c>
      <c r="G1270" s="3">
        <f>IFERROR(E1270/F1270,0)</f>
        <v/>
      </c>
      <c r="H1270" s="3" t="n">
        <v>345</v>
      </c>
      <c r="I1270" s="2" t="n">
        <v>75</v>
      </c>
      <c r="J1270" s="3">
        <f>IFERROR(E1270/H1270,0)</f>
        <v/>
      </c>
      <c r="K1270" s="10">
        <f>E1270/'По разделам'!$B$21</f>
        <v/>
      </c>
      <c r="L1270" s="4">
        <f>L1269+K1270</f>
        <v/>
      </c>
      <c r="M1270" s="2" t="inlineStr">
        <is>
          <t>04070</t>
        </is>
      </c>
      <c r="N1270" s="2" t="inlineStr">
        <is>
          <t>https://app.redstat.kz/niche/04070?event_date=2026-08-01</t>
        </is>
      </c>
      <c r="O1270" s="2" t="inlineStr">
        <is>
          <t>https://kaspi.kz/shop/c/shoe%20dryers/</t>
        </is>
      </c>
    </row>
    <row r="1271">
      <c r="A1271" s="2" t="n">
        <v>1270</v>
      </c>
      <c r="B1271" s="2" t="inlineStr">
        <is>
          <t>Платья и юбки для малышей</t>
        </is>
      </c>
      <c r="C1271" s="2" t="inlineStr">
        <is>
          <t>Одежда</t>
        </is>
      </c>
      <c r="D1271" s="2" t="inlineStr">
        <is>
          <t>Одежда → Одежда для малышей → Платья и юбки для малышей</t>
        </is>
      </c>
      <c r="E1271" s="3" t="n">
        <v>1811379</v>
      </c>
      <c r="F1271" s="3" t="n">
        <v>497</v>
      </c>
      <c r="G1271" s="3">
        <f>IFERROR(E1271/F1271,0)</f>
        <v/>
      </c>
      <c r="H1271" s="3" t="n">
        <v>146</v>
      </c>
      <c r="I1271" s="2" t="n">
        <v>17</v>
      </c>
      <c r="J1271" s="3">
        <f>IFERROR(E1271/H1271,0)</f>
        <v/>
      </c>
      <c r="K1271" s="10">
        <f>E1271/'По разделам'!$B$21</f>
        <v/>
      </c>
      <c r="L1271" s="4">
        <f>L1270+K1271</f>
        <v/>
      </c>
      <c r="M1271" s="2" t="inlineStr">
        <is>
          <t>02209</t>
        </is>
      </c>
      <c r="N1271" s="2" t="inlineStr">
        <is>
          <t>https://app.redstat.kz/niche/02209?event_date=2026-08-01</t>
        </is>
      </c>
      <c r="O1271" s="2" t="inlineStr">
        <is>
          <t>https://kaspi.kz/shop/c/baby%20girl%20dresses/</t>
        </is>
      </c>
    </row>
    <row r="1272">
      <c r="A1272" s="2" t="n">
        <v>1271</v>
      </c>
      <c r="B1272" s="2" t="inlineStr">
        <is>
          <t>Подгузники</t>
        </is>
      </c>
      <c r="C1272" s="2" t="inlineStr">
        <is>
          <t>Детские товары</t>
        </is>
      </c>
      <c r="D1272" s="2" t="inlineStr">
        <is>
          <t>Детские товары → Для малыша и мамы → Уход и гигиена малыша → Подгузники</t>
        </is>
      </c>
      <c r="E1272" s="3" t="n">
        <v>1802217</v>
      </c>
      <c r="F1272" s="3" t="n">
        <v>508</v>
      </c>
      <c r="G1272" s="3">
        <f>IFERROR(E1272/F1272,0)</f>
        <v/>
      </c>
      <c r="H1272" s="3" t="n">
        <v>131</v>
      </c>
      <c r="I1272" s="2" t="n">
        <v>79</v>
      </c>
      <c r="J1272" s="3">
        <f>IFERROR(E1272/H1272,0)</f>
        <v/>
      </c>
      <c r="K1272" s="10">
        <f>E1272/'По разделам'!$B$21</f>
        <v/>
      </c>
      <c r="L1272" s="4">
        <f>L1271+K1272</f>
        <v/>
      </c>
      <c r="M1272" s="2" t="inlineStr">
        <is>
          <t>02478</t>
        </is>
      </c>
      <c r="N1272" s="2" t="inlineStr">
        <is>
          <t>https://app.redstat.kz/niche/02478?event_date=2026-08-01</t>
        </is>
      </c>
      <c r="O1272" s="2" t="inlineStr">
        <is>
          <t>https://kaspi.kz/shop/c/diapers/</t>
        </is>
      </c>
    </row>
    <row r="1273">
      <c r="A1273" s="2" t="n">
        <v>1272</v>
      </c>
      <c r="B1273" s="2" t="inlineStr">
        <is>
          <t>Крепеж для мебели</t>
        </is>
      </c>
      <c r="C1273" s="2" t="inlineStr">
        <is>
          <t>Мебель</t>
        </is>
      </c>
      <c r="D1273" s="2" t="inlineStr">
        <is>
          <t>Мебель → Фурнитура и комплектующие для мебели → Крепеж для мебели → Крепеж для мебели</t>
        </is>
      </c>
      <c r="E1273" s="3" t="n">
        <v>1764029</v>
      </c>
      <c r="F1273" s="3" t="n">
        <v>880</v>
      </c>
      <c r="G1273" s="3">
        <f>IFERROR(E1273/F1273,0)</f>
        <v/>
      </c>
      <c r="H1273" s="3" t="n">
        <v>168</v>
      </c>
      <c r="I1273" s="2" t="n">
        <v>39</v>
      </c>
      <c r="J1273" s="3">
        <f>IFERROR(E1273/H1273,0)</f>
        <v/>
      </c>
      <c r="K1273" s="10">
        <f>E1273/'По разделам'!$B$21</f>
        <v/>
      </c>
      <c r="L1273" s="4">
        <f>L1272+K1273</f>
        <v/>
      </c>
      <c r="M1273" s="2" t="inlineStr">
        <is>
          <t>qdfc12346becfc6f</t>
        </is>
      </c>
      <c r="N1273" s="2" t="inlineStr">
        <is>
          <t>https://app.redstat.kz/niche/qdfc12346becfc6f?event_date=2026-08-01</t>
        </is>
      </c>
      <c r="O1273" s="2" t="inlineStr"/>
    </row>
    <row r="1274">
      <c r="A1274" s="2" t="n">
        <v>1273</v>
      </c>
      <c r="B1274" s="2" t="inlineStr">
        <is>
          <t>Контроллеры для стриминга</t>
        </is>
      </c>
      <c r="C1274" s="2" t="inlineStr">
        <is>
          <t>Компьютеры</t>
        </is>
      </c>
      <c r="D1274" s="2" t="inlineStr">
        <is>
          <t>Компьютеры → Периферия → Контроллеры для стриминга</t>
        </is>
      </c>
      <c r="E1274" s="3" t="n">
        <v>1758520</v>
      </c>
      <c r="F1274" s="3" t="n">
        <v>21</v>
      </c>
      <c r="G1274" s="3">
        <f>IFERROR(E1274/F1274,0)</f>
        <v/>
      </c>
      <c r="H1274" s="3" t="n">
        <v>11</v>
      </c>
      <c r="I1274" s="2" t="n">
        <v>7</v>
      </c>
      <c r="J1274" s="3">
        <f>IFERROR(E1274/H1274,0)</f>
        <v/>
      </c>
      <c r="K1274" s="10">
        <f>E1274/'По разделам'!$B$21</f>
        <v/>
      </c>
      <c r="L1274" s="4">
        <f>L1273+K1274</f>
        <v/>
      </c>
      <c r="M1274" s="2" t="inlineStr">
        <is>
          <t>06990</t>
        </is>
      </c>
      <c r="N1274" s="2" t="inlineStr">
        <is>
          <t>https://app.redstat.kz/niche/06990?event_date=2026-08-01</t>
        </is>
      </c>
      <c r="O1274" s="2" t="inlineStr">
        <is>
          <t>https://kaspi.kz/shop/c/controllers%20for%20streaming/</t>
        </is>
      </c>
    </row>
    <row r="1275">
      <c r="A1275" s="2" t="n">
        <v>1274</v>
      </c>
      <c r="B1275" s="2" t="inlineStr">
        <is>
          <t>Комбинезоны для девочек</t>
        </is>
      </c>
      <c r="C1275" s="2" t="inlineStr">
        <is>
          <t>Одежда</t>
        </is>
      </c>
      <c r="D1275" s="2" t="inlineStr">
        <is>
          <t>Одежда → Девочкам → Комбинезоны для девочек</t>
        </is>
      </c>
      <c r="E1275" s="3" t="n">
        <v>1739480</v>
      </c>
      <c r="F1275" s="3" t="n">
        <v>114</v>
      </c>
      <c r="G1275" s="3">
        <f>IFERROR(E1275/F1275,0)</f>
        <v/>
      </c>
      <c r="H1275" s="3" t="n">
        <v>77</v>
      </c>
      <c r="I1275" s="2" t="n">
        <v>25</v>
      </c>
      <c r="J1275" s="3">
        <f>IFERROR(E1275/H1275,0)</f>
        <v/>
      </c>
      <c r="K1275" s="10">
        <f>E1275/'По разделам'!$B$21</f>
        <v/>
      </c>
      <c r="L1275" s="4">
        <f>L1274+K1275</f>
        <v/>
      </c>
      <c r="M1275" s="2" t="inlineStr">
        <is>
          <t>01617</t>
        </is>
      </c>
      <c r="N1275" s="2" t="inlineStr">
        <is>
          <t>https://app.redstat.kz/niche/01617?event_date=2026-08-01</t>
        </is>
      </c>
      <c r="O1275" s="2" t="inlineStr">
        <is>
          <t>https://kaspi.kz/shop/c/girl%20jumpsuits/</t>
        </is>
      </c>
    </row>
    <row r="1276">
      <c r="A1276" s="2" t="n">
        <v>1275</v>
      </c>
      <c r="B1276" s="2" t="inlineStr">
        <is>
          <t>Автомалярные работы</t>
        </is>
      </c>
      <c r="C1276" s="2" t="inlineStr">
        <is>
          <t>Автотовары</t>
        </is>
      </c>
      <c r="D1276" s="2" t="inlineStr">
        <is>
          <t>Автотовары → Автохимия и автокосметика → Автомалярные работы → Автомалярные работы</t>
        </is>
      </c>
      <c r="E1276" s="3" t="n">
        <v>1737137</v>
      </c>
      <c r="F1276" s="3" t="n">
        <v>298</v>
      </c>
      <c r="G1276" s="3">
        <f>IFERROR(E1276/F1276,0)</f>
        <v/>
      </c>
      <c r="H1276" s="3" t="n">
        <v>87</v>
      </c>
      <c r="I1276" s="2" t="n">
        <v>22</v>
      </c>
      <c r="J1276" s="3">
        <f>IFERROR(E1276/H1276,0)</f>
        <v/>
      </c>
      <c r="K1276" s="10">
        <f>E1276/'По разделам'!$B$21</f>
        <v/>
      </c>
      <c r="L1276" s="4">
        <f>L1275+K1276</f>
        <v/>
      </c>
      <c r="M1276" s="2" t="inlineStr">
        <is>
          <t>q7a1ca85df1ba884</t>
        </is>
      </c>
      <c r="N1276" s="2" t="inlineStr">
        <is>
          <t>https://app.redstat.kz/niche/q7a1ca85df1ba884?event_date=2026-08-01</t>
        </is>
      </c>
      <c r="O1276" s="2" t="inlineStr"/>
    </row>
    <row r="1277">
      <c r="A1277" s="2" t="n">
        <v>1276</v>
      </c>
      <c r="B1277" s="2" t="inlineStr">
        <is>
          <t>Балетки для девочек</t>
        </is>
      </c>
      <c r="C1277" s="2" t="inlineStr">
        <is>
          <t>Обувь</t>
        </is>
      </c>
      <c r="D1277" s="2" t="inlineStr">
        <is>
          <t>Обувь → Обувь для девочек → Балетки для девочек</t>
        </is>
      </c>
      <c r="E1277" s="3" t="n">
        <v>1723691</v>
      </c>
      <c r="F1277" s="3" t="n">
        <v>132</v>
      </c>
      <c r="G1277" s="3">
        <f>IFERROR(E1277/F1277,0)</f>
        <v/>
      </c>
      <c r="H1277" s="3" t="n">
        <v>72</v>
      </c>
      <c r="I1277" s="2" t="n">
        <v>12</v>
      </c>
      <c r="J1277" s="3">
        <f>IFERROR(E1277/H1277,0)</f>
        <v/>
      </c>
      <c r="K1277" s="10">
        <f>E1277/'По разделам'!$B$21</f>
        <v/>
      </c>
      <c r="L1277" s="4">
        <f>L1276+K1277</f>
        <v/>
      </c>
      <c r="M1277" s="2" t="inlineStr">
        <is>
          <t>01204</t>
        </is>
      </c>
      <c r="N1277" s="2" t="inlineStr">
        <is>
          <t>https://app.redstat.kz/niche/01204?event_date=2026-08-01</t>
        </is>
      </c>
      <c r="O1277" s="2" t="inlineStr">
        <is>
          <t>https://kaspi.kz/shop/c/girl%20ballet%20pumps/</t>
        </is>
      </c>
    </row>
    <row r="1278">
      <c r="A1278" s="2" t="n">
        <v>1277</v>
      </c>
      <c r="B1278" s="2" t="inlineStr">
        <is>
          <t>Блендеры</t>
        </is>
      </c>
      <c r="C1278" s="2" t="inlineStr">
        <is>
          <t>Бытовая техника</t>
        </is>
      </c>
      <c r="D1278" s="2" t="inlineStr">
        <is>
          <t>Бытовая техника → Мелкая техника для кухни → Миксеры, блендеры и измельчители → Блендеры</t>
        </is>
      </c>
      <c r="E1278" s="3" t="n">
        <v>1723378</v>
      </c>
      <c r="F1278" s="3" t="n">
        <v>114</v>
      </c>
      <c r="G1278" s="3">
        <f>IFERROR(E1278/F1278,0)</f>
        <v/>
      </c>
      <c r="H1278" s="3" t="n">
        <v>81</v>
      </c>
      <c r="I1278" s="2" t="n">
        <v>49</v>
      </c>
      <c r="J1278" s="3">
        <f>IFERROR(E1278/H1278,0)</f>
        <v/>
      </c>
      <c r="K1278" s="10">
        <f>E1278/'По разделам'!$B$21</f>
        <v/>
      </c>
      <c r="L1278" s="4">
        <f>L1277+K1278</f>
        <v/>
      </c>
      <c r="M1278" s="2" t="inlineStr">
        <is>
          <t>03500</t>
        </is>
      </c>
      <c r="N1278" s="2" t="inlineStr">
        <is>
          <t>https://app.redstat.kz/niche/03500?event_date=2026-08-01</t>
        </is>
      </c>
      <c r="O1278" s="2" t="inlineStr">
        <is>
          <t>https://kaspi.kz/shop/c/blenders/</t>
        </is>
      </c>
    </row>
    <row r="1279">
      <c r="A1279" s="2" t="n">
        <v>1278</v>
      </c>
      <c r="B1279" s="2" t="inlineStr">
        <is>
          <t>Комплектующие для котельных и тепловых пунктов</t>
        </is>
      </c>
      <c r="C1279" s="2" t="inlineStr">
        <is>
          <t>Строительство, ремонт</t>
        </is>
      </c>
      <c r="D1279" s="2" t="inlineStr">
        <is>
          <t>Строительство, ремонт → Системы отопления → Отопительные котлы, оборудование для котельных → Комплектующие для котельных и тепловых пунктов</t>
        </is>
      </c>
      <c r="E1279" s="3" t="n">
        <v>1720486</v>
      </c>
      <c r="F1279" s="3" t="n">
        <v>62</v>
      </c>
      <c r="G1279" s="3">
        <f>IFERROR(E1279/F1279,0)</f>
        <v/>
      </c>
      <c r="H1279" s="3" t="n">
        <v>41</v>
      </c>
      <c r="I1279" s="2" t="n">
        <v>21</v>
      </c>
      <c r="J1279" s="3">
        <f>IFERROR(E1279/H1279,0)</f>
        <v/>
      </c>
      <c r="K1279" s="10">
        <f>E1279/'По разделам'!$B$21</f>
        <v/>
      </c>
      <c r="L1279" s="4">
        <f>L1278+K1279</f>
        <v/>
      </c>
      <c r="M1279" s="2" t="inlineStr">
        <is>
          <t>06453</t>
        </is>
      </c>
      <c r="N1279" s="2" t="inlineStr">
        <is>
          <t>https://app.redstat.kz/niche/06453?event_date=2026-08-01</t>
        </is>
      </c>
      <c r="O1279" s="2" t="inlineStr">
        <is>
          <t>https://kaspi.kz/shop/c/fittings%20for%20boiler%20rooms%20and%20heating%20points/</t>
        </is>
      </c>
    </row>
    <row r="1280">
      <c r="A1280" s="2" t="n">
        <v>1279</v>
      </c>
      <c r="B1280" s="2" t="inlineStr">
        <is>
          <t>Разветвители прикуривателя</t>
        </is>
      </c>
      <c r="C1280" s="2" t="inlineStr">
        <is>
          <t>Автотовары</t>
        </is>
      </c>
      <c r="D1280" s="2" t="inlineStr">
        <is>
          <t>Автотовары → Автоэлектроника → Разветвители прикуривателя</t>
        </is>
      </c>
      <c r="E1280" s="3" t="n">
        <v>1712041</v>
      </c>
      <c r="F1280" s="3" t="n">
        <v>624</v>
      </c>
      <c r="G1280" s="3">
        <f>IFERROR(E1280/F1280,0)</f>
        <v/>
      </c>
      <c r="H1280" s="3" t="n">
        <v>64</v>
      </c>
      <c r="I1280" s="2" t="n">
        <v>22</v>
      </c>
      <c r="J1280" s="3">
        <f>IFERROR(E1280/H1280,0)</f>
        <v/>
      </c>
      <c r="K1280" s="10">
        <f>E1280/'По разделам'!$B$21</f>
        <v/>
      </c>
      <c r="L1280" s="4">
        <f>L1279+K1280</f>
        <v/>
      </c>
      <c r="M1280" s="2" t="inlineStr">
        <is>
          <t>02360</t>
        </is>
      </c>
      <c r="N1280" s="2" t="inlineStr">
        <is>
          <t>https://app.redstat.kz/niche/02360?event_date=2026-08-01</t>
        </is>
      </c>
      <c r="O1280" s="2" t="inlineStr">
        <is>
          <t>https://kaspi.kz/shop/c/cigarette%20lighter%20splitters/</t>
        </is>
      </c>
    </row>
    <row r="1281">
      <c r="A1281" s="2" t="n">
        <v>1280</v>
      </c>
      <c r="B1281" s="2" t="inlineStr">
        <is>
          <t>Насосы для надувных товаров</t>
        </is>
      </c>
      <c r="C1281" s="2" t="inlineStr">
        <is>
          <t>Товары для дома и дачи</t>
        </is>
      </c>
      <c r="D1281" s="2" t="inlineStr">
        <is>
          <t>Товары для дома и дачи → Дача, сад и огород → Бассейны и аксессуары → Насосы для надувных товаров</t>
        </is>
      </c>
      <c r="E1281" s="3" t="n">
        <v>1709874</v>
      </c>
      <c r="F1281" s="3" t="n">
        <v>233</v>
      </c>
      <c r="G1281" s="3">
        <f>IFERROR(E1281/F1281,0)</f>
        <v/>
      </c>
      <c r="H1281" s="3" t="n">
        <v>148</v>
      </c>
      <c r="I1281" s="2" t="n">
        <v>30</v>
      </c>
      <c r="J1281" s="3">
        <f>IFERROR(E1281/H1281,0)</f>
        <v/>
      </c>
      <c r="K1281" s="10">
        <f>E1281/'По разделам'!$B$21</f>
        <v/>
      </c>
      <c r="L1281" s="4">
        <f>L1280+K1281</f>
        <v/>
      </c>
      <c r="M1281" s="2" t="inlineStr">
        <is>
          <t>03370</t>
        </is>
      </c>
      <c r="N1281" s="2" t="inlineStr">
        <is>
          <t>https://app.redstat.kz/niche/03370?event_date=2026-08-01</t>
        </is>
      </c>
      <c r="O1281" s="2" t="inlineStr">
        <is>
          <t>https://kaspi.kz/shop/c/pumps%20for%20inflatables/</t>
        </is>
      </c>
    </row>
    <row r="1282">
      <c r="A1282" s="2" t="n">
        <v>1281</v>
      </c>
      <c r="B1282" s="2" t="inlineStr">
        <is>
          <t>Колеса для самокатов</t>
        </is>
      </c>
      <c r="C1282" s="2" t="inlineStr">
        <is>
          <t>Спорт, туризм</t>
        </is>
      </c>
      <c r="D1282" s="2" t="inlineStr">
        <is>
          <t>Спорт, туризм → Самокаты, гироскутеры, моноколеса → Колеса для самокатов</t>
        </is>
      </c>
      <c r="E1282" s="3" t="n">
        <v>1704589</v>
      </c>
      <c r="F1282" s="3" t="n">
        <v>267</v>
      </c>
      <c r="G1282" s="3">
        <f>IFERROR(E1282/F1282,0)</f>
        <v/>
      </c>
      <c r="H1282" s="3" t="n">
        <v>57</v>
      </c>
      <c r="I1282" s="2" t="n">
        <v>15</v>
      </c>
      <c r="J1282" s="3">
        <f>IFERROR(E1282/H1282,0)</f>
        <v/>
      </c>
      <c r="K1282" s="10">
        <f>E1282/'По разделам'!$B$21</f>
        <v/>
      </c>
      <c r="L1282" s="4">
        <f>L1281+K1282</f>
        <v/>
      </c>
      <c r="M1282" s="2" t="inlineStr">
        <is>
          <t>04089</t>
        </is>
      </c>
      <c r="N1282" s="2" t="inlineStr">
        <is>
          <t>https://app.redstat.kz/niche/04089?event_date=2026-08-01</t>
        </is>
      </c>
      <c r="O1282" s="2" t="inlineStr">
        <is>
          <t>https://kaspi.kz/shop/c/scooter%20wheels/</t>
        </is>
      </c>
    </row>
    <row r="1283">
      <c r="A1283" s="2" t="n">
        <v>1282</v>
      </c>
      <c r="B1283" s="2" t="inlineStr">
        <is>
          <t>Плиткорезы</t>
        </is>
      </c>
      <c r="C1283" s="2" t="inlineStr">
        <is>
          <t>Строительство, ремонт</t>
        </is>
      </c>
      <c r="D1283" s="2" t="inlineStr">
        <is>
          <t>Строительство, ремонт → Инструменты → Электро- и бензопилы → Плиткорезы</t>
        </is>
      </c>
      <c r="E1283" s="3" t="n">
        <v>1681132</v>
      </c>
      <c r="F1283" s="3" t="n">
        <v>58</v>
      </c>
      <c r="G1283" s="3">
        <f>IFERROR(E1283/F1283,0)</f>
        <v/>
      </c>
      <c r="H1283" s="3" t="n">
        <v>31</v>
      </c>
      <c r="I1283" s="2" t="n">
        <v>25</v>
      </c>
      <c r="J1283" s="3">
        <f>IFERROR(E1283/H1283,0)</f>
        <v/>
      </c>
      <c r="K1283" s="10">
        <f>E1283/'По разделам'!$B$21</f>
        <v/>
      </c>
      <c r="L1283" s="4">
        <f>L1282+K1283</f>
        <v/>
      </c>
      <c r="M1283" s="2" t="inlineStr">
        <is>
          <t>03426</t>
        </is>
      </c>
      <c r="N1283" s="2" t="inlineStr">
        <is>
          <t>https://app.redstat.kz/niche/03426?event_date=2026-08-01</t>
        </is>
      </c>
      <c r="O1283" s="2" t="inlineStr">
        <is>
          <t>https://kaspi.kz/shop/c/tile%20saws/</t>
        </is>
      </c>
    </row>
    <row r="1284">
      <c r="A1284" s="2" t="n">
        <v>1283</v>
      </c>
      <c r="B1284" s="2" t="inlineStr">
        <is>
          <t>Задние панели и корпуса для смартфонов</t>
        </is>
      </c>
      <c r="C1284" s="2" t="inlineStr">
        <is>
          <t>Телефоны и гаджеты</t>
        </is>
      </c>
      <c r="D1284" s="2" t="inlineStr">
        <is>
          <t>Телефоны и гаджеты → Аксессуары для телефонов → Задние панели и корпуса для смартфонов</t>
        </is>
      </c>
      <c r="E1284" s="3" t="n">
        <v>1679816</v>
      </c>
      <c r="F1284" s="3" t="n">
        <v>384</v>
      </c>
      <c r="G1284" s="3">
        <f>IFERROR(E1284/F1284,0)</f>
        <v/>
      </c>
      <c r="H1284" s="3" t="n">
        <v>152</v>
      </c>
      <c r="I1284" s="2" t="n">
        <v>5</v>
      </c>
      <c r="J1284" s="3">
        <f>IFERROR(E1284/H1284,0)</f>
        <v/>
      </c>
      <c r="K1284" s="10">
        <f>E1284/'По разделам'!$B$21</f>
        <v/>
      </c>
      <c r="L1284" s="4">
        <f>L1283+K1284</f>
        <v/>
      </c>
      <c r="M1284" s="2" t="inlineStr">
        <is>
          <t>09180</t>
        </is>
      </c>
      <c r="N1284" s="2" t="inlineStr">
        <is>
          <t>https://app.redstat.kz/niche/09180?event_date=2026-08-01</t>
        </is>
      </c>
      <c r="O1284" s="2" t="inlineStr">
        <is>
          <t>https://kaspi.kz/shop/c/smartphone%20back%20panel/</t>
        </is>
      </c>
    </row>
    <row r="1285">
      <c r="A1285" s="2" t="n">
        <v>1284</v>
      </c>
      <c r="B1285" s="2" t="inlineStr">
        <is>
          <t>Сапоги для мальчиков</t>
        </is>
      </c>
      <c r="C1285" s="2" t="inlineStr">
        <is>
          <t>Обувь</t>
        </is>
      </c>
      <c r="D1285" s="2" t="inlineStr">
        <is>
          <t>Обувь → Обувь для мальчиков → Сапоги для мальчиков</t>
        </is>
      </c>
      <c r="E1285" s="3" t="n">
        <v>1677190</v>
      </c>
      <c r="F1285" s="3" t="n">
        <v>83</v>
      </c>
      <c r="G1285" s="3">
        <f>IFERROR(E1285/F1285,0)</f>
        <v/>
      </c>
      <c r="H1285" s="3" t="n">
        <v>67</v>
      </c>
      <c r="I1285" s="2" t="n">
        <v>24</v>
      </c>
      <c r="J1285" s="3">
        <f>IFERROR(E1285/H1285,0)</f>
        <v/>
      </c>
      <c r="K1285" s="10">
        <f>E1285/'По разделам'!$B$21</f>
        <v/>
      </c>
      <c r="L1285" s="4">
        <f>L1284+K1285</f>
        <v/>
      </c>
      <c r="M1285" s="2" t="inlineStr">
        <is>
          <t>01144</t>
        </is>
      </c>
      <c r="N1285" s="2" t="inlineStr">
        <is>
          <t>https://app.redstat.kz/niche/01144?event_date=2026-08-01</t>
        </is>
      </c>
      <c r="O1285" s="2" t="inlineStr">
        <is>
          <t>https://kaspi.kz/shop/c/boy%20knee%20boots/</t>
        </is>
      </c>
    </row>
    <row r="1286">
      <c r="A1286" s="2" t="n">
        <v>1285</v>
      </c>
      <c r="B1286" s="2" t="inlineStr">
        <is>
          <t>Цепи противоскольжения для автомобилей</t>
        </is>
      </c>
      <c r="C1286" s="2" t="inlineStr">
        <is>
          <t>Автотовары</t>
        </is>
      </c>
      <c r="D1286" s="2" t="inlineStr">
        <is>
          <t>Автотовары → Автомобильное оборудование → Цепи противоскольжения для автомобилей</t>
        </is>
      </c>
      <c r="E1286" s="3" t="n">
        <v>1674827</v>
      </c>
      <c r="F1286" s="3" t="n">
        <v>47</v>
      </c>
      <c r="G1286" s="3">
        <f>IFERROR(E1286/F1286,0)</f>
        <v/>
      </c>
      <c r="H1286" s="3" t="n">
        <v>24</v>
      </c>
      <c r="I1286" s="2" t="n">
        <v>7</v>
      </c>
      <c r="J1286" s="3">
        <f>IFERROR(E1286/H1286,0)</f>
        <v/>
      </c>
      <c r="K1286" s="10">
        <f>E1286/'По разделам'!$B$21</f>
        <v/>
      </c>
      <c r="L1286" s="4">
        <f>L1285+K1286</f>
        <v/>
      </c>
      <c r="M1286" s="2" t="inlineStr">
        <is>
          <t>06168</t>
        </is>
      </c>
      <c r="N1286" s="2" t="inlineStr">
        <is>
          <t>https://app.redstat.kz/niche/06168?event_date=2026-08-01</t>
        </is>
      </c>
      <c r="O1286" s="2" t="inlineStr">
        <is>
          <t>https://kaspi.kz/shop/c/snow%20chains%20for%20cars/</t>
        </is>
      </c>
    </row>
    <row r="1287">
      <c r="A1287" s="2" t="n">
        <v>1286</v>
      </c>
      <c r="B1287" s="2" t="inlineStr">
        <is>
          <t>Веревки для альпинизма</t>
        </is>
      </c>
      <c r="C1287" s="2" t="inlineStr">
        <is>
          <t>Спорт, туризм</t>
        </is>
      </c>
      <c r="D1287" s="2" t="inlineStr">
        <is>
          <t>Спорт, туризм → Альпинизм и скалолазание → Веревки для альпинизма</t>
        </is>
      </c>
      <c r="E1287" s="3" t="n">
        <v>1671674</v>
      </c>
      <c r="F1287" s="3" t="n">
        <v>139</v>
      </c>
      <c r="G1287" s="3">
        <f>IFERROR(E1287/F1287,0)</f>
        <v/>
      </c>
      <c r="H1287" s="3" t="n">
        <v>66</v>
      </c>
      <c r="I1287" s="2" t="n">
        <v>16</v>
      </c>
      <c r="J1287" s="3">
        <f>IFERROR(E1287/H1287,0)</f>
        <v/>
      </c>
      <c r="K1287" s="10">
        <f>E1287/'По разделам'!$B$21</f>
        <v/>
      </c>
      <c r="L1287" s="4">
        <f>L1286+K1287</f>
        <v/>
      </c>
      <c r="M1287" s="2" t="inlineStr">
        <is>
          <t>03664</t>
        </is>
      </c>
      <c r="N1287" s="2" t="inlineStr">
        <is>
          <t>https://app.redstat.kz/niche/03664?event_date=2026-08-01</t>
        </is>
      </c>
      <c r="O1287" s="2" t="inlineStr">
        <is>
          <t>https://kaspi.kz/shop/c/climbing%20ropes/</t>
        </is>
      </c>
    </row>
    <row r="1288">
      <c r="A1288" s="2" t="n">
        <v>1287</v>
      </c>
      <c r="B1288" s="2" t="inlineStr">
        <is>
          <t>Газовые упоры капота и багажника</t>
        </is>
      </c>
      <c r="C1288" s="2" t="inlineStr">
        <is>
          <t>Автотовары</t>
        </is>
      </c>
      <c r="D1288" s="2" t="inlineStr">
        <is>
          <t>Автотовары → Автоаксессуары → Газовые упоры капота и багажника</t>
        </is>
      </c>
      <c r="E1288" s="3" t="n">
        <v>1669717</v>
      </c>
      <c r="F1288" s="3" t="n">
        <v>169</v>
      </c>
      <c r="G1288" s="3">
        <f>IFERROR(E1288/F1288,0)</f>
        <v/>
      </c>
      <c r="H1288" s="3" t="n">
        <v>59</v>
      </c>
      <c r="I1288" s="2" t="n">
        <v>26</v>
      </c>
      <c r="J1288" s="3">
        <f>IFERROR(E1288/H1288,0)</f>
        <v/>
      </c>
      <c r="K1288" s="10">
        <f>E1288/'По разделам'!$B$21</f>
        <v/>
      </c>
      <c r="L1288" s="4">
        <f>L1287+K1288</f>
        <v/>
      </c>
      <c r="M1288" s="2" t="inlineStr">
        <is>
          <t>04567</t>
        </is>
      </c>
      <c r="N1288" s="2" t="inlineStr">
        <is>
          <t>https://app.redstat.kz/niche/04567?event_date=2026-08-01</t>
        </is>
      </c>
      <c r="O1288" s="2" t="inlineStr">
        <is>
          <t>https://kaspi.kz/shop/c/hood%20and%20trunk%20stops/</t>
        </is>
      </c>
    </row>
    <row r="1289">
      <c r="A1289" s="2" t="n">
        <v>1288</v>
      </c>
      <c r="B1289" s="2" t="inlineStr">
        <is>
          <t>Кронштейны для хранения велосипедов</t>
        </is>
      </c>
      <c r="C1289" s="2" t="inlineStr">
        <is>
          <t>Спорт, туризм</t>
        </is>
      </c>
      <c r="D1289" s="2" t="inlineStr">
        <is>
          <t>Спорт, туризм → Велоспорт → Кронштейны для хранения велосипедов</t>
        </is>
      </c>
      <c r="E1289" s="3" t="n">
        <v>1661311</v>
      </c>
      <c r="F1289" s="3" t="n">
        <v>183</v>
      </c>
      <c r="G1289" s="3">
        <f>IFERROR(E1289/F1289,0)</f>
        <v/>
      </c>
      <c r="H1289" s="3" t="n">
        <v>38</v>
      </c>
      <c r="I1289" s="2" t="n">
        <v>15</v>
      </c>
      <c r="J1289" s="3">
        <f>IFERROR(E1289/H1289,0)</f>
        <v/>
      </c>
      <c r="K1289" s="10">
        <f>E1289/'По разделам'!$B$21</f>
        <v/>
      </c>
      <c r="L1289" s="4">
        <f>L1288+K1289</f>
        <v/>
      </c>
      <c r="M1289" s="2" t="inlineStr">
        <is>
          <t>04369</t>
        </is>
      </c>
      <c r="N1289" s="2" t="inlineStr">
        <is>
          <t>https://app.redstat.kz/niche/04369?event_date=2026-08-01</t>
        </is>
      </c>
      <c r="O1289" s="2" t="inlineStr">
        <is>
          <t>https://kaspi.kz/shop/c/bicycle%20storage%20brackets/</t>
        </is>
      </c>
    </row>
    <row r="1290">
      <c r="A1290" s="2" t="n">
        <v>1289</v>
      </c>
      <c r="B1290" s="2" t="inlineStr">
        <is>
          <t>Обручи для художественной гимнастики</t>
        </is>
      </c>
      <c r="C1290" s="2" t="inlineStr">
        <is>
          <t>Спорт, туризм</t>
        </is>
      </c>
      <c r="D1290" s="2" t="inlineStr">
        <is>
          <t>Спорт, туризм → Художественная гимнастика и танцы → Обручи для художественной гимнастики</t>
        </is>
      </c>
      <c r="E1290" s="3" t="n">
        <v>1660023</v>
      </c>
      <c r="F1290" s="3" t="n">
        <v>313</v>
      </c>
      <c r="G1290" s="3">
        <f>IFERROR(E1290/F1290,0)</f>
        <v/>
      </c>
      <c r="H1290" s="3" t="n">
        <v>96</v>
      </c>
      <c r="I1290" s="2" t="n">
        <v>10</v>
      </c>
      <c r="J1290" s="3">
        <f>IFERROR(E1290/H1290,0)</f>
        <v/>
      </c>
      <c r="K1290" s="10">
        <f>E1290/'По разделам'!$B$21</f>
        <v/>
      </c>
      <c r="L1290" s="4">
        <f>L1289+K1290</f>
        <v/>
      </c>
      <c r="M1290" s="2" t="inlineStr">
        <is>
          <t>04368</t>
        </is>
      </c>
      <c r="N1290" s="2" t="inlineStr">
        <is>
          <t>https://app.redstat.kz/niche/04368?event_date=2026-08-01</t>
        </is>
      </c>
      <c r="O1290" s="2" t="inlineStr">
        <is>
          <t>https://kaspi.kz/shop/c/hoops%20for%20rhythmic%20gymnastics/</t>
        </is>
      </c>
    </row>
    <row r="1291">
      <c r="A1291" s="2" t="n">
        <v>1290</v>
      </c>
      <c r="B1291" s="2" t="inlineStr">
        <is>
          <t>Чайники и самовары</t>
        </is>
      </c>
      <c r="C1291" s="2" t="inlineStr">
        <is>
          <t>Товары для дома и дачи</t>
        </is>
      </c>
      <c r="D1291" s="2" t="inlineStr">
        <is>
          <t>Товары для дома и дачи → Посуда и принадлежности → Чайники, кофейники и самовары → Чайники и самовары</t>
        </is>
      </c>
      <c r="E1291" s="3" t="n">
        <v>1656241</v>
      </c>
      <c r="F1291" s="3" t="n">
        <v>207</v>
      </c>
      <c r="G1291" s="3">
        <f>IFERROR(E1291/F1291,0)</f>
        <v/>
      </c>
      <c r="H1291" s="3" t="n">
        <v>116</v>
      </c>
      <c r="I1291" s="2" t="n">
        <v>54</v>
      </c>
      <c r="J1291" s="3">
        <f>IFERROR(E1291/H1291,0)</f>
        <v/>
      </c>
      <c r="K1291" s="10">
        <f>E1291/'По разделам'!$B$21</f>
        <v/>
      </c>
      <c r="L1291" s="4">
        <f>L1290+K1291</f>
        <v/>
      </c>
      <c r="M1291" s="2" t="inlineStr">
        <is>
          <t>05449</t>
        </is>
      </c>
      <c r="N1291" s="2" t="inlineStr">
        <is>
          <t>https://app.redstat.kz/niche/05449?event_date=2026-08-01</t>
        </is>
      </c>
      <c r="O1291" s="2" t="inlineStr">
        <is>
          <t>https://kaspi.kz/shop/c/tea%20kettles%20and%20samovars/</t>
        </is>
      </c>
    </row>
    <row r="1292">
      <c r="A1292" s="2" t="n">
        <v>1291</v>
      </c>
      <c r="B1292" s="2" t="inlineStr">
        <is>
          <t>Сноубординг</t>
        </is>
      </c>
      <c r="C1292" s="2" t="inlineStr">
        <is>
          <t>Спорт, туризм</t>
        </is>
      </c>
      <c r="D1292" s="2" t="inlineStr">
        <is>
          <t>Спорт, туризм → Зимний спорт → Сноубординг → Сноубординг</t>
        </is>
      </c>
      <c r="E1292" s="3" t="n">
        <v>1655549</v>
      </c>
      <c r="F1292" s="3" t="n">
        <v>9</v>
      </c>
      <c r="G1292" s="3">
        <f>IFERROR(E1292/F1292,0)</f>
        <v/>
      </c>
      <c r="H1292" s="3" t="n">
        <v>9</v>
      </c>
      <c r="I1292" s="2" t="n">
        <v>7</v>
      </c>
      <c r="J1292" s="3">
        <f>IFERROR(E1292/H1292,0)</f>
        <v/>
      </c>
      <c r="K1292" s="10">
        <f>E1292/'По разделам'!$B$21</f>
        <v/>
      </c>
      <c r="L1292" s="4">
        <f>L1291+K1292</f>
        <v/>
      </c>
      <c r="M1292" s="2" t="inlineStr">
        <is>
          <t>q1605970f8c78e3a</t>
        </is>
      </c>
      <c r="N1292" s="2" t="inlineStr">
        <is>
          <t>https://app.redstat.kz/niche/q1605970f8c78e3a?event_date=2026-08-01</t>
        </is>
      </c>
      <c r="O1292" s="2" t="inlineStr"/>
    </row>
    <row r="1293">
      <c r="A1293" s="2" t="n">
        <v>1292</v>
      </c>
      <c r="B1293" s="2" t="inlineStr">
        <is>
          <t>Спутниковые телефоны и коммуникаторы</t>
        </is>
      </c>
      <c r="C1293" s="2" t="inlineStr">
        <is>
          <t>Телефоны и гаджеты</t>
        </is>
      </c>
      <c r="D1293" s="2" t="inlineStr">
        <is>
          <t>Телефоны и гаджеты → Спутниковые телефоны и коммуникаторы</t>
        </is>
      </c>
      <c r="E1293" s="3" t="n">
        <v>1654500</v>
      </c>
      <c r="F1293" s="3" t="n">
        <v>5</v>
      </c>
      <c r="G1293" s="3">
        <f>IFERROR(E1293/F1293,0)</f>
        <v/>
      </c>
      <c r="H1293" s="3" t="n">
        <v>3</v>
      </c>
      <c r="I1293" s="2" t="n">
        <v>2</v>
      </c>
      <c r="J1293" s="3">
        <f>IFERROR(E1293/H1293,0)</f>
        <v/>
      </c>
      <c r="K1293" s="10">
        <f>E1293/'По разделам'!$B$21</f>
        <v/>
      </c>
      <c r="L1293" s="4">
        <f>L1292+K1293</f>
        <v/>
      </c>
      <c r="M1293" s="2" t="inlineStr">
        <is>
          <t>06552</t>
        </is>
      </c>
      <c r="N1293" s="2" t="inlineStr">
        <is>
          <t>https://app.redstat.kz/niche/06552?event_date=2026-08-01</t>
        </is>
      </c>
      <c r="O1293" s="2" t="inlineStr">
        <is>
          <t>https://kaspi.kz/shop/c/satellite%20phones%20and%20communicators/</t>
        </is>
      </c>
    </row>
    <row r="1294">
      <c r="A1294" s="2" t="n">
        <v>1293</v>
      </c>
      <c r="B1294" s="2" t="inlineStr">
        <is>
          <t>Влажные салфетки</t>
        </is>
      </c>
      <c r="C1294" s="2" t="inlineStr">
        <is>
          <t>Товары для дома и дачи</t>
        </is>
      </c>
      <c r="D1294" s="2" t="inlineStr">
        <is>
          <t>Товары для дома и дачи → Хозяйственные товары → Бумажная продукция для дома → Влажные салфетки</t>
        </is>
      </c>
      <c r="E1294" s="3" t="n">
        <v>1632232</v>
      </c>
      <c r="F1294" s="3" t="n">
        <v>1124</v>
      </c>
      <c r="G1294" s="3">
        <f>IFERROR(E1294/F1294,0)</f>
        <v/>
      </c>
      <c r="H1294" s="3" t="n">
        <v>309</v>
      </c>
      <c r="I1294" s="2" t="n">
        <v>119</v>
      </c>
      <c r="J1294" s="3">
        <f>IFERROR(E1294/H1294,0)</f>
        <v/>
      </c>
      <c r="K1294" s="10">
        <f>E1294/'По разделам'!$B$21</f>
        <v/>
      </c>
      <c r="L1294" s="4">
        <f>L1293+K1294</f>
        <v/>
      </c>
      <c r="M1294" s="2" t="inlineStr">
        <is>
          <t>03215</t>
        </is>
      </c>
      <c r="N1294" s="2" t="inlineStr">
        <is>
          <t>https://app.redstat.kz/niche/03215?event_date=2026-08-01</t>
        </is>
      </c>
      <c r="O1294" s="2" t="inlineStr">
        <is>
          <t>https://kaspi.kz/shop/c/wipes/</t>
        </is>
      </c>
    </row>
    <row r="1295">
      <c r="A1295" s="2" t="n">
        <v>1294</v>
      </c>
      <c r="B1295" s="2" t="inlineStr">
        <is>
          <t>Надувные игрушки</t>
        </is>
      </c>
      <c r="C1295" s="2" t="inlineStr">
        <is>
          <t>Детские товары</t>
        </is>
      </c>
      <c r="D1295" s="2" t="inlineStr">
        <is>
          <t>Детские товары → Игрушки → Надувные игрушки</t>
        </is>
      </c>
      <c r="E1295" s="3" t="n">
        <v>1609417</v>
      </c>
      <c r="F1295" s="3" t="n">
        <v>682</v>
      </c>
      <c r="G1295" s="3">
        <f>IFERROR(E1295/F1295,0)</f>
        <v/>
      </c>
      <c r="H1295" s="3" t="n">
        <v>86</v>
      </c>
      <c r="I1295" s="2" t="n">
        <v>14</v>
      </c>
      <c r="J1295" s="3">
        <f>IFERROR(E1295/H1295,0)</f>
        <v/>
      </c>
      <c r="K1295" s="10">
        <f>E1295/'По разделам'!$B$21</f>
        <v/>
      </c>
      <c r="L1295" s="4">
        <f>L1294+K1295</f>
        <v/>
      </c>
      <c r="M1295" s="2" t="inlineStr">
        <is>
          <t>02471</t>
        </is>
      </c>
      <c r="N1295" s="2" t="inlineStr">
        <is>
          <t>https://app.redstat.kz/niche/02471?event_date=2026-08-01</t>
        </is>
      </c>
      <c r="O1295" s="2" t="inlineStr">
        <is>
          <t>https://kaspi.kz/shop/c/inflatable%20toys/</t>
        </is>
      </c>
    </row>
    <row r="1296">
      <c r="A1296" s="2" t="n">
        <v>1295</v>
      </c>
      <c r="B1296" s="2" t="inlineStr">
        <is>
          <t>Аквариумная химия</t>
        </is>
      </c>
      <c r="C1296" s="2" t="inlineStr">
        <is>
          <t>Товары для животных</t>
        </is>
      </c>
      <c r="D1296" s="2" t="inlineStr">
        <is>
          <t>Товары для животных → Для рыб и рептилий → Аквариумная химия</t>
        </is>
      </c>
      <c r="E1296" s="3" t="n">
        <v>1608629</v>
      </c>
      <c r="F1296" s="3" t="n">
        <v>370</v>
      </c>
      <c r="G1296" s="3">
        <f>IFERROR(E1296/F1296,0)</f>
        <v/>
      </c>
      <c r="H1296" s="3" t="n">
        <v>110</v>
      </c>
      <c r="I1296" s="2" t="n">
        <v>15</v>
      </c>
      <c r="J1296" s="3">
        <f>IFERROR(E1296/H1296,0)</f>
        <v/>
      </c>
      <c r="K1296" s="10">
        <f>E1296/'По разделам'!$B$21</f>
        <v/>
      </c>
      <c r="L1296" s="4">
        <f>L1295+K1296</f>
        <v/>
      </c>
      <c r="M1296" s="2" t="inlineStr">
        <is>
          <t>04778</t>
        </is>
      </c>
      <c r="N1296" s="2" t="inlineStr">
        <is>
          <t>https://app.redstat.kz/niche/04778?event_date=2026-08-01</t>
        </is>
      </c>
      <c r="O1296" s="2" t="inlineStr">
        <is>
          <t>https://kaspi.kz/shop/c/aquarium%20water%20treatments/</t>
        </is>
      </c>
    </row>
    <row r="1297">
      <c r="A1297" s="2" t="n">
        <v>1296</v>
      </c>
      <c r="B1297" s="2" t="inlineStr">
        <is>
          <t>Банные печи</t>
        </is>
      </c>
      <c r="C1297" s="2" t="inlineStr">
        <is>
          <t>Товары для дома и дачи</t>
        </is>
      </c>
      <c r="D1297" s="2" t="inlineStr">
        <is>
          <t>Товары для дома и дачи → Дача, сад и огород → Баня и сауна → Банные печи</t>
        </is>
      </c>
      <c r="E1297" s="3" t="n">
        <v>1606409</v>
      </c>
      <c r="F1297" s="3" t="n">
        <v>242</v>
      </c>
      <c r="G1297" s="3">
        <f>IFERROR(E1297/F1297,0)</f>
        <v/>
      </c>
      <c r="H1297" s="3" t="n">
        <v>115</v>
      </c>
      <c r="I1297" s="2" t="n">
        <v>24</v>
      </c>
      <c r="J1297" s="3">
        <f>IFERROR(E1297/H1297,0)</f>
        <v/>
      </c>
      <c r="K1297" s="10">
        <f>E1297/'По разделам'!$B$21</f>
        <v/>
      </c>
      <c r="L1297" s="4">
        <f>L1296+K1297</f>
        <v/>
      </c>
      <c r="M1297" s="2" t="inlineStr">
        <is>
          <t>03518</t>
        </is>
      </c>
      <c r="N1297" s="2" t="inlineStr">
        <is>
          <t>https://app.redstat.kz/niche/03518?event_date=2026-08-01</t>
        </is>
      </c>
      <c r="O1297" s="2" t="inlineStr">
        <is>
          <t>https://kaspi.kz/shop/c/sauna%20stoves/</t>
        </is>
      </c>
    </row>
    <row r="1298">
      <c r="A1298" s="2" t="n">
        <v>1297</v>
      </c>
      <c r="B1298" s="2" t="inlineStr">
        <is>
          <t>Бинты для пауэрлифтинга</t>
        </is>
      </c>
      <c r="C1298" s="2" t="inlineStr">
        <is>
          <t>Спорт, туризм</t>
        </is>
      </c>
      <c r="D1298" s="2" t="inlineStr">
        <is>
          <t>Спорт, туризм → Пауэрлифтинг → Бинты для пауэрлифтинга</t>
        </is>
      </c>
      <c r="E1298" s="3" t="n">
        <v>1605030</v>
      </c>
      <c r="F1298" s="3" t="n">
        <v>152</v>
      </c>
      <c r="G1298" s="3">
        <f>IFERROR(E1298/F1298,0)</f>
        <v/>
      </c>
      <c r="H1298" s="3" t="n">
        <v>46</v>
      </c>
      <c r="I1298" s="2" t="n">
        <v>15</v>
      </c>
      <c r="J1298" s="3">
        <f>IFERROR(E1298/H1298,0)</f>
        <v/>
      </c>
      <c r="K1298" s="10">
        <f>E1298/'По разделам'!$B$21</f>
        <v/>
      </c>
      <c r="L1298" s="4">
        <f>L1297+K1298</f>
        <v/>
      </c>
      <c r="M1298" s="2" t="inlineStr">
        <is>
          <t>04463</t>
        </is>
      </c>
      <c r="N1298" s="2" t="inlineStr">
        <is>
          <t>https://app.redstat.kz/niche/04463?event_date=2026-08-01</t>
        </is>
      </c>
      <c r="O1298" s="2" t="inlineStr">
        <is>
          <t>https://kaspi.kz/shop/c/powerlifting%20wraps/</t>
        </is>
      </c>
    </row>
    <row r="1299">
      <c r="A1299" s="2" t="n">
        <v>1298</v>
      </c>
      <c r="B1299" s="2" t="inlineStr">
        <is>
          <t>Надувные водные аттракционы</t>
        </is>
      </c>
      <c r="C1299" s="2" t="inlineStr">
        <is>
          <t>Спорт, туризм</t>
        </is>
      </c>
      <c r="D1299" s="2" t="inlineStr">
        <is>
          <t>Спорт, туризм → Водный спорт → Надувные водные аттракционы</t>
        </is>
      </c>
      <c r="E1299" s="3" t="n">
        <v>1588180</v>
      </c>
      <c r="F1299" s="3" t="n">
        <v>10</v>
      </c>
      <c r="G1299" s="3">
        <f>IFERROR(E1299/F1299,0)</f>
        <v/>
      </c>
      <c r="H1299" s="3" t="n">
        <v>8</v>
      </c>
      <c r="I1299" s="2" t="n">
        <v>3</v>
      </c>
      <c r="J1299" s="3">
        <f>IFERROR(E1299/H1299,0)</f>
        <v/>
      </c>
      <c r="K1299" s="10">
        <f>E1299/'По разделам'!$B$21</f>
        <v/>
      </c>
      <c r="L1299" s="4">
        <f>L1298+K1299</f>
        <v/>
      </c>
      <c r="M1299" s="2" t="inlineStr">
        <is>
          <t>06566</t>
        </is>
      </c>
      <c r="N1299" s="2" t="inlineStr">
        <is>
          <t>https://app.redstat.kz/niche/06566?event_date=2026-08-01</t>
        </is>
      </c>
      <c r="O1299" s="2" t="inlineStr">
        <is>
          <t>https://kaspi.kz/shop/c/inflatable%20water%20attractions/</t>
        </is>
      </c>
    </row>
    <row r="1300">
      <c r="A1300" s="2" t="n">
        <v>1299</v>
      </c>
      <c r="B1300" s="2" t="inlineStr">
        <is>
          <t>Газовые обогреватели</t>
        </is>
      </c>
      <c r="C1300" s="2" t="inlineStr">
        <is>
          <t>Строительство, ремонт</t>
        </is>
      </c>
      <c r="D1300" s="2" t="inlineStr">
        <is>
          <t>Строительство, ремонт → Системы отопления → Газовые обогреватели</t>
        </is>
      </c>
      <c r="E1300" s="3" t="n">
        <v>1587784</v>
      </c>
      <c r="F1300" s="3" t="n">
        <v>20</v>
      </c>
      <c r="G1300" s="3">
        <f>IFERROR(E1300/F1300,0)</f>
        <v/>
      </c>
      <c r="H1300" s="3" t="n">
        <v>11</v>
      </c>
      <c r="I1300" s="2" t="n">
        <v>6</v>
      </c>
      <c r="J1300" s="3">
        <f>IFERROR(E1300/H1300,0)</f>
        <v/>
      </c>
      <c r="K1300" s="10">
        <f>E1300/'По разделам'!$B$21</f>
        <v/>
      </c>
      <c r="L1300" s="4">
        <f>L1299+K1300</f>
        <v/>
      </c>
      <c r="M1300" s="2" t="inlineStr">
        <is>
          <t>06403</t>
        </is>
      </c>
      <c r="N1300" s="2" t="inlineStr">
        <is>
          <t>https://app.redstat.kz/niche/06403?event_date=2026-08-01</t>
        </is>
      </c>
      <c r="O1300" s="2" t="inlineStr">
        <is>
          <t>https://kaspi.kz/shop/c/gas%20heaters/</t>
        </is>
      </c>
    </row>
    <row r="1301">
      <c r="A1301" s="2" t="n">
        <v>1300</v>
      </c>
      <c r="B1301" s="2" t="inlineStr">
        <is>
          <t>Средства для солярия</t>
        </is>
      </c>
      <c r="C1301" s="2" t="inlineStr">
        <is>
          <t>Красота и здоровье</t>
        </is>
      </c>
      <c r="D1301" s="2" t="inlineStr">
        <is>
          <t>Красота и здоровье → Уход за телом → Средства для солярия</t>
        </is>
      </c>
      <c r="E1301" s="3" t="n">
        <v>1578646</v>
      </c>
      <c r="F1301" s="3" t="n">
        <v>288</v>
      </c>
      <c r="G1301" s="3">
        <f>IFERROR(E1301/F1301,0)</f>
        <v/>
      </c>
      <c r="H1301" s="3" t="n">
        <v>58</v>
      </c>
      <c r="I1301" s="2" t="n">
        <v>9</v>
      </c>
      <c r="J1301" s="3">
        <f>IFERROR(E1301/H1301,0)</f>
        <v/>
      </c>
      <c r="K1301" s="10">
        <f>E1301/'По разделам'!$B$21</f>
        <v/>
      </c>
      <c r="L1301" s="4">
        <f>L1300+K1301</f>
        <v/>
      </c>
      <c r="M1301" s="2" t="inlineStr">
        <is>
          <t>09022</t>
        </is>
      </c>
      <c r="N1301" s="2" t="inlineStr">
        <is>
          <t>https://app.redstat.kz/niche/09022?event_date=2026-08-01</t>
        </is>
      </c>
      <c r="O1301" s="2" t="inlineStr">
        <is>
          <t>https://kaspi.kz/shop/c/tanning%20products/</t>
        </is>
      </c>
    </row>
    <row r="1302">
      <c r="A1302" s="2" t="n">
        <v>1301</v>
      </c>
      <c r="B1302" s="2" t="inlineStr">
        <is>
          <t>Беруши для плавания</t>
        </is>
      </c>
      <c r="C1302" s="2" t="inlineStr">
        <is>
          <t>Спорт, туризм</t>
        </is>
      </c>
      <c r="D1302" s="2" t="inlineStr">
        <is>
          <t>Спорт, туризм → Водный спорт → Беруши для плавания</t>
        </is>
      </c>
      <c r="E1302" s="3" t="n">
        <v>1577457</v>
      </c>
      <c r="F1302" s="3" t="n">
        <v>1017</v>
      </c>
      <c r="G1302" s="3">
        <f>IFERROR(E1302/F1302,0)</f>
        <v/>
      </c>
      <c r="H1302" s="3" t="n">
        <v>80</v>
      </c>
      <c r="I1302" s="2" t="n">
        <v>20</v>
      </c>
      <c r="J1302" s="3">
        <f>IFERROR(E1302/H1302,0)</f>
        <v/>
      </c>
      <c r="K1302" s="10">
        <f>E1302/'По разделам'!$B$21</f>
        <v/>
      </c>
      <c r="L1302" s="4">
        <f>L1301+K1302</f>
        <v/>
      </c>
      <c r="M1302" s="2" t="inlineStr">
        <is>
          <t>02151</t>
        </is>
      </c>
      <c r="N1302" s="2" t="inlineStr">
        <is>
          <t>https://app.redstat.kz/niche/02151?event_date=2026-08-01</t>
        </is>
      </c>
      <c r="O1302" s="2" t="inlineStr">
        <is>
          <t>https://kaspi.kz/shop/c/swimming%20earplugs/</t>
        </is>
      </c>
    </row>
    <row r="1303">
      <c r="A1303" s="2" t="n">
        <v>1302</v>
      </c>
      <c r="B1303" s="2" t="inlineStr">
        <is>
          <t>Гибкие подводки</t>
        </is>
      </c>
      <c r="C1303" s="2" t="inlineStr">
        <is>
          <t>Строительство, ремонт</t>
        </is>
      </c>
      <c r="D1303" s="2" t="inlineStr">
        <is>
          <t>Строительство, ремонт → Сантехника → Гибкие подводки</t>
        </is>
      </c>
      <c r="E1303" s="3" t="n">
        <v>1554949</v>
      </c>
      <c r="F1303" s="3" t="n">
        <v>531</v>
      </c>
      <c r="G1303" s="3">
        <f>IFERROR(E1303/F1303,0)</f>
        <v/>
      </c>
      <c r="H1303" s="3" t="n">
        <v>105</v>
      </c>
      <c r="I1303" s="2" t="n">
        <v>31</v>
      </c>
      <c r="J1303" s="3">
        <f>IFERROR(E1303/H1303,0)</f>
        <v/>
      </c>
      <c r="K1303" s="10">
        <f>E1303/'По разделам'!$B$21</f>
        <v/>
      </c>
      <c r="L1303" s="4">
        <f>L1302+K1303</f>
        <v/>
      </c>
      <c r="M1303" s="2" t="inlineStr">
        <is>
          <t>05953</t>
        </is>
      </c>
      <c r="N1303" s="2" t="inlineStr">
        <is>
          <t>https://app.redstat.kz/niche/05953?event_date=2026-08-01</t>
        </is>
      </c>
      <c r="O1303" s="2" t="inlineStr">
        <is>
          <t>https://kaspi.kz/shop/c/flexible%20liners/</t>
        </is>
      </c>
    </row>
    <row r="1304">
      <c r="A1304" s="2" t="n">
        <v>1303</v>
      </c>
      <c r="B1304" s="2" t="inlineStr">
        <is>
          <t>Автомобильные рефрижераторы</t>
        </is>
      </c>
      <c r="C1304" s="2" t="inlineStr">
        <is>
          <t>Автотовары</t>
        </is>
      </c>
      <c r="D1304" s="2" t="inlineStr">
        <is>
          <t>Автотовары → Автомобильное оборудование → Автомобильные рефрижераторы</t>
        </is>
      </c>
      <c r="E1304" s="3" t="n">
        <v>1553995</v>
      </c>
      <c r="F1304" s="3" t="n">
        <v>1</v>
      </c>
      <c r="G1304" s="3">
        <f>IFERROR(E1304/F1304,0)</f>
        <v/>
      </c>
      <c r="H1304" s="3" t="n">
        <v>1</v>
      </c>
      <c r="I1304" s="2" t="n">
        <v>1</v>
      </c>
      <c r="J1304" s="3">
        <f>IFERROR(E1304/H1304,0)</f>
        <v/>
      </c>
      <c r="K1304" s="10">
        <f>E1304/'По разделам'!$B$21</f>
        <v/>
      </c>
      <c r="L1304" s="4">
        <f>L1303+K1304</f>
        <v/>
      </c>
      <c r="M1304" s="2" t="inlineStr">
        <is>
          <t>06963</t>
        </is>
      </c>
      <c r="N1304" s="2" t="inlineStr">
        <is>
          <t>https://app.redstat.kz/niche/06963?event_date=2026-08-01</t>
        </is>
      </c>
      <c r="O1304" s="2" t="inlineStr">
        <is>
          <t>https://kaspi.kz/shop/c/automobile%20refrigerators/</t>
        </is>
      </c>
    </row>
    <row r="1305">
      <c r="A1305" s="2" t="n">
        <v>1304</v>
      </c>
      <c r="B1305" s="2" t="inlineStr">
        <is>
          <t>Фурнитура для украшений</t>
        </is>
      </c>
      <c r="C1305" s="2" t="inlineStr">
        <is>
          <t>Украшения</t>
        </is>
      </c>
      <c r="D1305" s="2" t="inlineStr">
        <is>
          <t>Украшения → Ювелирное оборудование, подставки и фурнитура → Фурнитура для украшений</t>
        </is>
      </c>
      <c r="E1305" s="3" t="n">
        <v>1547527</v>
      </c>
      <c r="F1305" s="3" t="n">
        <v>1727</v>
      </c>
      <c r="G1305" s="3">
        <f>IFERROR(E1305/F1305,0)</f>
        <v/>
      </c>
      <c r="H1305" s="3" t="n">
        <v>218</v>
      </c>
      <c r="I1305" s="2" t="n">
        <v>25</v>
      </c>
      <c r="J1305" s="3">
        <f>IFERROR(E1305/H1305,0)</f>
        <v/>
      </c>
      <c r="K1305" s="10">
        <f>E1305/'По разделам'!$B$21</f>
        <v/>
      </c>
      <c r="L1305" s="4">
        <f>L1304+K1305</f>
        <v/>
      </c>
      <c r="M1305" s="2" t="inlineStr">
        <is>
          <t>05786</t>
        </is>
      </c>
      <c r="N1305" s="2" t="inlineStr">
        <is>
          <t>https://app.redstat.kz/niche/05786?event_date=2026-08-01</t>
        </is>
      </c>
      <c r="O1305" s="2" t="inlineStr">
        <is>
          <t>https://kaspi.kz/shop/c/accessories%20for%20jewelry/</t>
        </is>
      </c>
    </row>
    <row r="1306">
      <c r="A1306" s="2" t="n">
        <v>1305</v>
      </c>
      <c r="B1306" s="2" t="inlineStr">
        <is>
          <t>Комплектующие для опалубки</t>
        </is>
      </c>
      <c r="C1306" s="2" t="inlineStr">
        <is>
          <t>Строительство, ремонт</t>
        </is>
      </c>
      <c r="D1306" s="2" t="inlineStr">
        <is>
          <t>Строительство, ремонт → Строительный крепеж → Комплектующие для опалубки</t>
        </is>
      </c>
      <c r="E1306" s="3" t="n">
        <v>1544729</v>
      </c>
      <c r="F1306" s="3" t="n">
        <v>47</v>
      </c>
      <c r="G1306" s="3">
        <f>IFERROR(E1306/F1306,0)</f>
        <v/>
      </c>
      <c r="H1306" s="3" t="n">
        <v>14</v>
      </c>
      <c r="I1306" s="2" t="n">
        <v>6</v>
      </c>
      <c r="J1306" s="3">
        <f>IFERROR(E1306/H1306,0)</f>
        <v/>
      </c>
      <c r="K1306" s="10">
        <f>E1306/'По разделам'!$B$21</f>
        <v/>
      </c>
      <c r="L1306" s="4">
        <f>L1305+K1306</f>
        <v/>
      </c>
      <c r="M1306" s="2" t="inlineStr">
        <is>
          <t>06786</t>
        </is>
      </c>
      <c r="N1306" s="2" t="inlineStr">
        <is>
          <t>https://app.redstat.kz/niche/06786?event_date=2026-08-01</t>
        </is>
      </c>
      <c r="O1306" s="2" t="inlineStr">
        <is>
          <t>https://kaspi.kz/shop/c/formwork%20accessories/</t>
        </is>
      </c>
    </row>
    <row r="1307">
      <c r="A1307" s="2" t="n">
        <v>1306</v>
      </c>
      <c r="B1307" s="2" t="inlineStr">
        <is>
          <t>Оборудование для груминга</t>
        </is>
      </c>
      <c r="C1307" s="2" t="inlineStr">
        <is>
          <t>Товары для животных</t>
        </is>
      </c>
      <c r="D1307" s="2" t="inlineStr">
        <is>
          <t>Товары для животных → Груминг → Оборудование для груминга</t>
        </is>
      </c>
      <c r="E1307" s="3" t="n">
        <v>1534123</v>
      </c>
      <c r="F1307" s="3" t="n">
        <v>47</v>
      </c>
      <c r="G1307" s="3">
        <f>IFERROR(E1307/F1307,0)</f>
        <v/>
      </c>
      <c r="H1307" s="3" t="n">
        <v>17</v>
      </c>
      <c r="I1307" s="2" t="n">
        <v>9</v>
      </c>
      <c r="J1307" s="3">
        <f>IFERROR(E1307/H1307,0)</f>
        <v/>
      </c>
      <c r="K1307" s="10">
        <f>E1307/'По разделам'!$B$21</f>
        <v/>
      </c>
      <c r="L1307" s="4">
        <f>L1306+K1307</f>
        <v/>
      </c>
      <c r="M1307" s="2" t="inlineStr">
        <is>
          <t>03909</t>
        </is>
      </c>
      <c r="N1307" s="2" t="inlineStr">
        <is>
          <t>https://app.redstat.kz/niche/03909?event_date=2026-08-01</t>
        </is>
      </c>
      <c r="O1307" s="2" t="inlineStr">
        <is>
          <t>https://kaspi.kz/shop/c/grooming%20equipment/</t>
        </is>
      </c>
    </row>
    <row r="1308">
      <c r="A1308" s="2" t="n">
        <v>1307</v>
      </c>
      <c r="B1308" s="2" t="inlineStr">
        <is>
          <t>Радиаторы</t>
        </is>
      </c>
      <c r="C1308" s="2" t="inlineStr">
        <is>
          <t>Автотовары</t>
        </is>
      </c>
      <c r="D1308" s="2" t="inlineStr">
        <is>
          <t>Автотовары → Автозапчасти → Система охлаждения → Радиаторы</t>
        </is>
      </c>
      <c r="E1308" s="3" t="n">
        <v>1531732</v>
      </c>
      <c r="F1308" s="3" t="n">
        <v>67</v>
      </c>
      <c r="G1308" s="3">
        <f>IFERROR(E1308/F1308,0)</f>
        <v/>
      </c>
      <c r="H1308" s="3" t="n">
        <v>45</v>
      </c>
      <c r="I1308" s="2" t="n">
        <v>27</v>
      </c>
      <c r="J1308" s="3">
        <f>IFERROR(E1308/H1308,0)</f>
        <v/>
      </c>
      <c r="K1308" s="10">
        <f>E1308/'По разделам'!$B$21</f>
        <v/>
      </c>
      <c r="L1308" s="4">
        <f>L1307+K1308</f>
        <v/>
      </c>
      <c r="M1308" s="2" t="inlineStr">
        <is>
          <t>03786</t>
        </is>
      </c>
      <c r="N1308" s="2" t="inlineStr">
        <is>
          <t>https://app.redstat.kz/niche/03786?event_date=2026-08-01</t>
        </is>
      </c>
      <c r="O1308" s="2" t="inlineStr">
        <is>
          <t>https://kaspi.kz/shop/c/radiators/</t>
        </is>
      </c>
    </row>
    <row r="1309">
      <c r="A1309" s="2" t="n">
        <v>1308</v>
      </c>
      <c r="B1309" s="2" t="inlineStr">
        <is>
          <t>Пена, масло для ванны</t>
        </is>
      </c>
      <c r="C1309" s="2" t="inlineStr">
        <is>
          <t>Красота и здоровье</t>
        </is>
      </c>
      <c r="D1309" s="2" t="inlineStr">
        <is>
          <t>Красота и здоровье → Уход за телом → Пена, масло для ванны</t>
        </is>
      </c>
      <c r="E1309" s="3" t="n">
        <v>1521110</v>
      </c>
      <c r="F1309" s="3" t="n">
        <v>560</v>
      </c>
      <c r="G1309" s="3">
        <f>IFERROR(E1309/F1309,0)</f>
        <v/>
      </c>
      <c r="H1309" s="3" t="n">
        <v>86</v>
      </c>
      <c r="I1309" s="2" t="n">
        <v>33</v>
      </c>
      <c r="J1309" s="3">
        <f>IFERROR(E1309/H1309,0)</f>
        <v/>
      </c>
      <c r="K1309" s="10">
        <f>E1309/'По разделам'!$B$21</f>
        <v/>
      </c>
      <c r="L1309" s="4">
        <f>L1308+K1309</f>
        <v/>
      </c>
      <c r="M1309" s="2" t="inlineStr">
        <is>
          <t>06202</t>
        </is>
      </c>
      <c r="N1309" s="2" t="inlineStr">
        <is>
          <t>https://app.redstat.kz/niche/06202?event_date=2026-08-01</t>
        </is>
      </c>
      <c r="O1309" s="2" t="inlineStr">
        <is>
          <t>https://kaspi.kz/shop/c/bath%20foam/</t>
        </is>
      </c>
    </row>
    <row r="1310">
      <c r="A1310" s="2" t="n">
        <v>1309</v>
      </c>
      <c r="B1310" s="2" t="inlineStr">
        <is>
          <t>Раковины</t>
        </is>
      </c>
      <c r="C1310" s="2" t="inlineStr">
        <is>
          <t>Строительство, ремонт</t>
        </is>
      </c>
      <c r="D1310" s="2" t="inlineStr">
        <is>
          <t>Строительство, ремонт → Сантехника → Раковины, пьедесталы и аксессуары → Раковины</t>
        </is>
      </c>
      <c r="E1310" s="3" t="n">
        <v>1519460</v>
      </c>
      <c r="F1310" s="3" t="n">
        <v>51</v>
      </c>
      <c r="G1310" s="3">
        <f>IFERROR(E1310/F1310,0)</f>
        <v/>
      </c>
      <c r="H1310" s="3" t="n">
        <v>34</v>
      </c>
      <c r="I1310" s="2" t="n">
        <v>18</v>
      </c>
      <c r="J1310" s="3">
        <f>IFERROR(E1310/H1310,0)</f>
        <v/>
      </c>
      <c r="K1310" s="10">
        <f>E1310/'По разделам'!$B$21</f>
        <v/>
      </c>
      <c r="L1310" s="4">
        <f>L1309+K1310</f>
        <v/>
      </c>
      <c r="M1310" s="2" t="inlineStr">
        <is>
          <t>05445</t>
        </is>
      </c>
      <c r="N1310" s="2" t="inlineStr">
        <is>
          <t>https://app.redstat.kz/niche/05445?event_date=2026-08-01</t>
        </is>
      </c>
      <c r="O1310" s="2" t="inlineStr">
        <is>
          <t>https://kaspi.kz/shop/c/sinks/</t>
        </is>
      </c>
    </row>
    <row r="1311">
      <c r="A1311" s="2" t="n">
        <v>1310</v>
      </c>
      <c r="B1311" s="2" t="inlineStr">
        <is>
          <t>Пломбы для опечатывания</t>
        </is>
      </c>
      <c r="C1311" s="2" t="inlineStr">
        <is>
          <t>Строительство, ремонт</t>
        </is>
      </c>
      <c r="D1311" s="2" t="inlineStr">
        <is>
          <t>Строительство, ремонт → Строительный крепеж → Пломбы для опечатывания</t>
        </is>
      </c>
      <c r="E1311" s="3" t="n">
        <v>1512756</v>
      </c>
      <c r="F1311" s="3" t="n">
        <v>325</v>
      </c>
      <c r="G1311" s="3">
        <f>IFERROR(E1311/F1311,0)</f>
        <v/>
      </c>
      <c r="H1311" s="3" t="n">
        <v>27</v>
      </c>
      <c r="I1311" s="2" t="n">
        <v>3</v>
      </c>
      <c r="J1311" s="3">
        <f>IFERROR(E1311/H1311,0)</f>
        <v/>
      </c>
      <c r="K1311" s="10">
        <f>E1311/'По разделам'!$B$21</f>
        <v/>
      </c>
      <c r="L1311" s="4">
        <f>L1310+K1311</f>
        <v/>
      </c>
      <c r="M1311" s="2" t="inlineStr">
        <is>
          <t>06129</t>
        </is>
      </c>
      <c r="N1311" s="2" t="inlineStr">
        <is>
          <t>https://app.redstat.kz/niche/06129?event_date=2026-08-01</t>
        </is>
      </c>
      <c r="O1311" s="2" t="inlineStr">
        <is>
          <t>https://kaspi.kz/shop/c/seals%20for%20sealing/</t>
        </is>
      </c>
    </row>
    <row r="1312">
      <c r="A1312" s="2" t="n">
        <v>1311</v>
      </c>
      <c r="B1312" s="2" t="inlineStr">
        <is>
          <t>Капы спортивные</t>
        </is>
      </c>
      <c r="C1312" s="2" t="inlineStr">
        <is>
          <t>Спорт, туризм</t>
        </is>
      </c>
      <c r="D1312" s="2" t="inlineStr">
        <is>
          <t>Спорт, туризм → Единоборства → Капы спортивные</t>
        </is>
      </c>
      <c r="E1312" s="3" t="n">
        <v>1512672</v>
      </c>
      <c r="F1312" s="3" t="n">
        <v>669</v>
      </c>
      <c r="G1312" s="3">
        <f>IFERROR(E1312/F1312,0)</f>
        <v/>
      </c>
      <c r="H1312" s="3" t="n">
        <v>95</v>
      </c>
      <c r="I1312" s="2" t="n">
        <v>28</v>
      </c>
      <c r="J1312" s="3">
        <f>IFERROR(E1312/H1312,0)</f>
        <v/>
      </c>
      <c r="K1312" s="10">
        <f>E1312/'По разделам'!$B$21</f>
        <v/>
      </c>
      <c r="L1312" s="4">
        <f>L1311+K1312</f>
        <v/>
      </c>
      <c r="M1312" s="2" t="inlineStr">
        <is>
          <t>01687</t>
        </is>
      </c>
      <c r="N1312" s="2" t="inlineStr">
        <is>
          <t>https://app.redstat.kz/niche/01687?event_date=2026-08-01</t>
        </is>
      </c>
      <c r="O1312" s="2" t="inlineStr">
        <is>
          <t>https://kaspi.kz/shop/c/sports%20mouthguards/</t>
        </is>
      </c>
    </row>
    <row r="1313">
      <c r="A1313" s="2" t="n">
        <v>1312</v>
      </c>
      <c r="B1313" s="2" t="inlineStr">
        <is>
          <t>Фильтры для воды</t>
        </is>
      </c>
      <c r="C1313" s="2" t="inlineStr">
        <is>
          <t>Строительство, ремонт</t>
        </is>
      </c>
      <c r="D1313" s="2" t="inlineStr">
        <is>
          <t>Строительство, ремонт → Водоснабжение → Фильтры для воды и комплектующие → Фильтры для воды</t>
        </is>
      </c>
      <c r="E1313" s="3" t="n">
        <v>1507797</v>
      </c>
      <c r="F1313" s="3" t="n">
        <v>107</v>
      </c>
      <c r="G1313" s="3">
        <f>IFERROR(E1313/F1313,0)</f>
        <v/>
      </c>
      <c r="H1313" s="3" t="n">
        <v>51</v>
      </c>
      <c r="I1313" s="2" t="n">
        <v>18</v>
      </c>
      <c r="J1313" s="3">
        <f>IFERROR(E1313/H1313,0)</f>
        <v/>
      </c>
      <c r="K1313" s="10">
        <f>E1313/'По разделам'!$B$21</f>
        <v/>
      </c>
      <c r="L1313" s="4">
        <f>L1312+K1313</f>
        <v/>
      </c>
      <c r="M1313" s="2" t="inlineStr">
        <is>
          <t>03128</t>
        </is>
      </c>
      <c r="N1313" s="2" t="inlineStr">
        <is>
          <t>https://app.redstat.kz/niche/03128?event_date=2026-08-01</t>
        </is>
      </c>
      <c r="O1313" s="2" t="inlineStr">
        <is>
          <t>https://kaspi.kz/shop/c/water%20filters/</t>
        </is>
      </c>
    </row>
    <row r="1314">
      <c r="A1314" s="2" t="n">
        <v>1313</v>
      </c>
      <c r="B1314" s="2" t="inlineStr">
        <is>
          <t>Водяные насосы</t>
        </is>
      </c>
      <c r="C1314" s="2" t="inlineStr">
        <is>
          <t>Строительство, ремонт</t>
        </is>
      </c>
      <c r="D1314" s="2" t="inlineStr">
        <is>
          <t>Строительство, ремонт → Водоснабжение → Насосы → Водяные насосы</t>
        </is>
      </c>
      <c r="E1314" s="3" t="n">
        <v>1498730</v>
      </c>
      <c r="F1314" s="3" t="n">
        <v>59</v>
      </c>
      <c r="G1314" s="3">
        <f>IFERROR(E1314/F1314,0)</f>
        <v/>
      </c>
      <c r="H1314" s="3" t="n">
        <v>33</v>
      </c>
      <c r="I1314" s="2" t="n">
        <v>23</v>
      </c>
      <c r="J1314" s="3">
        <f>IFERROR(E1314/H1314,0)</f>
        <v/>
      </c>
      <c r="K1314" s="10">
        <f>E1314/'По разделам'!$B$21</f>
        <v/>
      </c>
      <c r="L1314" s="4">
        <f>L1313+K1314</f>
        <v/>
      </c>
      <c r="M1314" s="2" t="inlineStr">
        <is>
          <t>00763</t>
        </is>
      </c>
      <c r="N1314" s="2" t="inlineStr">
        <is>
          <t>https://app.redstat.kz/niche/00763?event_date=2026-08-01</t>
        </is>
      </c>
      <c r="O1314" s="2" t="inlineStr">
        <is>
          <t>https://kaspi.kz/shop/c/water%20pumps/</t>
        </is>
      </c>
    </row>
    <row r="1315">
      <c r="A1315" s="2" t="n">
        <v>1314</v>
      </c>
      <c r="B1315" s="2" t="inlineStr">
        <is>
          <t>Кисти и аппликаторы</t>
        </is>
      </c>
      <c r="C1315" s="2" t="inlineStr">
        <is>
          <t>Красота и здоровье</t>
        </is>
      </c>
      <c r="D1315" s="2" t="inlineStr">
        <is>
          <t>Красота и здоровье → Декоративная косметика → Кисти, спонжи, точилки → Кисти и аппликаторы</t>
        </is>
      </c>
      <c r="E1315" s="3" t="n">
        <v>1493672</v>
      </c>
      <c r="F1315" s="3" t="n">
        <v>973</v>
      </c>
      <c r="G1315" s="3">
        <f>IFERROR(E1315/F1315,0)</f>
        <v/>
      </c>
      <c r="H1315" s="3" t="n">
        <v>263</v>
      </c>
      <c r="I1315" s="2" t="n">
        <v>93</v>
      </c>
      <c r="J1315" s="3">
        <f>IFERROR(E1315/H1315,0)</f>
        <v/>
      </c>
      <c r="K1315" s="10">
        <f>E1315/'По разделам'!$B$21</f>
        <v/>
      </c>
      <c r="L1315" s="4">
        <f>L1314+K1315</f>
        <v/>
      </c>
      <c r="M1315" s="2" t="inlineStr">
        <is>
          <t>06751</t>
        </is>
      </c>
      <c r="N1315" s="2" t="inlineStr">
        <is>
          <t>https://app.redstat.kz/niche/06751?event_date=2026-08-01</t>
        </is>
      </c>
      <c r="O1315" s="2" t="inlineStr">
        <is>
          <t>https://kaspi.kz/shop/c/brushes%20and%20applicators/</t>
        </is>
      </c>
    </row>
    <row r="1316">
      <c r="A1316" s="2" t="n">
        <v>1315</v>
      </c>
      <c r="B1316" s="2" t="inlineStr">
        <is>
          <t>Ювелирные ремешки и браслеты для часов</t>
        </is>
      </c>
      <c r="C1316" s="2" t="inlineStr">
        <is>
          <t>Украшения</t>
        </is>
      </c>
      <c r="D1316" s="2" t="inlineStr">
        <is>
          <t>Украшения → Ювелирные ремешки и браслеты для часов</t>
        </is>
      </c>
      <c r="E1316" s="3" t="n">
        <v>1488000</v>
      </c>
      <c r="F1316" s="3" t="n">
        <v>1</v>
      </c>
      <c r="G1316" s="3">
        <f>IFERROR(E1316/F1316,0)</f>
        <v/>
      </c>
      <c r="H1316" s="3" t="n">
        <v>1</v>
      </c>
      <c r="I1316" s="2" t="n">
        <v>1</v>
      </c>
      <c r="J1316" s="3">
        <f>IFERROR(E1316/H1316,0)</f>
        <v/>
      </c>
      <c r="K1316" s="10">
        <f>E1316/'По разделам'!$B$21</f>
        <v/>
      </c>
      <c r="L1316" s="4">
        <f>L1315+K1316</f>
        <v/>
      </c>
      <c r="M1316" s="2" t="inlineStr">
        <is>
          <t>07126</t>
        </is>
      </c>
      <c r="N1316" s="2" t="inlineStr">
        <is>
          <t>https://app.redstat.kz/niche/07126?event_date=2026-08-01</t>
        </is>
      </c>
      <c r="O1316" s="2" t="inlineStr">
        <is>
          <t>https://kaspi.kz/shop/c/jewelry%20watch%20straps/</t>
        </is>
      </c>
    </row>
    <row r="1317">
      <c r="A1317" s="2" t="n">
        <v>1316</v>
      </c>
      <c r="B1317" s="2" t="inlineStr">
        <is>
          <t>Держатели для очков</t>
        </is>
      </c>
      <c r="C1317" s="2" t="inlineStr">
        <is>
          <t>Аксессуары</t>
        </is>
      </c>
      <c r="D1317" s="2" t="inlineStr">
        <is>
          <t>Аксессуары → Очки и аксессуары → Держатели для очков</t>
        </is>
      </c>
      <c r="E1317" s="3" t="n">
        <v>1487326</v>
      </c>
      <c r="F1317" s="3" t="n">
        <v>1628</v>
      </c>
      <c r="G1317" s="3">
        <f>IFERROR(E1317/F1317,0)</f>
        <v/>
      </c>
      <c r="H1317" s="3" t="n">
        <v>133</v>
      </c>
      <c r="I1317" s="2" t="n">
        <v>25</v>
      </c>
      <c r="J1317" s="3">
        <f>IFERROR(E1317/H1317,0)</f>
        <v/>
      </c>
      <c r="K1317" s="10">
        <f>E1317/'По разделам'!$B$21</f>
        <v/>
      </c>
      <c r="L1317" s="4">
        <f>L1316+K1317</f>
        <v/>
      </c>
      <c r="M1317" s="2" t="inlineStr">
        <is>
          <t>04095</t>
        </is>
      </c>
      <c r="N1317" s="2" t="inlineStr">
        <is>
          <t>https://app.redstat.kz/niche/04095?event_date=2026-08-01</t>
        </is>
      </c>
      <c r="O1317" s="2" t="inlineStr">
        <is>
          <t>https://kaspi.kz/shop/c/holders%20for%20glasses/</t>
        </is>
      </c>
    </row>
    <row r="1318">
      <c r="A1318" s="2" t="n">
        <v>1317</v>
      </c>
      <c r="B1318" s="2" t="inlineStr">
        <is>
          <t>Семена газонных трав</t>
        </is>
      </c>
      <c r="C1318" s="2" t="inlineStr">
        <is>
          <t>Товары для дома и дачи</t>
        </is>
      </c>
      <c r="D1318" s="2" t="inlineStr">
        <is>
          <t>Товары для дома и дачи → Дача, сад и огород → Семена, саженцы, рассада → Семена газонных трав</t>
        </is>
      </c>
      <c r="E1318" s="3" t="n">
        <v>1475009</v>
      </c>
      <c r="F1318" s="3" t="n">
        <v>1404</v>
      </c>
      <c r="G1318" s="3">
        <f>IFERROR(E1318/F1318,0)</f>
        <v/>
      </c>
      <c r="H1318" s="3" t="n">
        <v>543</v>
      </c>
      <c r="I1318" s="2" t="n">
        <v>49</v>
      </c>
      <c r="J1318" s="3">
        <f>IFERROR(E1318/H1318,0)</f>
        <v/>
      </c>
      <c r="K1318" s="10">
        <f>E1318/'По разделам'!$B$21</f>
        <v/>
      </c>
      <c r="L1318" s="4">
        <f>L1317+K1318</f>
        <v/>
      </c>
      <c r="M1318" s="2" t="inlineStr">
        <is>
          <t>05240</t>
        </is>
      </c>
      <c r="N1318" s="2" t="inlineStr">
        <is>
          <t>https://app.redstat.kz/niche/05240?event_date=2026-08-01</t>
        </is>
      </c>
      <c r="O1318" s="2" t="inlineStr">
        <is>
          <t>https://kaspi.kz/shop/c/garden%20lawns/</t>
        </is>
      </c>
    </row>
    <row r="1319">
      <c r="A1319" s="2" t="n">
        <v>1318</v>
      </c>
      <c r="B1319" s="2" t="inlineStr">
        <is>
          <t>Поплавки для рыбалки</t>
        </is>
      </c>
      <c r="C1319" s="2" t="inlineStr">
        <is>
          <t>Спорт, туризм</t>
        </is>
      </c>
      <c r="D1319" s="2" t="inlineStr">
        <is>
          <t>Спорт, туризм → Товары для рыбалки → Поплавки для рыбалки</t>
        </is>
      </c>
      <c r="E1319" s="3" t="n">
        <v>1465146</v>
      </c>
      <c r="F1319" s="3" t="n">
        <v>738</v>
      </c>
      <c r="G1319" s="3">
        <f>IFERROR(E1319/F1319,0)</f>
        <v/>
      </c>
      <c r="H1319" s="3" t="n">
        <v>139</v>
      </c>
      <c r="I1319" s="2" t="n">
        <v>29</v>
      </c>
      <c r="J1319" s="3">
        <f>IFERROR(E1319/H1319,0)</f>
        <v/>
      </c>
      <c r="K1319" s="10">
        <f>E1319/'По разделам'!$B$21</f>
        <v/>
      </c>
      <c r="L1319" s="4">
        <f>L1318+K1319</f>
        <v/>
      </c>
      <c r="M1319" s="2" t="inlineStr">
        <is>
          <t>03977</t>
        </is>
      </c>
      <c r="N1319" s="2" t="inlineStr">
        <is>
          <t>https://app.redstat.kz/niche/03977?event_date=2026-08-01</t>
        </is>
      </c>
      <c r="O1319" s="2" t="inlineStr">
        <is>
          <t>https://kaspi.kz/shop/c/fishing%20floats/</t>
        </is>
      </c>
    </row>
    <row r="1320">
      <c r="A1320" s="2" t="n">
        <v>1319</v>
      </c>
      <c r="B1320" s="2" t="inlineStr">
        <is>
          <t>Телесуфлеры</t>
        </is>
      </c>
      <c r="C1320" s="2" t="inlineStr">
        <is>
          <t>ТВ, Аудио, Видео</t>
        </is>
      </c>
      <c r="D1320" s="2" t="inlineStr">
        <is>
          <t>ТВ, Аудио, Видео → Видеотехника → Телесуфлеры</t>
        </is>
      </c>
      <c r="E1320" s="3" t="n">
        <v>1461391</v>
      </c>
      <c r="F1320" s="3" t="n">
        <v>53</v>
      </c>
      <c r="G1320" s="3">
        <f>IFERROR(E1320/F1320,0)</f>
        <v/>
      </c>
      <c r="H1320" s="3" t="n">
        <v>10</v>
      </c>
      <c r="I1320" s="2" t="n">
        <v>7</v>
      </c>
      <c r="J1320" s="3">
        <f>IFERROR(E1320/H1320,0)</f>
        <v/>
      </c>
      <c r="K1320" s="10">
        <f>E1320/'По разделам'!$B$21</f>
        <v/>
      </c>
      <c r="L1320" s="4">
        <f>L1319+K1320</f>
        <v/>
      </c>
      <c r="M1320" s="2" t="inlineStr">
        <is>
          <t>06591</t>
        </is>
      </c>
      <c r="N1320" s="2" t="inlineStr">
        <is>
          <t>https://app.redstat.kz/niche/06591?event_date=2026-08-01</t>
        </is>
      </c>
      <c r="O1320" s="2" t="inlineStr">
        <is>
          <t>https://kaspi.kz/shop/c/teleprompters/</t>
        </is>
      </c>
    </row>
    <row r="1321">
      <c r="A1321" s="2" t="n">
        <v>1320</v>
      </c>
      <c r="B1321" s="2" t="inlineStr">
        <is>
          <t>Метафорические ассоциативные карты</t>
        </is>
      </c>
      <c r="C1321" s="2" t="inlineStr">
        <is>
          <t>Досуг, книги</t>
        </is>
      </c>
      <c r="D1321" s="2" t="inlineStr">
        <is>
          <t>Досуг, книги → Гадания и эзотерика → Метафорические ассоциативные карты</t>
        </is>
      </c>
      <c r="E1321" s="3" t="n">
        <v>1456118</v>
      </c>
      <c r="F1321" s="3" t="n">
        <v>295</v>
      </c>
      <c r="G1321" s="3">
        <f>IFERROR(E1321/F1321,0)</f>
        <v/>
      </c>
      <c r="H1321" s="3" t="n">
        <v>93</v>
      </c>
      <c r="I1321" s="2" t="n">
        <v>11</v>
      </c>
      <c r="J1321" s="3">
        <f>IFERROR(E1321/H1321,0)</f>
        <v/>
      </c>
      <c r="K1321" s="10">
        <f>E1321/'По разделам'!$B$21</f>
        <v/>
      </c>
      <c r="L1321" s="4">
        <f>L1320+K1321</f>
        <v/>
      </c>
      <c r="M1321" s="2" t="inlineStr">
        <is>
          <t>06637</t>
        </is>
      </c>
      <c r="N1321" s="2" t="inlineStr">
        <is>
          <t>https://app.redstat.kz/niche/06637?event_date=2026-08-01</t>
        </is>
      </c>
      <c r="O1321" s="2" t="inlineStr">
        <is>
          <t>https://kaspi.kz/shop/c/metaphorical%20cards/</t>
        </is>
      </c>
    </row>
    <row r="1322">
      <c r="A1322" s="2" t="n">
        <v>1321</v>
      </c>
      <c r="B1322" s="2" t="inlineStr">
        <is>
          <t>Танцевальная обувь для мальчиков</t>
        </is>
      </c>
      <c r="C1322" s="2" t="inlineStr">
        <is>
          <t>Обувь</t>
        </is>
      </c>
      <c r="D1322" s="2" t="inlineStr">
        <is>
          <t>Обувь → Обувь для мальчиков → Танцевальная обувь для мальчиков</t>
        </is>
      </c>
      <c r="E1322" s="3" t="n">
        <v>1452958</v>
      </c>
      <c r="F1322" s="3" t="n">
        <v>1165</v>
      </c>
      <c r="G1322" s="3">
        <f>IFERROR(E1322/F1322,0)</f>
        <v/>
      </c>
      <c r="H1322" s="3" t="n">
        <v>109</v>
      </c>
      <c r="I1322" s="2" t="n">
        <v>7</v>
      </c>
      <c r="J1322" s="3">
        <f>IFERROR(E1322/H1322,0)</f>
        <v/>
      </c>
      <c r="K1322" s="10">
        <f>E1322/'По разделам'!$B$21</f>
        <v/>
      </c>
      <c r="L1322" s="4">
        <f>L1321+K1322</f>
        <v/>
      </c>
      <c r="M1322" s="2" t="inlineStr">
        <is>
          <t>02736</t>
        </is>
      </c>
      <c r="N1322" s="2" t="inlineStr">
        <is>
          <t>https://app.redstat.kz/niche/02736?event_date=2026-08-01</t>
        </is>
      </c>
      <c r="O1322" s="2" t="inlineStr">
        <is>
          <t>https://kaspi.kz/shop/c/boy%20dance%20shoes/</t>
        </is>
      </c>
    </row>
    <row r="1323">
      <c r="A1323" s="2" t="n">
        <v>1322</v>
      </c>
      <c r="B1323" s="2" t="inlineStr">
        <is>
          <t>Переходники для объективов</t>
        </is>
      </c>
      <c r="C1323" s="2" t="inlineStr">
        <is>
          <t>ТВ, Аудио, Видео</t>
        </is>
      </c>
      <c r="D1323" s="2" t="inlineStr">
        <is>
          <t>ТВ, Аудио, Видео → Фото- и видеокамеры → Переходники для объективов</t>
        </is>
      </c>
      <c r="E1323" s="3" t="n">
        <v>1450798</v>
      </c>
      <c r="F1323" s="3" t="n">
        <v>32</v>
      </c>
      <c r="G1323" s="3">
        <f>IFERROR(E1323/F1323,0)</f>
        <v/>
      </c>
      <c r="H1323" s="3" t="n">
        <v>13</v>
      </c>
      <c r="I1323" s="2" t="n">
        <v>6</v>
      </c>
      <c r="J1323" s="3">
        <f>IFERROR(E1323/H1323,0)</f>
        <v/>
      </c>
      <c r="K1323" s="10">
        <f>E1323/'По разделам'!$B$21</f>
        <v/>
      </c>
      <c r="L1323" s="4">
        <f>L1322+K1323</f>
        <v/>
      </c>
      <c r="M1323" s="2" t="inlineStr">
        <is>
          <t>03607</t>
        </is>
      </c>
      <c r="N1323" s="2" t="inlineStr">
        <is>
          <t>https://app.redstat.kz/niche/03607?event_date=2026-08-01</t>
        </is>
      </c>
      <c r="O1323" s="2" t="inlineStr">
        <is>
          <t>https://kaspi.kz/shop/c/lens%20adapters/</t>
        </is>
      </c>
    </row>
    <row r="1324">
      <c r="A1324" s="2" t="n">
        <v>1323</v>
      </c>
      <c r="B1324" s="2" t="inlineStr">
        <is>
          <t>Брудеры для птиц</t>
        </is>
      </c>
      <c r="C1324" s="2" t="inlineStr">
        <is>
          <t>Товары для животных</t>
        </is>
      </c>
      <c r="D1324" s="2" t="inlineStr">
        <is>
          <t>Товары для животных → Для птиц → Брудеры для птиц</t>
        </is>
      </c>
      <c r="E1324" s="3" t="n">
        <v>1445840</v>
      </c>
      <c r="F1324" s="3" t="n">
        <v>12</v>
      </c>
      <c r="G1324" s="3">
        <f>IFERROR(E1324/F1324,0)</f>
        <v/>
      </c>
      <c r="H1324" s="3" t="n">
        <v>5</v>
      </c>
      <c r="I1324" s="2" t="n">
        <v>0</v>
      </c>
      <c r="J1324" s="3">
        <f>IFERROR(E1324/H1324,0)</f>
        <v/>
      </c>
      <c r="K1324" s="10">
        <f>E1324/'По разделам'!$B$21</f>
        <v/>
      </c>
      <c r="L1324" s="4">
        <f>L1323+K1324</f>
        <v/>
      </c>
      <c r="M1324" s="2" t="inlineStr">
        <is>
          <t>04800</t>
        </is>
      </c>
      <c r="N1324" s="2" t="inlineStr">
        <is>
          <t>https://app.redstat.kz/niche/04800?event_date=2026-08-01</t>
        </is>
      </c>
      <c r="O1324" s="2" t="inlineStr">
        <is>
          <t>https://kaspi.kz/shop/c/bird%20brooders/</t>
        </is>
      </c>
    </row>
    <row r="1325">
      <c r="A1325" s="2" t="n">
        <v>1324</v>
      </c>
      <c r="B1325" s="2" t="inlineStr">
        <is>
          <t>Когтерезы и пилки для животных</t>
        </is>
      </c>
      <c r="C1325" s="2" t="inlineStr">
        <is>
          <t>Товары для животных</t>
        </is>
      </c>
      <c r="D1325" s="2" t="inlineStr">
        <is>
          <t>Товары для животных → Груминг → Когтерезы и пилки для животных</t>
        </is>
      </c>
      <c r="E1325" s="3" t="n">
        <v>1431783</v>
      </c>
      <c r="F1325" s="3" t="n">
        <v>887</v>
      </c>
      <c r="G1325" s="3">
        <f>IFERROR(E1325/F1325,0)</f>
        <v/>
      </c>
      <c r="H1325" s="3" t="n">
        <v>73</v>
      </c>
      <c r="I1325" s="2" t="n">
        <v>25</v>
      </c>
      <c r="J1325" s="3">
        <f>IFERROR(E1325/H1325,0)</f>
        <v/>
      </c>
      <c r="K1325" s="10">
        <f>E1325/'По разделам'!$B$21</f>
        <v/>
      </c>
      <c r="L1325" s="4">
        <f>L1324+K1325</f>
        <v/>
      </c>
      <c r="M1325" s="2" t="inlineStr">
        <is>
          <t>01957</t>
        </is>
      </c>
      <c r="N1325" s="2" t="inlineStr">
        <is>
          <t>https://app.redstat.kz/niche/01957?event_date=2026-08-01</t>
        </is>
      </c>
      <c r="O1325" s="2" t="inlineStr">
        <is>
          <t>https://kaspi.kz/shop/c/nail%20clippers%20for%20animals/</t>
        </is>
      </c>
    </row>
    <row r="1326">
      <c r="A1326" s="2" t="n">
        <v>1325</v>
      </c>
      <c r="B1326" s="2" t="inlineStr">
        <is>
          <t>Треккинговая обувь для мальчиков</t>
        </is>
      </c>
      <c r="C1326" s="2" t="inlineStr">
        <is>
          <t>Обувь</t>
        </is>
      </c>
      <c r="D1326" s="2" t="inlineStr">
        <is>
          <t>Обувь → Обувь для мальчиков → Треккинговая обувь для мальчиков</t>
        </is>
      </c>
      <c r="E1326" s="3" t="n">
        <v>1424539</v>
      </c>
      <c r="F1326" s="3" t="n">
        <v>56</v>
      </c>
      <c r="G1326" s="3">
        <f>IFERROR(E1326/F1326,0)</f>
        <v/>
      </c>
      <c r="H1326" s="3" t="n">
        <v>48</v>
      </c>
      <c r="I1326" s="2" t="n">
        <v>6</v>
      </c>
      <c r="J1326" s="3">
        <f>IFERROR(E1326/H1326,0)</f>
        <v/>
      </c>
      <c r="K1326" s="10">
        <f>E1326/'По разделам'!$B$21</f>
        <v/>
      </c>
      <c r="L1326" s="4">
        <f>L1325+K1326</f>
        <v/>
      </c>
      <c r="M1326" s="2" t="inlineStr">
        <is>
          <t>02165</t>
        </is>
      </c>
      <c r="N1326" s="2" t="inlineStr">
        <is>
          <t>https://app.redstat.kz/niche/02165?event_date=2026-08-01</t>
        </is>
      </c>
      <c r="O1326" s="2" t="inlineStr">
        <is>
          <t>https://kaspi.kz/shop/c/boy%20hiking%20shoes/</t>
        </is>
      </c>
    </row>
    <row r="1327">
      <c r="A1327" s="2" t="n">
        <v>1326</v>
      </c>
      <c r="B1327" s="2" t="inlineStr">
        <is>
          <t>Футляры для очков</t>
        </is>
      </c>
      <c r="C1327" s="2" t="inlineStr">
        <is>
          <t>Аксессуары</t>
        </is>
      </c>
      <c r="D1327" s="2" t="inlineStr">
        <is>
          <t>Аксессуары → Очки и аксессуары → Футляры для очков</t>
        </is>
      </c>
      <c r="E1327" s="3" t="n">
        <v>1419228</v>
      </c>
      <c r="F1327" s="3" t="n">
        <v>1253</v>
      </c>
      <c r="G1327" s="3">
        <f>IFERROR(E1327/F1327,0)</f>
        <v/>
      </c>
      <c r="H1327" s="3" t="n">
        <v>111</v>
      </c>
      <c r="I1327" s="2" t="n">
        <v>19</v>
      </c>
      <c r="J1327" s="3">
        <f>IFERROR(E1327/H1327,0)</f>
        <v/>
      </c>
      <c r="K1327" s="10">
        <f>E1327/'По разделам'!$B$21</f>
        <v/>
      </c>
      <c r="L1327" s="4">
        <f>L1326+K1327</f>
        <v/>
      </c>
      <c r="M1327" s="2" t="inlineStr">
        <is>
          <t>02059</t>
        </is>
      </c>
      <c r="N1327" s="2" t="inlineStr">
        <is>
          <t>https://app.redstat.kz/niche/02059?event_date=2026-08-01</t>
        </is>
      </c>
      <c r="O1327" s="2" t="inlineStr">
        <is>
          <t>https://kaspi.kz/shop/c/eyeglass%20cases/</t>
        </is>
      </c>
    </row>
    <row r="1328">
      <c r="A1328" s="2" t="n">
        <v>1327</v>
      </c>
      <c r="B1328" s="2" t="inlineStr">
        <is>
          <t>Отучающие средства для животных</t>
        </is>
      </c>
      <c r="C1328" s="2" t="inlineStr">
        <is>
          <t>Товары для животных</t>
        </is>
      </c>
      <c r="D1328" s="2" t="inlineStr">
        <is>
          <t>Товары для животных → Гигиена и уход за животными → Отучающие средства для животных</t>
        </is>
      </c>
      <c r="E1328" s="3" t="n">
        <v>1405775</v>
      </c>
      <c r="F1328" s="3" t="n">
        <v>485</v>
      </c>
      <c r="G1328" s="3">
        <f>IFERROR(E1328/F1328,0)</f>
        <v/>
      </c>
      <c r="H1328" s="3" t="n">
        <v>35</v>
      </c>
      <c r="I1328" s="2" t="n">
        <v>15</v>
      </c>
      <c r="J1328" s="3">
        <f>IFERROR(E1328/H1328,0)</f>
        <v/>
      </c>
      <c r="K1328" s="10">
        <f>E1328/'По разделам'!$B$21</f>
        <v/>
      </c>
      <c r="L1328" s="4">
        <f>L1327+K1328</f>
        <v/>
      </c>
      <c r="M1328" s="2" t="inlineStr">
        <is>
          <t>03109</t>
        </is>
      </c>
      <c r="N1328" s="2" t="inlineStr">
        <is>
          <t>https://app.redstat.kz/niche/03109?event_date=2026-08-01</t>
        </is>
      </c>
      <c r="O1328" s="2" t="inlineStr">
        <is>
          <t>https://kaspi.kz/shop/c/animal%20repellent%20sprays/</t>
        </is>
      </c>
    </row>
    <row r="1329">
      <c r="A1329" s="2" t="n">
        <v>1328</v>
      </c>
      <c r="B1329" s="2" t="inlineStr">
        <is>
          <t>Мебель для автосервиса</t>
        </is>
      </c>
      <c r="C1329" s="2" t="inlineStr">
        <is>
          <t>Автотовары</t>
        </is>
      </c>
      <c r="D1329" s="2" t="inlineStr">
        <is>
          <t>Автотовары → Автосервисное оборудование → Мебель для автосервиса</t>
        </is>
      </c>
      <c r="E1329" s="3" t="n">
        <v>1393680</v>
      </c>
      <c r="F1329" s="3" t="n">
        <v>42</v>
      </c>
      <c r="G1329" s="3">
        <f>IFERROR(E1329/F1329,0)</f>
        <v/>
      </c>
      <c r="H1329" s="3" t="n">
        <v>26</v>
      </c>
      <c r="I1329" s="2" t="n">
        <v>16</v>
      </c>
      <c r="J1329" s="3">
        <f>IFERROR(E1329/H1329,0)</f>
        <v/>
      </c>
      <c r="K1329" s="10">
        <f>E1329/'По разделам'!$B$21</f>
        <v/>
      </c>
      <c r="L1329" s="4">
        <f>L1328+K1329</f>
        <v/>
      </c>
      <c r="M1329" s="2" t="inlineStr">
        <is>
          <t>05431</t>
        </is>
      </c>
      <c r="N1329" s="2" t="inlineStr">
        <is>
          <t>https://app.redstat.kz/niche/05431?event_date=2026-08-01</t>
        </is>
      </c>
      <c r="O1329" s="2" t="inlineStr">
        <is>
          <t>https://kaspi.kz/shop/c/car%20service%20furniture/</t>
        </is>
      </c>
    </row>
    <row r="1330">
      <c r="A1330" s="2" t="n">
        <v>1329</v>
      </c>
      <c r="B1330" s="2" t="inlineStr">
        <is>
          <t>Детские соки, компоты, чаи</t>
        </is>
      </c>
      <c r="C1330" s="2" t="inlineStr">
        <is>
          <t>Детские товары</t>
        </is>
      </c>
      <c r="D1330" s="2" t="inlineStr">
        <is>
          <t>Детские товары → Детское питание → Детские соки, компоты, чаи</t>
        </is>
      </c>
      <c r="E1330" s="3" t="n">
        <v>1393602</v>
      </c>
      <c r="F1330" s="3" t="n">
        <v>406</v>
      </c>
      <c r="G1330" s="3">
        <f>IFERROR(E1330/F1330,0)</f>
        <v/>
      </c>
      <c r="H1330" s="3" t="n">
        <v>67</v>
      </c>
      <c r="I1330" s="2" t="n">
        <v>12</v>
      </c>
      <c r="J1330" s="3">
        <f>IFERROR(E1330/H1330,0)</f>
        <v/>
      </c>
      <c r="K1330" s="10">
        <f>E1330/'По разделам'!$B$21</f>
        <v/>
      </c>
      <c r="L1330" s="4">
        <f>L1329+K1330</f>
        <v/>
      </c>
      <c r="M1330" s="2" t="inlineStr">
        <is>
          <t>03349</t>
        </is>
      </c>
      <c r="N1330" s="2" t="inlineStr">
        <is>
          <t>https://app.redstat.kz/niche/03349?event_date=2026-08-01</t>
        </is>
      </c>
      <c r="O1330" s="2" t="inlineStr">
        <is>
          <t>https://kaspi.kz/shop/c/baby%20juices/</t>
        </is>
      </c>
    </row>
    <row r="1331">
      <c r="A1331" s="2" t="n">
        <v>1330</v>
      </c>
      <c r="B1331" s="2" t="inlineStr">
        <is>
          <t>Мозаики</t>
        </is>
      </c>
      <c r="C1331" s="2" t="inlineStr">
        <is>
          <t>Досуг, книги</t>
        </is>
      </c>
      <c r="D1331" s="2" t="inlineStr">
        <is>
          <t>Досуг, книги → Игры для компаний → Мозаики</t>
        </is>
      </c>
      <c r="E1331" s="3" t="n">
        <v>1390340</v>
      </c>
      <c r="F1331" s="3" t="n">
        <v>270</v>
      </c>
      <c r="G1331" s="3">
        <f>IFERROR(E1331/F1331,0)</f>
        <v/>
      </c>
      <c r="H1331" s="3" t="n">
        <v>60</v>
      </c>
      <c r="I1331" s="2" t="n">
        <v>23</v>
      </c>
      <c r="J1331" s="3">
        <f>IFERROR(E1331/H1331,0)</f>
        <v/>
      </c>
      <c r="K1331" s="10">
        <f>E1331/'По разделам'!$B$21</f>
        <v/>
      </c>
      <c r="L1331" s="4">
        <f>L1330+K1331</f>
        <v/>
      </c>
      <c r="M1331" s="2" t="inlineStr">
        <is>
          <t>03088</t>
        </is>
      </c>
      <c r="N1331" s="2" t="inlineStr">
        <is>
          <t>https://app.redstat.kz/niche/03088?event_date=2026-08-01</t>
        </is>
      </c>
      <c r="O1331" s="2" t="inlineStr">
        <is>
          <t>https://kaspi.kz/shop/c/mosaics%20for%20children/</t>
        </is>
      </c>
    </row>
    <row r="1332">
      <c r="A1332" s="2" t="n">
        <v>1331</v>
      </c>
      <c r="B1332" s="2" t="inlineStr">
        <is>
          <t>Сапоги для верховой езды</t>
        </is>
      </c>
      <c r="C1332" s="2" t="inlineStr">
        <is>
          <t>Спорт, туризм</t>
        </is>
      </c>
      <c r="D1332" s="2" t="inlineStr">
        <is>
          <t>Спорт, туризм → Конный спорт → Сапоги для верховой езды</t>
        </is>
      </c>
      <c r="E1332" s="3" t="n">
        <v>1389205</v>
      </c>
      <c r="F1332" s="3" t="n">
        <v>43</v>
      </c>
      <c r="G1332" s="3">
        <f>IFERROR(E1332/F1332,0)</f>
        <v/>
      </c>
      <c r="H1332" s="3" t="n">
        <v>20</v>
      </c>
      <c r="I1332" s="2" t="n">
        <v>3</v>
      </c>
      <c r="J1332" s="3">
        <f>IFERROR(E1332/H1332,0)</f>
        <v/>
      </c>
      <c r="K1332" s="10">
        <f>E1332/'По разделам'!$B$21</f>
        <v/>
      </c>
      <c r="L1332" s="4">
        <f>L1331+K1332</f>
        <v/>
      </c>
      <c r="M1332" s="2" t="inlineStr">
        <is>
          <t>06779</t>
        </is>
      </c>
      <c r="N1332" s="2" t="inlineStr">
        <is>
          <t>https://app.redstat.kz/niche/06779?event_date=2026-08-01</t>
        </is>
      </c>
      <c r="O1332" s="2" t="inlineStr">
        <is>
          <t>https://kaspi.kz/shop/c/riding%20shoes/</t>
        </is>
      </c>
    </row>
    <row r="1333">
      <c r="A1333" s="2" t="n">
        <v>1332</v>
      </c>
      <c r="B1333" s="2" t="inlineStr">
        <is>
          <t>Автомобильные визитки</t>
        </is>
      </c>
      <c r="C1333" s="2" t="inlineStr">
        <is>
          <t>Автотовары</t>
        </is>
      </c>
      <c r="D1333" s="2" t="inlineStr">
        <is>
          <t>Автотовары → Автоаксессуары → Автомобильные визитки</t>
        </is>
      </c>
      <c r="E1333" s="3" t="n">
        <v>1376959</v>
      </c>
      <c r="F1333" s="3" t="n">
        <v>2043</v>
      </c>
      <c r="G1333" s="3">
        <f>IFERROR(E1333/F1333,0)</f>
        <v/>
      </c>
      <c r="H1333" s="3" t="n">
        <v>94</v>
      </c>
      <c r="I1333" s="2" t="n">
        <v>28</v>
      </c>
      <c r="J1333" s="3">
        <f>IFERROR(E1333/H1333,0)</f>
        <v/>
      </c>
      <c r="K1333" s="10">
        <f>E1333/'По разделам'!$B$21</f>
        <v/>
      </c>
      <c r="L1333" s="4">
        <f>L1332+K1333</f>
        <v/>
      </c>
      <c r="M1333" s="2" t="inlineStr">
        <is>
          <t>06551</t>
        </is>
      </c>
      <c r="N1333" s="2" t="inlineStr">
        <is>
          <t>https://app.redstat.kz/niche/06551?event_date=2026-08-01</t>
        </is>
      </c>
      <c r="O1333" s="2" t="inlineStr">
        <is>
          <t>https://kaspi.kz/shop/c/car%20business%20cards/</t>
        </is>
      </c>
    </row>
    <row r="1334">
      <c r="A1334" s="2" t="n">
        <v>1333</v>
      </c>
      <c r="B1334" s="2" t="inlineStr">
        <is>
          <t>Джиббитсы</t>
        </is>
      </c>
      <c r="C1334" s="2" t="inlineStr">
        <is>
          <t>Аксессуары</t>
        </is>
      </c>
      <c r="D1334" s="2" t="inlineStr">
        <is>
          <t>Аксессуары → Аксессуары для одежды и обуви → Джиббитсы</t>
        </is>
      </c>
      <c r="E1334" s="3" t="n">
        <v>1370963</v>
      </c>
      <c r="F1334" s="3" t="n">
        <v>1214</v>
      </c>
      <c r="G1334" s="3">
        <f>IFERROR(E1334/F1334,0)</f>
        <v/>
      </c>
      <c r="H1334" s="3" t="n">
        <v>106</v>
      </c>
      <c r="I1334" s="2" t="n">
        <v>18</v>
      </c>
      <c r="J1334" s="3">
        <f>IFERROR(E1334/H1334,0)</f>
        <v/>
      </c>
      <c r="K1334" s="10">
        <f>E1334/'По разделам'!$B$21</f>
        <v/>
      </c>
      <c r="L1334" s="4">
        <f>L1333+K1334</f>
        <v/>
      </c>
      <c r="M1334" s="2" t="inlineStr">
        <is>
          <t>06632</t>
        </is>
      </c>
      <c r="N1334" s="2" t="inlineStr">
        <is>
          <t>https://app.redstat.kz/niche/06632?event_date=2026-08-01</t>
        </is>
      </c>
      <c r="O1334" s="2" t="inlineStr">
        <is>
          <t>https://kaspi.kz/shop/c/jibbitz/</t>
        </is>
      </c>
    </row>
    <row r="1335">
      <c r="A1335" s="2" t="n">
        <v>1334</v>
      </c>
      <c r="B1335" s="2" t="inlineStr">
        <is>
          <t>Ремешки и браслеты для часов</t>
        </is>
      </c>
      <c r="C1335" s="2" t="inlineStr">
        <is>
          <t>Аксессуары</t>
        </is>
      </c>
      <c r="D1335" s="2" t="inlineStr">
        <is>
          <t>Аксессуары → Часы → Ремешки и браслеты для часов</t>
        </is>
      </c>
      <c r="E1335" s="3" t="n">
        <v>1368714</v>
      </c>
      <c r="F1335" s="3" t="n">
        <v>638</v>
      </c>
      <c r="G1335" s="3">
        <f>IFERROR(E1335/F1335,0)</f>
        <v/>
      </c>
      <c r="H1335" s="3" t="n">
        <v>76</v>
      </c>
      <c r="I1335" s="2" t="n">
        <v>18</v>
      </c>
      <c r="J1335" s="3">
        <f>IFERROR(E1335/H1335,0)</f>
        <v/>
      </c>
      <c r="K1335" s="10">
        <f>E1335/'По разделам'!$B$21</f>
        <v/>
      </c>
      <c r="L1335" s="4">
        <f>L1334+K1335</f>
        <v/>
      </c>
      <c r="M1335" s="2" t="inlineStr">
        <is>
          <t>04955</t>
        </is>
      </c>
      <c r="N1335" s="2" t="inlineStr">
        <is>
          <t>https://app.redstat.kz/niche/04955?event_date=2026-08-01</t>
        </is>
      </c>
      <c r="O1335" s="2" t="inlineStr">
        <is>
          <t>https://kaspi.kz/shop/c/watch%20straps%20and%20bracelets/</t>
        </is>
      </c>
    </row>
    <row r="1336">
      <c r="A1336" s="2" t="n">
        <v>1335</v>
      </c>
      <c r="B1336" s="2" t="inlineStr">
        <is>
          <t>Косметички и несессеры</t>
        </is>
      </c>
      <c r="C1336" s="2" t="inlineStr">
        <is>
          <t>Красота и здоровье</t>
        </is>
      </c>
      <c r="D1336" s="2" t="inlineStr">
        <is>
          <t>Красота и здоровье → Аксессуары для красоты → Органайзеры, косметички и несессеры → Косметички и несессеры</t>
        </is>
      </c>
      <c r="E1336" s="3" t="n">
        <v>1364015</v>
      </c>
      <c r="F1336" s="3" t="n">
        <v>586</v>
      </c>
      <c r="G1336" s="3">
        <f>IFERROR(E1336/F1336,0)</f>
        <v/>
      </c>
      <c r="H1336" s="3" t="n">
        <v>205</v>
      </c>
      <c r="I1336" s="2" t="n">
        <v>50</v>
      </c>
      <c r="J1336" s="3">
        <f>IFERROR(E1336/H1336,0)</f>
        <v/>
      </c>
      <c r="K1336" s="10">
        <f>E1336/'По разделам'!$B$21</f>
        <v/>
      </c>
      <c r="L1336" s="4">
        <f>L1335+K1336</f>
        <v/>
      </c>
      <c r="M1336" s="2" t="inlineStr">
        <is>
          <t>02067</t>
        </is>
      </c>
      <c r="N1336" s="2" t="inlineStr">
        <is>
          <t>https://app.redstat.kz/niche/02067?event_date=2026-08-01</t>
        </is>
      </c>
      <c r="O1336" s="2" t="inlineStr">
        <is>
          <t>https://kaspi.kz/shop/c/cosmetic%20bags%20and%20travel%20cases/</t>
        </is>
      </c>
    </row>
    <row r="1337">
      <c r="A1337" s="2" t="n">
        <v>1336</v>
      </c>
      <c r="B1337" s="2" t="inlineStr">
        <is>
          <t>Отражатели</t>
        </is>
      </c>
      <c r="C1337" s="2" t="inlineStr">
        <is>
          <t>ТВ, Аудио, Видео</t>
        </is>
      </c>
      <c r="D1337" s="2" t="inlineStr">
        <is>
          <t>ТВ, Аудио, Видео → Фото- и видеокамеры → Отражатели</t>
        </is>
      </c>
      <c r="E1337" s="3" t="n">
        <v>1330204</v>
      </c>
      <c r="F1337" s="3" t="n">
        <v>182</v>
      </c>
      <c r="G1337" s="3">
        <f>IFERROR(E1337/F1337,0)</f>
        <v/>
      </c>
      <c r="H1337" s="3" t="n">
        <v>34</v>
      </c>
      <c r="I1337" s="2" t="n">
        <v>11</v>
      </c>
      <c r="J1337" s="3">
        <f>IFERROR(E1337/H1337,0)</f>
        <v/>
      </c>
      <c r="K1337" s="10">
        <f>E1337/'По разделам'!$B$21</f>
        <v/>
      </c>
      <c r="L1337" s="4">
        <f>L1336+K1337</f>
        <v/>
      </c>
      <c r="M1337" s="2" t="inlineStr">
        <is>
          <t>03937</t>
        </is>
      </c>
      <c r="N1337" s="2" t="inlineStr">
        <is>
          <t>https://app.redstat.kz/niche/03937?event_date=2026-08-01</t>
        </is>
      </c>
      <c r="O1337" s="2" t="inlineStr">
        <is>
          <t>https://kaspi.kz/shop/c/reflectors/</t>
        </is>
      </c>
    </row>
    <row r="1338">
      <c r="A1338" s="2" t="n">
        <v>1337</v>
      </c>
      <c r="B1338" s="2" t="inlineStr">
        <is>
          <t>Аксессуары для альпинизма</t>
        </is>
      </c>
      <c r="C1338" s="2" t="inlineStr">
        <is>
          <t>Спорт, туризм</t>
        </is>
      </c>
      <c r="D1338" s="2" t="inlineStr">
        <is>
          <t>Спорт, туризм → Альпинизм и скалолазание → Аксессуары для альпинизма</t>
        </is>
      </c>
      <c r="E1338" s="3" t="n">
        <v>1328050</v>
      </c>
      <c r="F1338" s="3" t="n">
        <v>40</v>
      </c>
      <c r="G1338" s="3">
        <f>IFERROR(E1338/F1338,0)</f>
        <v/>
      </c>
      <c r="H1338" s="3" t="n">
        <v>28</v>
      </c>
      <c r="I1338" s="2" t="n">
        <v>9</v>
      </c>
      <c r="J1338" s="3">
        <f>IFERROR(E1338/H1338,0)</f>
        <v/>
      </c>
      <c r="K1338" s="10">
        <f>E1338/'По разделам'!$B$21</f>
        <v/>
      </c>
      <c r="L1338" s="4">
        <f>L1337+K1338</f>
        <v/>
      </c>
      <c r="M1338" s="2" t="inlineStr">
        <is>
          <t>06208</t>
        </is>
      </c>
      <c r="N1338" s="2" t="inlineStr">
        <is>
          <t>https://app.redstat.kz/niche/06208?event_date=2026-08-01</t>
        </is>
      </c>
      <c r="O1338" s="2" t="inlineStr">
        <is>
          <t>https://kaspi.kz/shop/c/climbing%20accessories/</t>
        </is>
      </c>
    </row>
    <row r="1339">
      <c r="A1339" s="2" t="n">
        <v>1338</v>
      </c>
      <c r="B1339" s="2" t="inlineStr">
        <is>
          <t>Пакеты гигиенические для животных</t>
        </is>
      </c>
      <c r="C1339" s="2" t="inlineStr">
        <is>
          <t>Товары для животных</t>
        </is>
      </c>
      <c r="D1339" s="2" t="inlineStr">
        <is>
          <t>Товары для животных → Гигиена и уход за животными → Пакеты гигиенические для животных</t>
        </is>
      </c>
      <c r="E1339" s="3" t="n">
        <v>1313380</v>
      </c>
      <c r="F1339" s="3" t="n">
        <v>390</v>
      </c>
      <c r="G1339" s="3">
        <f>IFERROR(E1339/F1339,0)</f>
        <v/>
      </c>
      <c r="H1339" s="3" t="n">
        <v>59</v>
      </c>
      <c r="I1339" s="2" t="n">
        <v>18</v>
      </c>
      <c r="J1339" s="3">
        <f>IFERROR(E1339/H1339,0)</f>
        <v/>
      </c>
      <c r="K1339" s="10">
        <f>E1339/'По разделам'!$B$21</f>
        <v/>
      </c>
      <c r="L1339" s="4">
        <f>L1338+K1339</f>
        <v/>
      </c>
      <c r="M1339" s="2" t="inlineStr">
        <is>
          <t>02539</t>
        </is>
      </c>
      <c r="N1339" s="2" t="inlineStr">
        <is>
          <t>https://app.redstat.kz/niche/02539?event_date=2026-08-01</t>
        </is>
      </c>
      <c r="O1339" s="2" t="inlineStr">
        <is>
          <t>https://kaspi.kz/shop/c/poop%20bags%20for%20pets/</t>
        </is>
      </c>
    </row>
    <row r="1340">
      <c r="A1340" s="2" t="n">
        <v>1339</v>
      </c>
      <c r="B1340" s="2" t="inlineStr">
        <is>
          <t>Оборудование для дезинфекции</t>
        </is>
      </c>
      <c r="C1340" s="2" t="inlineStr">
        <is>
          <t>Товары для дома и дачи</t>
        </is>
      </c>
      <c r="D1340" s="2" t="inlineStr">
        <is>
          <t>Товары для дома и дачи → Хозяйственные товары → Оборудование для дезинфекции → Оборудование для дезинфекции</t>
        </is>
      </c>
      <c r="E1340" s="3" t="n">
        <v>1306586</v>
      </c>
      <c r="F1340" s="3" t="n">
        <v>22</v>
      </c>
      <c r="G1340" s="3">
        <f>IFERROR(E1340/F1340,0)</f>
        <v/>
      </c>
      <c r="H1340" s="3" t="n">
        <v>7</v>
      </c>
      <c r="I1340" s="2" t="n">
        <v>1</v>
      </c>
      <c r="J1340" s="3">
        <f>IFERROR(E1340/H1340,0)</f>
        <v/>
      </c>
      <c r="K1340" s="10">
        <f>E1340/'По разделам'!$B$21</f>
        <v/>
      </c>
      <c r="L1340" s="4">
        <f>L1339+K1340</f>
        <v/>
      </c>
      <c r="M1340" s="2" t="inlineStr">
        <is>
          <t>qcba8897c5b770a6</t>
        </is>
      </c>
      <c r="N1340" s="2" t="inlineStr">
        <is>
          <t>https://app.redstat.kz/niche/qcba8897c5b770a6?event_date=2026-08-01</t>
        </is>
      </c>
      <c r="O1340" s="2" t="inlineStr"/>
    </row>
    <row r="1341">
      <c r="A1341" s="2" t="n">
        <v>1340</v>
      </c>
      <c r="B1341" s="2" t="inlineStr">
        <is>
          <t>Прочее программное обеспечение</t>
        </is>
      </c>
      <c r="C1341" s="2" t="inlineStr">
        <is>
          <t>Компьютеры</t>
        </is>
      </c>
      <c r="D1341" s="2" t="inlineStr">
        <is>
          <t>Компьютеры → Программное обеспечение → Прочее программное обеспечение</t>
        </is>
      </c>
      <c r="E1341" s="3" t="n">
        <v>1304853</v>
      </c>
      <c r="F1341" s="3" t="n">
        <v>46</v>
      </c>
      <c r="G1341" s="3">
        <f>IFERROR(E1341/F1341,0)</f>
        <v/>
      </c>
      <c r="H1341" s="3" t="n">
        <v>15</v>
      </c>
      <c r="I1341" s="2" t="n">
        <v>6</v>
      </c>
      <c r="J1341" s="3">
        <f>IFERROR(E1341/H1341,0)</f>
        <v/>
      </c>
      <c r="K1341" s="10">
        <f>E1341/'По разделам'!$B$21</f>
        <v/>
      </c>
      <c r="L1341" s="4">
        <f>L1340+K1341</f>
        <v/>
      </c>
      <c r="M1341" s="2" t="inlineStr">
        <is>
          <t>06975</t>
        </is>
      </c>
      <c r="N1341" s="2" t="inlineStr">
        <is>
          <t>https://app.redstat.kz/niche/06975?event_date=2026-08-01</t>
        </is>
      </c>
      <c r="O1341" s="2" t="inlineStr">
        <is>
          <t>https://kaspi.kz/shop/c/other%20software/</t>
        </is>
      </c>
    </row>
    <row r="1342">
      <c r="A1342" s="2" t="n">
        <v>1341</v>
      </c>
      <c r="B1342" s="2" t="inlineStr">
        <is>
          <t>Скобы для степлера</t>
        </is>
      </c>
      <c r="C1342" s="2" t="inlineStr">
        <is>
          <t>Канцелярские товары</t>
        </is>
      </c>
      <c r="D1342" s="2" t="inlineStr">
        <is>
          <t>Канцелярские товары → Офисные принадлежности → Скобы для степлера</t>
        </is>
      </c>
      <c r="E1342" s="3" t="n">
        <v>1271838</v>
      </c>
      <c r="F1342" s="3" t="n">
        <v>3175</v>
      </c>
      <c r="G1342" s="3">
        <f>IFERROR(E1342/F1342,0)</f>
        <v/>
      </c>
      <c r="H1342" s="3" t="n">
        <v>76</v>
      </c>
      <c r="I1342" s="2" t="n">
        <v>20</v>
      </c>
      <c r="J1342" s="3">
        <f>IFERROR(E1342/H1342,0)</f>
        <v/>
      </c>
      <c r="K1342" s="10">
        <f>E1342/'По разделам'!$B$21</f>
        <v/>
      </c>
      <c r="L1342" s="4">
        <f>L1341+K1342</f>
        <v/>
      </c>
      <c r="M1342" s="2" t="inlineStr">
        <is>
          <t>04281</t>
        </is>
      </c>
      <c r="N1342" s="2" t="inlineStr">
        <is>
          <t>https://app.redstat.kz/niche/04281?event_date=2026-08-01</t>
        </is>
      </c>
      <c r="O1342" s="2" t="inlineStr">
        <is>
          <t>https://kaspi.kz/shop/c/staples/</t>
        </is>
      </c>
    </row>
    <row r="1343">
      <c r="A1343" s="2" t="n">
        <v>1342</v>
      </c>
      <c r="B1343" s="2" t="inlineStr">
        <is>
          <t>Лото</t>
        </is>
      </c>
      <c r="C1343" s="2" t="inlineStr">
        <is>
          <t>Досуг, книги</t>
        </is>
      </c>
      <c r="D1343" s="2" t="inlineStr">
        <is>
          <t>Досуг, книги → Игры для компаний → Лото</t>
        </is>
      </c>
      <c r="E1343" s="3" t="n">
        <v>1271567</v>
      </c>
      <c r="F1343" s="3" t="n">
        <v>320</v>
      </c>
      <c r="G1343" s="3">
        <f>IFERROR(E1343/F1343,0)</f>
        <v/>
      </c>
      <c r="H1343" s="3" t="n">
        <v>48</v>
      </c>
      <c r="I1343" s="2" t="n">
        <v>15</v>
      </c>
      <c r="J1343" s="3">
        <f>IFERROR(E1343/H1343,0)</f>
        <v/>
      </c>
      <c r="K1343" s="10">
        <f>E1343/'По разделам'!$B$21</f>
        <v/>
      </c>
      <c r="L1343" s="4">
        <f>L1342+K1343</f>
        <v/>
      </c>
      <c r="M1343" s="2" t="inlineStr">
        <is>
          <t>02243</t>
        </is>
      </c>
      <c r="N1343" s="2" t="inlineStr">
        <is>
          <t>https://app.redstat.kz/niche/02243?event_date=2026-08-01</t>
        </is>
      </c>
      <c r="O1343" s="2" t="inlineStr">
        <is>
          <t>https://kaspi.kz/shop/c/lotto/</t>
        </is>
      </c>
    </row>
    <row r="1344">
      <c r="A1344" s="2" t="n">
        <v>1343</v>
      </c>
      <c r="B1344" s="2" t="inlineStr">
        <is>
          <t>Пластик для 3D-печати</t>
        </is>
      </c>
      <c r="C1344" s="2" t="inlineStr">
        <is>
          <t>Компьютеры</t>
        </is>
      </c>
      <c r="D1344" s="2" t="inlineStr">
        <is>
          <t>Компьютеры → Оргтехника и расходные материалы → Другая оргтехника → Пластик для 3D-печати</t>
        </is>
      </c>
      <c r="E1344" s="3" t="n">
        <v>1269469</v>
      </c>
      <c r="F1344" s="3" t="n">
        <v>154</v>
      </c>
      <c r="G1344" s="3">
        <f>IFERROR(E1344/F1344,0)</f>
        <v/>
      </c>
      <c r="H1344" s="3" t="n">
        <v>96</v>
      </c>
      <c r="I1344" s="2" t="n">
        <v>29</v>
      </c>
      <c r="J1344" s="3">
        <f>IFERROR(E1344/H1344,0)</f>
        <v/>
      </c>
      <c r="K1344" s="10">
        <f>E1344/'По разделам'!$B$21</f>
        <v/>
      </c>
      <c r="L1344" s="4">
        <f>L1343+K1344</f>
        <v/>
      </c>
      <c r="M1344" s="2" t="inlineStr">
        <is>
          <t>02933</t>
        </is>
      </c>
      <c r="N1344" s="2" t="inlineStr">
        <is>
          <t>https://app.redstat.kz/niche/02933?event_date=2026-08-01</t>
        </is>
      </c>
      <c r="O1344" s="2" t="inlineStr">
        <is>
          <t>https://kaspi.kz/shop/c/filaments%20for%203d%20printing/</t>
        </is>
      </c>
    </row>
    <row r="1345">
      <c r="A1345" s="2" t="n">
        <v>1344</v>
      </c>
      <c r="B1345" s="2" t="inlineStr">
        <is>
          <t>Наборы для создания карты желаний</t>
        </is>
      </c>
      <c r="C1345" s="2" t="inlineStr">
        <is>
          <t>Досуг, книги</t>
        </is>
      </c>
      <c r="D1345" s="2" t="inlineStr">
        <is>
          <t>Досуг, книги → Гадания и эзотерика → Наборы для создания карты желаний</t>
        </is>
      </c>
      <c r="E1345" s="3" t="n">
        <v>1261611</v>
      </c>
      <c r="F1345" s="3" t="n">
        <v>225</v>
      </c>
      <c r="G1345" s="3">
        <f>IFERROR(E1345/F1345,0)</f>
        <v/>
      </c>
      <c r="H1345" s="3" t="n">
        <v>49</v>
      </c>
      <c r="I1345" s="2" t="n">
        <v>10</v>
      </c>
      <c r="J1345" s="3">
        <f>IFERROR(E1345/H1345,0)</f>
        <v/>
      </c>
      <c r="K1345" s="10">
        <f>E1345/'По разделам'!$B$21</f>
        <v/>
      </c>
      <c r="L1345" s="4">
        <f>L1344+K1345</f>
        <v/>
      </c>
      <c r="M1345" s="2" t="inlineStr">
        <is>
          <t>06182</t>
        </is>
      </c>
      <c r="N1345" s="2" t="inlineStr">
        <is>
          <t>https://app.redstat.kz/niche/06182?event_date=2026-08-01</t>
        </is>
      </c>
      <c r="O1345" s="2" t="inlineStr">
        <is>
          <t>https://kaspi.kz/shop/c/sets%20for%20creating%20wish%20cards/</t>
        </is>
      </c>
    </row>
    <row r="1346">
      <c r="A1346" s="2" t="n">
        <v>1345</v>
      </c>
      <c r="B1346" s="2" t="inlineStr">
        <is>
          <t>Средства для чистки ювелирных изделий</t>
        </is>
      </c>
      <c r="C1346" s="2" t="inlineStr">
        <is>
          <t>Украшения</t>
        </is>
      </c>
      <c r="D1346" s="2" t="inlineStr">
        <is>
          <t>Украшения → Ювелирное оборудование, подставки и фурнитура → Средства для чистки ювелирных изделий</t>
        </is>
      </c>
      <c r="E1346" s="3" t="n">
        <v>1261305</v>
      </c>
      <c r="F1346" s="3" t="n">
        <v>557</v>
      </c>
      <c r="G1346" s="3">
        <f>IFERROR(E1346/F1346,0)</f>
        <v/>
      </c>
      <c r="H1346" s="3" t="n">
        <v>53</v>
      </c>
      <c r="I1346" s="2" t="n">
        <v>10</v>
      </c>
      <c r="J1346" s="3">
        <f>IFERROR(E1346/H1346,0)</f>
        <v/>
      </c>
      <c r="K1346" s="10">
        <f>E1346/'По разделам'!$B$21</f>
        <v/>
      </c>
      <c r="L1346" s="4">
        <f>L1345+K1346</f>
        <v/>
      </c>
      <c r="M1346" s="2" t="inlineStr">
        <is>
          <t>04125</t>
        </is>
      </c>
      <c r="N1346" s="2" t="inlineStr">
        <is>
          <t>https://app.redstat.kz/niche/04125?event_date=2026-08-01</t>
        </is>
      </c>
      <c r="O1346" s="2" t="inlineStr">
        <is>
          <t>https://kaspi.kz/shop/c/jewelry%20cleaners/</t>
        </is>
      </c>
    </row>
    <row r="1347">
      <c r="A1347" s="2" t="n">
        <v>1346</v>
      </c>
      <c r="B1347" s="2" t="inlineStr">
        <is>
          <t>Вакцины для животных</t>
        </is>
      </c>
      <c r="C1347" s="2" t="inlineStr">
        <is>
          <t>Товары для животных</t>
        </is>
      </c>
      <c r="D1347" s="2" t="inlineStr">
        <is>
          <t>Товары для животных → Ветаптека → Вакцины для животных</t>
        </is>
      </c>
      <c r="E1347" s="3" t="n">
        <v>1258913</v>
      </c>
      <c r="F1347" s="3" t="n">
        <v>139</v>
      </c>
      <c r="G1347" s="3">
        <f>IFERROR(E1347/F1347,0)</f>
        <v/>
      </c>
      <c r="H1347" s="3" t="n">
        <v>19</v>
      </c>
      <c r="I1347" s="2" t="n">
        <v>8</v>
      </c>
      <c r="J1347" s="3">
        <f>IFERROR(E1347/H1347,0)</f>
        <v/>
      </c>
      <c r="K1347" s="10">
        <f>E1347/'По разделам'!$B$21</f>
        <v/>
      </c>
      <c r="L1347" s="4">
        <f>L1346+K1347</f>
        <v/>
      </c>
      <c r="M1347" s="2" t="inlineStr">
        <is>
          <t>09138</t>
        </is>
      </c>
      <c r="N1347" s="2" t="inlineStr">
        <is>
          <t>https://app.redstat.kz/niche/09138?event_date=2026-08-01</t>
        </is>
      </c>
      <c r="O1347" s="2" t="inlineStr">
        <is>
          <t>https://kaspi.kz/shop/c/vaccines%20for%20animals/</t>
        </is>
      </c>
    </row>
    <row r="1348">
      <c r="A1348" s="2" t="n">
        <v>1347</v>
      </c>
      <c r="B1348" s="2" t="inlineStr">
        <is>
          <t>Разметочный инструмент</t>
        </is>
      </c>
      <c r="C1348" s="2" t="inlineStr">
        <is>
          <t>Строительство, ремонт</t>
        </is>
      </c>
      <c r="D1348" s="2" t="inlineStr">
        <is>
          <t>Строительство, ремонт → Ручные инструменты → Разметочный инструмент</t>
        </is>
      </c>
      <c r="E1348" s="3" t="n">
        <v>1258589</v>
      </c>
      <c r="F1348" s="3" t="n">
        <v>793</v>
      </c>
      <c r="G1348" s="3">
        <f>IFERROR(E1348/F1348,0)</f>
        <v/>
      </c>
      <c r="H1348" s="3" t="n">
        <v>86</v>
      </c>
      <c r="I1348" s="2" t="n">
        <v>31</v>
      </c>
      <c r="J1348" s="3">
        <f>IFERROR(E1348/H1348,0)</f>
        <v/>
      </c>
      <c r="K1348" s="10">
        <f>E1348/'По разделам'!$B$21</f>
        <v/>
      </c>
      <c r="L1348" s="4">
        <f>L1347+K1348</f>
        <v/>
      </c>
      <c r="M1348" s="2" t="inlineStr">
        <is>
          <t>06215</t>
        </is>
      </c>
      <c r="N1348" s="2" t="inlineStr">
        <is>
          <t>https://app.redstat.kz/niche/06215?event_date=2026-08-01</t>
        </is>
      </c>
      <c r="O1348" s="2" t="inlineStr">
        <is>
          <t>https://kaspi.kz/shop/c/marking%20tool/</t>
        </is>
      </c>
    </row>
    <row r="1349">
      <c r="A1349" s="2" t="n">
        <v>1348</v>
      </c>
      <c r="B1349" s="2" t="inlineStr">
        <is>
          <t>Емкости для строительных работ</t>
        </is>
      </c>
      <c r="C1349" s="2" t="inlineStr">
        <is>
          <t>Строительство, ремонт</t>
        </is>
      </c>
      <c r="D1349" s="2" t="inlineStr">
        <is>
          <t>Строительство, ремонт → Строительный инвентарь → Емкости для строительных работ</t>
        </is>
      </c>
      <c r="E1349" s="3" t="n">
        <v>1253061</v>
      </c>
      <c r="F1349" s="3" t="n">
        <v>199</v>
      </c>
      <c r="G1349" s="3">
        <f>IFERROR(E1349/F1349,0)</f>
        <v/>
      </c>
      <c r="H1349" s="3" t="n">
        <v>41</v>
      </c>
      <c r="I1349" s="2" t="n">
        <v>14</v>
      </c>
      <c r="J1349" s="3">
        <f>IFERROR(E1349/H1349,0)</f>
        <v/>
      </c>
      <c r="K1349" s="10">
        <f>E1349/'По разделам'!$B$21</f>
        <v/>
      </c>
      <c r="L1349" s="4">
        <f>L1348+K1349</f>
        <v/>
      </c>
      <c r="M1349" s="2" t="inlineStr">
        <is>
          <t>06150</t>
        </is>
      </c>
      <c r="N1349" s="2" t="inlineStr">
        <is>
          <t>https://app.redstat.kz/niche/06150?event_date=2026-08-01</t>
        </is>
      </c>
      <c r="O1349" s="2" t="inlineStr">
        <is>
          <t>https://kaspi.kz/shop/c/tanks%20for%20construction%20work/</t>
        </is>
      </c>
    </row>
    <row r="1350">
      <c r="A1350" s="2" t="n">
        <v>1349</v>
      </c>
      <c r="B1350" s="2" t="inlineStr">
        <is>
          <t>Крепления для проекторов</t>
        </is>
      </c>
      <c r="C1350" s="2" t="inlineStr">
        <is>
          <t>ТВ, Аудио, Видео</t>
        </is>
      </c>
      <c r="D1350" s="2" t="inlineStr">
        <is>
          <t>ТВ, Аудио, Видео → Видеотехника → Крепления для проекторов</t>
        </is>
      </c>
      <c r="E1350" s="3" t="n">
        <v>1252829</v>
      </c>
      <c r="F1350" s="3" t="n">
        <v>120</v>
      </c>
      <c r="G1350" s="3">
        <f>IFERROR(E1350/F1350,0)</f>
        <v/>
      </c>
      <c r="H1350" s="3" t="n">
        <v>23</v>
      </c>
      <c r="I1350" s="2" t="n">
        <v>12</v>
      </c>
      <c r="J1350" s="3">
        <f>IFERROR(E1350/H1350,0)</f>
        <v/>
      </c>
      <c r="K1350" s="10">
        <f>E1350/'По разделам'!$B$21</f>
        <v/>
      </c>
      <c r="L1350" s="4">
        <f>L1349+K1350</f>
        <v/>
      </c>
      <c r="M1350" s="2" t="inlineStr">
        <is>
          <t>02250</t>
        </is>
      </c>
      <c r="N1350" s="2" t="inlineStr">
        <is>
          <t>https://app.redstat.kz/niche/02250?event_date=2026-08-01</t>
        </is>
      </c>
      <c r="O1350" s="2" t="inlineStr">
        <is>
          <t>https://kaspi.kz/shop/c/projector%20mounts/</t>
        </is>
      </c>
    </row>
    <row r="1351">
      <c r="A1351" s="2" t="n">
        <v>1350</v>
      </c>
      <c r="B1351" s="2" t="inlineStr">
        <is>
          <t>Напольные лампы</t>
        </is>
      </c>
      <c r="C1351" s="2" t="inlineStr">
        <is>
          <t>Товары для дома и дачи</t>
        </is>
      </c>
      <c r="D1351" s="2" t="inlineStr">
        <is>
          <t>Товары для дома и дачи → Освещение → Настольные и напольные лампы → Напольные лампы</t>
        </is>
      </c>
      <c r="E1351" s="3" t="n">
        <v>1240061</v>
      </c>
      <c r="F1351" s="3" t="n">
        <v>95</v>
      </c>
      <c r="G1351" s="3">
        <f>IFERROR(E1351/F1351,0)</f>
        <v/>
      </c>
      <c r="H1351" s="3" t="n">
        <v>47</v>
      </c>
      <c r="I1351" s="2" t="n">
        <v>20</v>
      </c>
      <c r="J1351" s="3">
        <f>IFERROR(E1351/H1351,0)</f>
        <v/>
      </c>
      <c r="K1351" s="10">
        <f>E1351/'По разделам'!$B$21</f>
        <v/>
      </c>
      <c r="L1351" s="4">
        <f>L1350+K1351</f>
        <v/>
      </c>
      <c r="M1351" s="2" t="inlineStr">
        <is>
          <t>09304</t>
        </is>
      </c>
      <c r="N1351" s="2" t="inlineStr">
        <is>
          <t>https://app.redstat.kz/niche/09304?event_date=2026-08-01</t>
        </is>
      </c>
      <c r="O1351" s="2" t="inlineStr">
        <is>
          <t>https://kaspi.kz/shop/c/floor%20lamp/</t>
        </is>
      </c>
    </row>
    <row r="1352">
      <c r="A1352" s="2" t="n">
        <v>1351</v>
      </c>
      <c r="B1352" s="2" t="inlineStr">
        <is>
          <t>Анатомические модели</t>
        </is>
      </c>
      <c r="C1352" s="2" t="inlineStr">
        <is>
          <t>Канцелярские товары</t>
        </is>
      </c>
      <c r="D1352" s="2" t="inlineStr">
        <is>
          <t>Канцелярские товары → Школьные принадлежности → Анатомические модели</t>
        </is>
      </c>
      <c r="E1352" s="3" t="n">
        <v>1233496</v>
      </c>
      <c r="F1352" s="3" t="n">
        <v>92</v>
      </c>
      <c r="G1352" s="3">
        <f>IFERROR(E1352/F1352,0)</f>
        <v/>
      </c>
      <c r="H1352" s="3" t="n">
        <v>38</v>
      </c>
      <c r="I1352" s="2" t="n">
        <v>2</v>
      </c>
      <c r="J1352" s="3">
        <f>IFERROR(E1352/H1352,0)</f>
        <v/>
      </c>
      <c r="K1352" s="10">
        <f>E1352/'По разделам'!$B$21</f>
        <v/>
      </c>
      <c r="L1352" s="4">
        <f>L1351+K1352</f>
        <v/>
      </c>
      <c r="M1352" s="2" t="inlineStr">
        <is>
          <t>06796</t>
        </is>
      </c>
      <c r="N1352" s="2" t="inlineStr">
        <is>
          <t>https://app.redstat.kz/niche/06796?event_date=2026-08-01</t>
        </is>
      </c>
      <c r="O1352" s="2" t="inlineStr">
        <is>
          <t>https://kaspi.kz/shop/c/anatomical%20models/</t>
        </is>
      </c>
    </row>
    <row r="1353">
      <c r="A1353" s="2" t="n">
        <v>1352</v>
      </c>
      <c r="B1353" s="2" t="inlineStr">
        <is>
          <t>Штемпельная краска</t>
        </is>
      </c>
      <c r="C1353" s="2" t="inlineStr">
        <is>
          <t>Канцелярские товары</t>
        </is>
      </c>
      <c r="D1353" s="2" t="inlineStr">
        <is>
          <t>Канцелярские товары → Штемпельные принадлежности → Штемпельная краска</t>
        </is>
      </c>
      <c r="E1353" s="3" t="n">
        <v>1228033</v>
      </c>
      <c r="F1353" s="3" t="n">
        <v>414</v>
      </c>
      <c r="G1353" s="3">
        <f>IFERROR(E1353/F1353,0)</f>
        <v/>
      </c>
      <c r="H1353" s="3" t="n">
        <v>42</v>
      </c>
      <c r="I1353" s="2" t="n">
        <v>12</v>
      </c>
      <c r="J1353" s="3">
        <f>IFERROR(E1353/H1353,0)</f>
        <v/>
      </c>
      <c r="K1353" s="10">
        <f>E1353/'По разделам'!$B$21</f>
        <v/>
      </c>
      <c r="L1353" s="4">
        <f>L1352+K1353</f>
        <v/>
      </c>
      <c r="M1353" s="2" t="inlineStr">
        <is>
          <t>04286</t>
        </is>
      </c>
      <c r="N1353" s="2" t="inlineStr">
        <is>
          <t>https://app.redstat.kz/niche/04286?event_date=2026-08-01</t>
        </is>
      </c>
      <c r="O1353" s="2" t="inlineStr">
        <is>
          <t>https://kaspi.kz/shop/c/stamp%20ink%20refill/</t>
        </is>
      </c>
    </row>
    <row r="1354">
      <c r="A1354" s="2" t="n">
        <v>1353</v>
      </c>
      <c r="B1354" s="2" t="inlineStr">
        <is>
          <t>Чехлы для смарт-часов и фитнес-браслетов</t>
        </is>
      </c>
      <c r="C1354" s="2" t="inlineStr">
        <is>
          <t>Телефоны и гаджеты</t>
        </is>
      </c>
      <c r="D1354" s="2" t="inlineStr">
        <is>
          <t>Телефоны и гаджеты → Аксессуары для смарт-часов и фитнесс браслетов → Чехлы для смарт-часов и фитнес-браслетов</t>
        </is>
      </c>
      <c r="E1354" s="3" t="n">
        <v>1216763</v>
      </c>
      <c r="F1354" s="3" t="n">
        <v>485</v>
      </c>
      <c r="G1354" s="3">
        <f>IFERROR(E1354/F1354,0)</f>
        <v/>
      </c>
      <c r="H1354" s="3" t="n">
        <v>115</v>
      </c>
      <c r="I1354" s="2" t="n">
        <v>12</v>
      </c>
      <c r="J1354" s="3">
        <f>IFERROR(E1354/H1354,0)</f>
        <v/>
      </c>
      <c r="K1354" s="10">
        <f>E1354/'По разделам'!$B$21</f>
        <v/>
      </c>
      <c r="L1354" s="4">
        <f>L1353+K1354</f>
        <v/>
      </c>
      <c r="M1354" s="2" t="inlineStr">
        <is>
          <t>04152</t>
        </is>
      </c>
      <c r="N1354" s="2" t="inlineStr">
        <is>
          <t>https://app.redstat.kz/niche/04152?event_date=2026-08-01</t>
        </is>
      </c>
      <c r="O1354" s="2" t="inlineStr">
        <is>
          <t>https://kaspi.kz/shop/c/cases%20for%20smartwatches%20and%20fitness%20bracelets/</t>
        </is>
      </c>
    </row>
    <row r="1355">
      <c r="A1355" s="2" t="n">
        <v>1354</v>
      </c>
      <c r="B1355" s="2" t="inlineStr">
        <is>
          <t>Прочее оборудование для КРС</t>
        </is>
      </c>
      <c r="C1355" s="2" t="inlineStr">
        <is>
          <t>Товары для животных</t>
        </is>
      </c>
      <c r="D1355" s="2" t="inlineStr">
        <is>
          <t>Товары для животных → Для сельскохозяйственных животных → Прочее оборудование для КРС</t>
        </is>
      </c>
      <c r="E1355" s="3" t="n">
        <v>1210974</v>
      </c>
      <c r="F1355" s="3" t="n">
        <v>115</v>
      </c>
      <c r="G1355" s="3">
        <f>IFERROR(E1355/F1355,0)</f>
        <v/>
      </c>
      <c r="H1355" s="3" t="n">
        <v>33</v>
      </c>
      <c r="I1355" s="2" t="n">
        <v>8</v>
      </c>
      <c r="J1355" s="3">
        <f>IFERROR(E1355/H1355,0)</f>
        <v/>
      </c>
      <c r="K1355" s="10">
        <f>E1355/'По разделам'!$B$21</f>
        <v/>
      </c>
      <c r="L1355" s="4">
        <f>L1354+K1355</f>
        <v/>
      </c>
      <c r="M1355" s="2" t="inlineStr">
        <is>
          <t>05881</t>
        </is>
      </c>
      <c r="N1355" s="2" t="inlineStr">
        <is>
          <t>https://app.redstat.kz/niche/05881?event_date=2026-08-01</t>
        </is>
      </c>
      <c r="O1355" s="2" t="inlineStr">
        <is>
          <t>https://kaspi.kz/shop/c/compound%20feed%20equipment/</t>
        </is>
      </c>
    </row>
    <row r="1356">
      <c r="A1356" s="2" t="n">
        <v>1355</v>
      </c>
      <c r="B1356" s="2" t="inlineStr">
        <is>
          <t>Переходные рамки для автомагнитол</t>
        </is>
      </c>
      <c r="C1356" s="2" t="inlineStr">
        <is>
          <t>Автотовары</t>
        </is>
      </c>
      <c r="D1356" s="2" t="inlineStr">
        <is>
          <t>Автотовары → Автоакустика → Переходные рамки для автомагнитол</t>
        </is>
      </c>
      <c r="E1356" s="3" t="n">
        <v>1204343</v>
      </c>
      <c r="F1356" s="3" t="n">
        <v>96</v>
      </c>
      <c r="G1356" s="3">
        <f>IFERROR(E1356/F1356,0)</f>
        <v/>
      </c>
      <c r="H1356" s="3" t="n">
        <v>45</v>
      </c>
      <c r="I1356" s="2" t="n">
        <v>17</v>
      </c>
      <c r="J1356" s="3">
        <f>IFERROR(E1356/H1356,0)</f>
        <v/>
      </c>
      <c r="K1356" s="10">
        <f>E1356/'По разделам'!$B$21</f>
        <v/>
      </c>
      <c r="L1356" s="4">
        <f>L1355+K1356</f>
        <v/>
      </c>
      <c r="M1356" s="2" t="inlineStr">
        <is>
          <t>04322</t>
        </is>
      </c>
      <c r="N1356" s="2" t="inlineStr">
        <is>
          <t>https://app.redstat.kz/niche/04322?event_date=2026-08-01</t>
        </is>
      </c>
      <c r="O1356" s="2" t="inlineStr">
        <is>
          <t>https://kaspi.kz/shop/c/frames%20for%20car%20radios/</t>
        </is>
      </c>
    </row>
    <row r="1357">
      <c r="A1357" s="2" t="n">
        <v>1356</v>
      </c>
      <c r="B1357" s="2" t="inlineStr">
        <is>
          <t>Уход за стеклами и фарами автомобилей</t>
        </is>
      </c>
      <c r="C1357" s="2" t="inlineStr">
        <is>
          <t>Автотовары</t>
        </is>
      </c>
      <c r="D1357" s="2" t="inlineStr">
        <is>
          <t>Автотовары → Автохимия и автокосметика → Уход за стеклами и фарами автомобилей → Уход за стеклами и фарами автомобилей</t>
        </is>
      </c>
      <c r="E1357" s="3" t="n">
        <v>1204018</v>
      </c>
      <c r="F1357" s="3" t="n">
        <v>338</v>
      </c>
      <c r="G1357" s="3">
        <f>IFERROR(E1357/F1357,0)</f>
        <v/>
      </c>
      <c r="H1357" s="3" t="n">
        <v>55</v>
      </c>
      <c r="I1357" s="2" t="n">
        <v>23</v>
      </c>
      <c r="J1357" s="3">
        <f>IFERROR(E1357/H1357,0)</f>
        <v/>
      </c>
      <c r="K1357" s="10">
        <f>E1357/'По разделам'!$B$21</f>
        <v/>
      </c>
      <c r="L1357" s="4">
        <f>L1356+K1357</f>
        <v/>
      </c>
      <c r="M1357" s="2" t="inlineStr">
        <is>
          <t>q72df7ee02b8f52e</t>
        </is>
      </c>
      <c r="N1357" s="2" t="inlineStr">
        <is>
          <t>https://app.redstat.kz/niche/q72df7ee02b8f52e?event_date=2026-08-01</t>
        </is>
      </c>
      <c r="O1357" s="2" t="inlineStr"/>
    </row>
    <row r="1358">
      <c r="A1358" s="2" t="n">
        <v>1357</v>
      </c>
      <c r="B1358" s="2" t="inlineStr">
        <is>
          <t>Системы контроля давления в шинах</t>
        </is>
      </c>
      <c r="C1358" s="2" t="inlineStr">
        <is>
          <t>Автотовары</t>
        </is>
      </c>
      <c r="D1358" s="2" t="inlineStr">
        <is>
          <t>Автотовары → Автомобильное оборудование → Системы контроля давления в шинах</t>
        </is>
      </c>
      <c r="E1358" s="3" t="n">
        <v>1187154</v>
      </c>
      <c r="F1358" s="3" t="n">
        <v>67</v>
      </c>
      <c r="G1358" s="3">
        <f>IFERROR(E1358/F1358,0)</f>
        <v/>
      </c>
      <c r="H1358" s="3" t="n">
        <v>15</v>
      </c>
      <c r="I1358" s="2" t="n">
        <v>7</v>
      </c>
      <c r="J1358" s="3">
        <f>IFERROR(E1358/H1358,0)</f>
        <v/>
      </c>
      <c r="K1358" s="10">
        <f>E1358/'По разделам'!$B$21</f>
        <v/>
      </c>
      <c r="L1358" s="4">
        <f>L1357+K1358</f>
        <v/>
      </c>
      <c r="M1358" s="2" t="inlineStr">
        <is>
          <t>02313</t>
        </is>
      </c>
      <c r="N1358" s="2" t="inlineStr">
        <is>
          <t>https://app.redstat.kz/niche/02313?event_date=2026-08-01</t>
        </is>
      </c>
      <c r="O1358" s="2" t="inlineStr">
        <is>
          <t>https://kaspi.kz/shop/c/tire%20pressure%20monitoring%20systems/</t>
        </is>
      </c>
    </row>
    <row r="1359">
      <c r="A1359" s="2" t="n">
        <v>1358</v>
      </c>
      <c r="B1359" s="2" t="inlineStr">
        <is>
          <t>Гамаки для йоги</t>
        </is>
      </c>
      <c r="C1359" s="2" t="inlineStr">
        <is>
          <t>Спорт, туризм</t>
        </is>
      </c>
      <c r="D1359" s="2" t="inlineStr">
        <is>
          <t>Спорт, туризм → Йога и пилатес → Гамаки для йоги</t>
        </is>
      </c>
      <c r="E1359" s="3" t="n">
        <v>1180331</v>
      </c>
      <c r="F1359" s="3" t="n">
        <v>46</v>
      </c>
      <c r="G1359" s="3">
        <f>IFERROR(E1359/F1359,0)</f>
        <v/>
      </c>
      <c r="H1359" s="3" t="n">
        <v>12</v>
      </c>
      <c r="I1359" s="2" t="n">
        <v>1</v>
      </c>
      <c r="J1359" s="3">
        <f>IFERROR(E1359/H1359,0)</f>
        <v/>
      </c>
      <c r="K1359" s="10">
        <f>E1359/'По разделам'!$B$21</f>
        <v/>
      </c>
      <c r="L1359" s="4">
        <f>L1358+K1359</f>
        <v/>
      </c>
      <c r="M1359" s="2" t="inlineStr">
        <is>
          <t>04825</t>
        </is>
      </c>
      <c r="N1359" s="2" t="inlineStr">
        <is>
          <t>https://app.redstat.kz/niche/04825?event_date=2026-08-01</t>
        </is>
      </c>
      <c r="O1359" s="2" t="inlineStr">
        <is>
          <t>https://kaspi.kz/shop/c/yoga%20hammocks/</t>
        </is>
      </c>
    </row>
    <row r="1360">
      <c r="A1360" s="2" t="n">
        <v>1359</v>
      </c>
      <c r="B1360" s="2" t="inlineStr">
        <is>
          <t>Инструменты и материалы для наращивания волос</t>
        </is>
      </c>
      <c r="C1360" s="2" t="inlineStr">
        <is>
          <t>Красота и здоровье</t>
        </is>
      </c>
      <c r="D1360" s="2" t="inlineStr">
        <is>
          <t>Красота и здоровье → Инструменты для укладки, ухода и наращивания волос → Инструменты и материалы для наращивания волос → Инструменты и материалы для наращивания волос</t>
        </is>
      </c>
      <c r="E1360" s="3" t="n">
        <v>1174696</v>
      </c>
      <c r="F1360" s="3" t="n">
        <v>161</v>
      </c>
      <c r="G1360" s="3">
        <f>IFERROR(E1360/F1360,0)</f>
        <v/>
      </c>
      <c r="H1360" s="3" t="n">
        <v>27</v>
      </c>
      <c r="I1360" s="2" t="n">
        <v>4</v>
      </c>
      <c r="J1360" s="3">
        <f>IFERROR(E1360/H1360,0)</f>
        <v/>
      </c>
      <c r="K1360" s="10">
        <f>E1360/'По разделам'!$B$21</f>
        <v/>
      </c>
      <c r="L1360" s="4">
        <f>L1359+K1360</f>
        <v/>
      </c>
      <c r="M1360" s="2" t="inlineStr">
        <is>
          <t>q4eddbc0621f757c</t>
        </is>
      </c>
      <c r="N1360" s="2" t="inlineStr">
        <is>
          <t>https://app.redstat.kz/niche/q4eddbc0621f757c?event_date=2026-08-01</t>
        </is>
      </c>
      <c r="O1360" s="2" t="inlineStr"/>
    </row>
    <row r="1361">
      <c r="A1361" s="2" t="n">
        <v>1360</v>
      </c>
      <c r="B1361" s="2" t="inlineStr">
        <is>
          <t>Фонари для подводного плавания</t>
        </is>
      </c>
      <c r="C1361" s="2" t="inlineStr">
        <is>
          <t>Спорт, туризм</t>
        </is>
      </c>
      <c r="D1361" s="2" t="inlineStr">
        <is>
          <t>Спорт, туризм → Водный спорт → Фонари для подводного плавания</t>
        </is>
      </c>
      <c r="E1361" s="3" t="n">
        <v>1161480</v>
      </c>
      <c r="F1361" s="3" t="n">
        <v>56</v>
      </c>
      <c r="G1361" s="3">
        <f>IFERROR(E1361/F1361,0)</f>
        <v/>
      </c>
      <c r="H1361" s="3" t="n">
        <v>18</v>
      </c>
      <c r="I1361" s="2" t="n">
        <v>7</v>
      </c>
      <c r="J1361" s="3">
        <f>IFERROR(E1361/H1361,0)</f>
        <v/>
      </c>
      <c r="K1361" s="10">
        <f>E1361/'По разделам'!$B$21</f>
        <v/>
      </c>
      <c r="L1361" s="4">
        <f>L1360+K1361</f>
        <v/>
      </c>
      <c r="M1361" s="2" t="inlineStr">
        <is>
          <t>01149</t>
        </is>
      </c>
      <c r="N1361" s="2" t="inlineStr">
        <is>
          <t>https://app.redstat.kz/niche/01149?event_date=2026-08-01</t>
        </is>
      </c>
      <c r="O1361" s="2" t="inlineStr">
        <is>
          <t>https://kaspi.kz/shop/c/diving%20lights/</t>
        </is>
      </c>
    </row>
    <row r="1362">
      <c r="A1362" s="2" t="n">
        <v>1361</v>
      </c>
      <c r="B1362" s="2" t="inlineStr">
        <is>
          <t>Барбекю, грили и коптильни</t>
        </is>
      </c>
      <c r="C1362" s="2" t="inlineStr">
        <is>
          <t>Товары для дома и дачи</t>
        </is>
      </c>
      <c r="D1362" s="2" t="inlineStr">
        <is>
          <t>Товары для дома и дачи → Дача, сад и огород → Пикник, барбекю, гриль → Барбекю, грили и коптильни</t>
        </is>
      </c>
      <c r="E1362" s="3" t="n">
        <v>1159285</v>
      </c>
      <c r="F1362" s="3" t="n">
        <v>140</v>
      </c>
      <c r="G1362" s="3">
        <f>IFERROR(E1362/F1362,0)</f>
        <v/>
      </c>
      <c r="H1362" s="3" t="n">
        <v>63</v>
      </c>
      <c r="I1362" s="2" t="n">
        <v>26</v>
      </c>
      <c r="J1362" s="3">
        <f>IFERROR(E1362/H1362,0)</f>
        <v/>
      </c>
      <c r="K1362" s="10">
        <f>E1362/'По разделам'!$B$21</f>
        <v/>
      </c>
      <c r="L1362" s="4">
        <f>L1361+K1362</f>
        <v/>
      </c>
      <c r="M1362" s="2" t="inlineStr">
        <is>
          <t>00914</t>
        </is>
      </c>
      <c r="N1362" s="2" t="inlineStr">
        <is>
          <t>https://app.redstat.kz/niche/00914?event_date=2026-08-01</t>
        </is>
      </c>
      <c r="O1362" s="2" t="inlineStr">
        <is>
          <t>https://kaspi.kz/shop/c/grills%20and%20smokers/</t>
        </is>
      </c>
    </row>
    <row r="1363">
      <c r="A1363" s="2" t="n">
        <v>1362</v>
      </c>
      <c r="B1363" s="2" t="inlineStr">
        <is>
          <t>Подставки под ноги</t>
        </is>
      </c>
      <c r="C1363" s="2" t="inlineStr">
        <is>
          <t>Мебель</t>
        </is>
      </c>
      <c r="D1363" s="2" t="inlineStr">
        <is>
          <t>Мебель → Офис и кабинет → Подставки под ноги</t>
        </is>
      </c>
      <c r="E1363" s="3" t="n">
        <v>1156032</v>
      </c>
      <c r="F1363" s="3" t="n">
        <v>122</v>
      </c>
      <c r="G1363" s="3">
        <f>IFERROR(E1363/F1363,0)</f>
        <v/>
      </c>
      <c r="H1363" s="3" t="n">
        <v>22</v>
      </c>
      <c r="I1363" s="2" t="n">
        <v>5</v>
      </c>
      <c r="J1363" s="3">
        <f>IFERROR(E1363/H1363,0)</f>
        <v/>
      </c>
      <c r="K1363" s="10">
        <f>E1363/'По разделам'!$B$21</f>
        <v/>
      </c>
      <c r="L1363" s="4">
        <f>L1362+K1363</f>
        <v/>
      </c>
      <c r="M1363" s="2" t="inlineStr">
        <is>
          <t>05926</t>
        </is>
      </c>
      <c r="N1363" s="2" t="inlineStr">
        <is>
          <t>https://app.redstat.kz/niche/05926?event_date=2026-08-01</t>
        </is>
      </c>
      <c r="O1363" s="2" t="inlineStr">
        <is>
          <t>https://kaspi.kz/shop/c/footrests/</t>
        </is>
      </c>
    </row>
    <row r="1364">
      <c r="A1364" s="2" t="n">
        <v>1363</v>
      </c>
      <c r="B1364" s="2" t="inlineStr">
        <is>
          <t>Офисные настольные коврики</t>
        </is>
      </c>
      <c r="C1364" s="2" t="inlineStr">
        <is>
          <t>Канцелярские товары</t>
        </is>
      </c>
      <c r="D1364" s="2" t="inlineStr">
        <is>
          <t>Канцелярские товары → Офисные принадлежности → Офисные настольные коврики</t>
        </is>
      </c>
      <c r="E1364" s="3" t="n">
        <v>1149116</v>
      </c>
      <c r="F1364" s="3" t="n">
        <v>572</v>
      </c>
      <c r="G1364" s="3">
        <f>IFERROR(E1364/F1364,0)</f>
        <v/>
      </c>
      <c r="H1364" s="3" t="n">
        <v>74</v>
      </c>
      <c r="I1364" s="2" t="n">
        <v>16</v>
      </c>
      <c r="J1364" s="3">
        <f>IFERROR(E1364/H1364,0)</f>
        <v/>
      </c>
      <c r="K1364" s="10">
        <f>E1364/'По разделам'!$B$21</f>
        <v/>
      </c>
      <c r="L1364" s="4">
        <f>L1363+K1364</f>
        <v/>
      </c>
      <c r="M1364" s="2" t="inlineStr">
        <is>
          <t>04276</t>
        </is>
      </c>
      <c r="N1364" s="2" t="inlineStr">
        <is>
          <t>https://app.redstat.kz/niche/04276?event_date=2026-08-01</t>
        </is>
      </c>
      <c r="O1364" s="2" t="inlineStr">
        <is>
          <t>https://kaspi.kz/shop/c/office%20desk%20mats/</t>
        </is>
      </c>
    </row>
    <row r="1365">
      <c r="A1365" s="2" t="n">
        <v>1364</v>
      </c>
      <c r="B1365" s="2" t="inlineStr">
        <is>
          <t>Настенные часы</t>
        </is>
      </c>
      <c r="C1365" s="2" t="inlineStr">
        <is>
          <t>Товары для дома и дачи</t>
        </is>
      </c>
      <c r="D1365" s="2" t="inlineStr">
        <is>
          <t>Товары для дома и дачи → Интерьер → Часы и метеостанции → Настенные часы</t>
        </is>
      </c>
      <c r="E1365" s="3" t="n">
        <v>1147056</v>
      </c>
      <c r="F1365" s="3" t="n">
        <v>193</v>
      </c>
      <c r="G1365" s="3">
        <f>IFERROR(E1365/F1365,0)</f>
        <v/>
      </c>
      <c r="H1365" s="3" t="n">
        <v>98</v>
      </c>
      <c r="I1365" s="2" t="n">
        <v>32</v>
      </c>
      <c r="J1365" s="3">
        <f>IFERROR(E1365/H1365,0)</f>
        <v/>
      </c>
      <c r="K1365" s="10">
        <f>E1365/'По разделам'!$B$21</f>
        <v/>
      </c>
      <c r="L1365" s="4">
        <f>L1364+K1365</f>
        <v/>
      </c>
      <c r="M1365" s="2" t="inlineStr">
        <is>
          <t>02579</t>
        </is>
      </c>
      <c r="N1365" s="2" t="inlineStr">
        <is>
          <t>https://app.redstat.kz/niche/02579?event_date=2026-08-01</t>
        </is>
      </c>
      <c r="O1365" s="2" t="inlineStr">
        <is>
          <t>https://kaspi.kz/shop/c/wall%20clocks/</t>
        </is>
      </c>
    </row>
    <row r="1366">
      <c r="A1366" s="2" t="n">
        <v>1365</v>
      </c>
      <c r="B1366" s="2" t="inlineStr">
        <is>
          <t>Доски для плавания</t>
        </is>
      </c>
      <c r="C1366" s="2" t="inlineStr">
        <is>
          <t>Спорт, туризм</t>
        </is>
      </c>
      <c r="D1366" s="2" t="inlineStr">
        <is>
          <t>Спорт, туризм → Водный спорт → Доски для плавания</t>
        </is>
      </c>
      <c r="E1366" s="3" t="n">
        <v>1147013</v>
      </c>
      <c r="F1366" s="3" t="n">
        <v>246</v>
      </c>
      <c r="G1366" s="3">
        <f>IFERROR(E1366/F1366,0)</f>
        <v/>
      </c>
      <c r="H1366" s="3" t="n">
        <v>58</v>
      </c>
      <c r="I1366" s="2" t="n">
        <v>13</v>
      </c>
      <c r="J1366" s="3">
        <f>IFERROR(E1366/H1366,0)</f>
        <v/>
      </c>
      <c r="K1366" s="10">
        <f>E1366/'По разделам'!$B$21</f>
        <v/>
      </c>
      <c r="L1366" s="4">
        <f>L1365+K1366</f>
        <v/>
      </c>
      <c r="M1366" s="2" t="inlineStr">
        <is>
          <t>02047</t>
        </is>
      </c>
      <c r="N1366" s="2" t="inlineStr">
        <is>
          <t>https://app.redstat.kz/niche/02047?event_date=2026-08-01</t>
        </is>
      </c>
      <c r="O1366" s="2" t="inlineStr">
        <is>
          <t>https://kaspi.kz/shop/c/swimming%20kickboards/</t>
        </is>
      </c>
    </row>
    <row r="1367">
      <c r="A1367" s="2" t="n">
        <v>1366</v>
      </c>
      <c r="B1367" s="2" t="inlineStr">
        <is>
          <t>Дверцы и перегородки для животных</t>
        </is>
      </c>
      <c r="C1367" s="2" t="inlineStr">
        <is>
          <t>Товары для животных</t>
        </is>
      </c>
      <c r="D1367" s="2" t="inlineStr">
        <is>
          <t>Товары для животных → Аксессуары для животных → Дверцы и перегородки для животных</t>
        </is>
      </c>
      <c r="E1367" s="3" t="n">
        <v>1144234</v>
      </c>
      <c r="F1367" s="3" t="n">
        <v>103</v>
      </c>
      <c r="G1367" s="3">
        <f>IFERROR(E1367/F1367,0)</f>
        <v/>
      </c>
      <c r="H1367" s="3" t="n">
        <v>26</v>
      </c>
      <c r="I1367" s="2" t="n">
        <v>8</v>
      </c>
      <c r="J1367" s="3">
        <f>IFERROR(E1367/H1367,0)</f>
        <v/>
      </c>
      <c r="K1367" s="10">
        <f>E1367/'По разделам'!$B$21</f>
        <v/>
      </c>
      <c r="L1367" s="4">
        <f>L1366+K1367</f>
        <v/>
      </c>
      <c r="M1367" s="2" t="inlineStr">
        <is>
          <t>04804</t>
        </is>
      </c>
      <c r="N1367" s="2" t="inlineStr">
        <is>
          <t>https://app.redstat.kz/niche/04804?event_date=2026-08-01</t>
        </is>
      </c>
      <c r="O1367" s="2" t="inlineStr">
        <is>
          <t>https://kaspi.kz/shop/c/pet%20doors%20and%20gates/</t>
        </is>
      </c>
    </row>
    <row r="1368">
      <c r="A1368" s="2" t="n">
        <v>1367</v>
      </c>
      <c r="B1368" s="2" t="inlineStr">
        <is>
          <t>Зажимы для носа</t>
        </is>
      </c>
      <c r="C1368" s="2" t="inlineStr">
        <is>
          <t>Спорт, туризм</t>
        </is>
      </c>
      <c r="D1368" s="2" t="inlineStr">
        <is>
          <t>Спорт, туризм → Водный спорт → Зажимы для носа</t>
        </is>
      </c>
      <c r="E1368" s="3" t="n">
        <v>1143553</v>
      </c>
      <c r="F1368" s="3" t="n">
        <v>558</v>
      </c>
      <c r="G1368" s="3">
        <f>IFERROR(E1368/F1368,0)</f>
        <v/>
      </c>
      <c r="H1368" s="3" t="n">
        <v>48</v>
      </c>
      <c r="I1368" s="2" t="n">
        <v>18</v>
      </c>
      <c r="J1368" s="3">
        <f>IFERROR(E1368/H1368,0)</f>
        <v/>
      </c>
      <c r="K1368" s="10">
        <f>E1368/'По разделам'!$B$21</f>
        <v/>
      </c>
      <c r="L1368" s="4">
        <f>L1367+K1368</f>
        <v/>
      </c>
      <c r="M1368" s="2" t="inlineStr">
        <is>
          <t>04647</t>
        </is>
      </c>
      <c r="N1368" s="2" t="inlineStr">
        <is>
          <t>https://app.redstat.kz/niche/04647?event_date=2026-08-01</t>
        </is>
      </c>
      <c r="O1368" s="2" t="inlineStr">
        <is>
          <t>https://kaspi.kz/shop/c/nose%20clips%20and%20earplugs%20for%20swimming/</t>
        </is>
      </c>
    </row>
    <row r="1369">
      <c r="A1369" s="2" t="n">
        <v>1368</v>
      </c>
      <c r="B1369" s="2" t="inlineStr">
        <is>
          <t>Аксессуары для стиральных и сушильных машин</t>
        </is>
      </c>
      <c r="C1369" s="2" t="inlineStr">
        <is>
          <t>Бытовая техника</t>
        </is>
      </c>
      <c r="D1369" s="2" t="inlineStr">
        <is>
          <t>Бытовая техника → Крупная техника для дома → Аксессуары для крупной бытовой техники → Аксессуары для стиральных и сушильных машин</t>
        </is>
      </c>
      <c r="E1369" s="3" t="n">
        <v>1141601</v>
      </c>
      <c r="F1369" s="3" t="n">
        <v>248</v>
      </c>
      <c r="G1369" s="3">
        <f>IFERROR(E1369/F1369,0)</f>
        <v/>
      </c>
      <c r="H1369" s="3" t="n">
        <v>150</v>
      </c>
      <c r="I1369" s="2" t="n">
        <v>41</v>
      </c>
      <c r="J1369" s="3">
        <f>IFERROR(E1369/H1369,0)</f>
        <v/>
      </c>
      <c r="K1369" s="10">
        <f>E1369/'По разделам'!$B$21</f>
        <v/>
      </c>
      <c r="L1369" s="4">
        <f>L1368+K1369</f>
        <v/>
      </c>
      <c r="M1369" s="2" t="inlineStr">
        <is>
          <t>04753</t>
        </is>
      </c>
      <c r="N1369" s="2" t="inlineStr">
        <is>
          <t>https://app.redstat.kz/niche/04753?event_date=2026-08-01</t>
        </is>
      </c>
      <c r="O1369" s="2" t="inlineStr">
        <is>
          <t>https://kaspi.kz/shop/c/washing%20machine%20accessories/</t>
        </is>
      </c>
    </row>
    <row r="1370">
      <c r="A1370" s="2" t="n">
        <v>1369</v>
      </c>
      <c r="B1370" s="2" t="inlineStr">
        <is>
          <t>Картридеры</t>
        </is>
      </c>
      <c r="C1370" s="2" t="inlineStr">
        <is>
          <t>Компьютеры</t>
        </is>
      </c>
      <c r="D1370" s="2" t="inlineStr">
        <is>
          <t>Компьютеры → Периферия → Другая периферия → Картридеры</t>
        </is>
      </c>
      <c r="E1370" s="3" t="n">
        <v>1138555</v>
      </c>
      <c r="F1370" s="3" t="n">
        <v>387</v>
      </c>
      <c r="G1370" s="3">
        <f>IFERROR(E1370/F1370,0)</f>
        <v/>
      </c>
      <c r="H1370" s="3" t="n">
        <v>208</v>
      </c>
      <c r="I1370" s="2" t="n">
        <v>43</v>
      </c>
      <c r="J1370" s="3">
        <f>IFERROR(E1370/H1370,0)</f>
        <v/>
      </c>
      <c r="K1370" s="10">
        <f>E1370/'По разделам'!$B$21</f>
        <v/>
      </c>
      <c r="L1370" s="4">
        <f>L1369+K1370</f>
        <v/>
      </c>
      <c r="M1370" s="2" t="inlineStr">
        <is>
          <t>01684</t>
        </is>
      </c>
      <c r="N1370" s="2" t="inlineStr">
        <is>
          <t>https://app.redstat.kz/niche/01684?event_date=2026-08-01</t>
        </is>
      </c>
      <c r="O1370" s="2" t="inlineStr">
        <is>
          <t>https://kaspi.kz/shop/c/card%20readers/</t>
        </is>
      </c>
    </row>
    <row r="1371">
      <c r="A1371" s="2" t="n">
        <v>1370</v>
      </c>
      <c r="B1371" s="2" t="inlineStr">
        <is>
          <t>Устройства для перемещения мебели</t>
        </is>
      </c>
      <c r="C1371" s="2" t="inlineStr">
        <is>
          <t>Строительство, ремонт</t>
        </is>
      </c>
      <c r="D1371" s="2" t="inlineStr">
        <is>
          <t>Строительство, ремонт → Строительный инвентарь → Устройства для перемещения мебели</t>
        </is>
      </c>
      <c r="E1371" s="3" t="n">
        <v>1135915</v>
      </c>
      <c r="F1371" s="3" t="n">
        <v>163</v>
      </c>
      <c r="G1371" s="3">
        <f>IFERROR(E1371/F1371,0)</f>
        <v/>
      </c>
      <c r="H1371" s="3" t="n">
        <v>16</v>
      </c>
      <c r="I1371" s="2" t="n">
        <v>4</v>
      </c>
      <c r="J1371" s="3">
        <f>IFERROR(E1371/H1371,0)</f>
        <v/>
      </c>
      <c r="K1371" s="10">
        <f>E1371/'По разделам'!$B$21</f>
        <v/>
      </c>
      <c r="L1371" s="4">
        <f>L1370+K1371</f>
        <v/>
      </c>
      <c r="M1371" s="2" t="inlineStr">
        <is>
          <t>05294</t>
        </is>
      </c>
      <c r="N1371" s="2" t="inlineStr">
        <is>
          <t>https://app.redstat.kz/niche/05294?event_date=2026-08-01</t>
        </is>
      </c>
      <c r="O1371" s="2" t="inlineStr">
        <is>
          <t>https://kaspi.kz/shop/c/furniture%20moving%20devices/</t>
        </is>
      </c>
    </row>
    <row r="1372">
      <c r="A1372" s="2" t="n">
        <v>1371</v>
      </c>
      <c r="B1372" s="2" t="inlineStr">
        <is>
          <t>Детские тренажеры</t>
        </is>
      </c>
      <c r="C1372" s="2" t="inlineStr">
        <is>
          <t>Спорт, туризм</t>
        </is>
      </c>
      <c r="D1372" s="2" t="inlineStr">
        <is>
          <t>Спорт, туризм → Тренажеры → Детские тренажеры</t>
        </is>
      </c>
      <c r="E1372" s="3" t="n">
        <v>1135140</v>
      </c>
      <c r="F1372" s="3" t="n">
        <v>21</v>
      </c>
      <c r="G1372" s="3">
        <f>IFERROR(E1372/F1372,0)</f>
        <v/>
      </c>
      <c r="H1372" s="3" t="n">
        <v>10</v>
      </c>
      <c r="I1372" s="2" t="n">
        <v>3</v>
      </c>
      <c r="J1372" s="3">
        <f>IFERROR(E1372/H1372,0)</f>
        <v/>
      </c>
      <c r="K1372" s="10">
        <f>E1372/'По разделам'!$B$21</f>
        <v/>
      </c>
      <c r="L1372" s="4">
        <f>L1371+K1372</f>
        <v/>
      </c>
      <c r="M1372" s="2" t="inlineStr">
        <is>
          <t>06576</t>
        </is>
      </c>
      <c r="N1372" s="2" t="inlineStr">
        <is>
          <t>https://app.redstat.kz/niche/06576?event_date=2026-08-01</t>
        </is>
      </c>
      <c r="O1372" s="2" t="inlineStr">
        <is>
          <t>https://kaspi.kz/shop/c/trainers%20for%20kids/</t>
        </is>
      </c>
    </row>
    <row r="1373">
      <c r="A1373" s="2" t="n">
        <v>1372</v>
      </c>
      <c r="B1373" s="2" t="inlineStr">
        <is>
          <t>Аксессуары для автоэлектроники</t>
        </is>
      </c>
      <c r="C1373" s="2" t="inlineStr">
        <is>
          <t>Автотовары</t>
        </is>
      </c>
      <c r="D1373" s="2" t="inlineStr">
        <is>
          <t>Автотовары → Автоэлектроника → Аксессуары для автоэлектроники</t>
        </is>
      </c>
      <c r="E1373" s="3" t="n">
        <v>1128045</v>
      </c>
      <c r="F1373" s="3" t="n">
        <v>157</v>
      </c>
      <c r="G1373" s="3">
        <f>IFERROR(E1373/F1373,0)</f>
        <v/>
      </c>
      <c r="H1373" s="3" t="n">
        <v>25</v>
      </c>
      <c r="I1373" s="2" t="n">
        <v>11</v>
      </c>
      <c r="J1373" s="3">
        <f>IFERROR(E1373/H1373,0)</f>
        <v/>
      </c>
      <c r="K1373" s="10">
        <f>E1373/'По разделам'!$B$21</f>
        <v/>
      </c>
      <c r="L1373" s="4">
        <f>L1372+K1373</f>
        <v/>
      </c>
      <c r="M1373" s="2" t="inlineStr">
        <is>
          <t>06943</t>
        </is>
      </c>
      <c r="N1373" s="2" t="inlineStr">
        <is>
          <t>https://app.redstat.kz/niche/06943?event_date=2026-08-01</t>
        </is>
      </c>
      <c r="O1373" s="2" t="inlineStr">
        <is>
          <t>https://kaspi.kz/shop/c/auto%20electronics%20accessories/</t>
        </is>
      </c>
    </row>
    <row r="1374">
      <c r="A1374" s="2" t="n">
        <v>1373</v>
      </c>
      <c r="B1374" s="2" t="inlineStr">
        <is>
          <t>Одежда для животных</t>
        </is>
      </c>
      <c r="C1374" s="2" t="inlineStr">
        <is>
          <t>Товары для животных</t>
        </is>
      </c>
      <c r="D1374" s="2" t="inlineStr">
        <is>
          <t>Товары для животных → Аксессуары для животных → Одежда для животных</t>
        </is>
      </c>
      <c r="E1374" s="3" t="n">
        <v>1124322</v>
      </c>
      <c r="F1374" s="3" t="n">
        <v>256</v>
      </c>
      <c r="G1374" s="3">
        <f>IFERROR(E1374/F1374,0)</f>
        <v/>
      </c>
      <c r="H1374" s="3" t="n">
        <v>167</v>
      </c>
      <c r="I1374" s="2" t="n">
        <v>23</v>
      </c>
      <c r="J1374" s="3">
        <f>IFERROR(E1374/H1374,0)</f>
        <v/>
      </c>
      <c r="K1374" s="10">
        <f>E1374/'По разделам'!$B$21</f>
        <v/>
      </c>
      <c r="L1374" s="4">
        <f>L1373+K1374</f>
        <v/>
      </c>
      <c r="M1374" s="2" t="inlineStr">
        <is>
          <t>04811</t>
        </is>
      </c>
      <c r="N1374" s="2" t="inlineStr">
        <is>
          <t>https://app.redstat.kz/niche/04811?event_date=2026-08-01</t>
        </is>
      </c>
      <c r="O1374" s="2" t="inlineStr">
        <is>
          <t>https://kaspi.kz/shop/c/clothes%20for%20animals/</t>
        </is>
      </c>
    </row>
    <row r="1375">
      <c r="A1375" s="2" t="n">
        <v>1374</v>
      </c>
      <c r="B1375" s="2" t="inlineStr">
        <is>
          <t>Шлепанцы для малышей</t>
        </is>
      </c>
      <c r="C1375" s="2" t="inlineStr">
        <is>
          <t>Обувь</t>
        </is>
      </c>
      <c r="D1375" s="2" t="inlineStr">
        <is>
          <t>Обувь → Обувь для малышей → Шлепанцы для малышей</t>
        </is>
      </c>
      <c r="E1375" s="3" t="n">
        <v>1116745</v>
      </c>
      <c r="F1375" s="3" t="n">
        <v>350</v>
      </c>
      <c r="G1375" s="3">
        <f>IFERROR(E1375/F1375,0)</f>
        <v/>
      </c>
      <c r="H1375" s="3" t="n">
        <v>100</v>
      </c>
      <c r="I1375" s="2" t="n">
        <v>11</v>
      </c>
      <c r="J1375" s="3">
        <f>IFERROR(E1375/H1375,0)</f>
        <v/>
      </c>
      <c r="K1375" s="10">
        <f>E1375/'По разделам'!$B$21</f>
        <v/>
      </c>
      <c r="L1375" s="4">
        <f>L1374+K1375</f>
        <v/>
      </c>
      <c r="M1375" s="2" t="inlineStr">
        <is>
          <t>07247</t>
        </is>
      </c>
      <c r="N1375" s="2" t="inlineStr">
        <is>
          <t>https://app.redstat.kz/niche/07247?event_date=2026-08-01</t>
        </is>
      </c>
      <c r="O1375" s="2" t="inlineStr">
        <is>
          <t>https://kaspi.kz/shop/c/flip%20flops%20for%20babies/</t>
        </is>
      </c>
    </row>
    <row r="1376">
      <c r="A1376" s="2" t="n">
        <v>1375</v>
      </c>
      <c r="B1376" s="2" t="inlineStr">
        <is>
          <t>Бытовая техника для автомобиля</t>
        </is>
      </c>
      <c r="C1376" s="2" t="inlineStr">
        <is>
          <t>Автотовары</t>
        </is>
      </c>
      <c r="D1376" s="2" t="inlineStr">
        <is>
          <t>Автотовары → Автомобильное оборудование → Бытовая техника для автомобиля</t>
        </is>
      </c>
      <c r="E1376" s="3" t="n">
        <v>1112109</v>
      </c>
      <c r="F1376" s="3" t="n">
        <v>62</v>
      </c>
      <c r="G1376" s="3">
        <f>IFERROR(E1376/F1376,0)</f>
        <v/>
      </c>
      <c r="H1376" s="3" t="n">
        <v>15</v>
      </c>
      <c r="I1376" s="2" t="n">
        <v>5</v>
      </c>
      <c r="J1376" s="3">
        <f>IFERROR(E1376/H1376,0)</f>
        <v/>
      </c>
      <c r="K1376" s="10">
        <f>E1376/'По разделам'!$B$21</f>
        <v/>
      </c>
      <c r="L1376" s="4">
        <f>L1375+K1376</f>
        <v/>
      </c>
      <c r="M1376" s="2" t="inlineStr">
        <is>
          <t>07071</t>
        </is>
      </c>
      <c r="N1376" s="2" t="inlineStr">
        <is>
          <t>https://app.redstat.kz/niche/07071?event_date=2026-08-01</t>
        </is>
      </c>
      <c r="O1376" s="2" t="inlineStr">
        <is>
          <t>https://kaspi.kz/shop/c/household%20appliances%20for%20the%20car/</t>
        </is>
      </c>
    </row>
    <row r="1377">
      <c r="A1377" s="2" t="n">
        <v>1376</v>
      </c>
      <c r="B1377" s="2" t="inlineStr">
        <is>
          <t>Буи для плавания</t>
        </is>
      </c>
      <c r="C1377" s="2" t="inlineStr">
        <is>
          <t>Спорт, туризм</t>
        </is>
      </c>
      <c r="D1377" s="2" t="inlineStr">
        <is>
          <t>Спорт, туризм → Водный спорт → Буи для плавания</t>
        </is>
      </c>
      <c r="E1377" s="3" t="n">
        <v>1111671</v>
      </c>
      <c r="F1377" s="3" t="n">
        <v>124</v>
      </c>
      <c r="G1377" s="3">
        <f>IFERROR(E1377/F1377,0)</f>
        <v/>
      </c>
      <c r="H1377" s="3" t="n">
        <v>20</v>
      </c>
      <c r="I1377" s="2" t="n">
        <v>5</v>
      </c>
      <c r="J1377" s="3">
        <f>IFERROR(E1377/H1377,0)</f>
        <v/>
      </c>
      <c r="K1377" s="10">
        <f>E1377/'По разделам'!$B$21</f>
        <v/>
      </c>
      <c r="L1377" s="4">
        <f>L1376+K1377</f>
        <v/>
      </c>
      <c r="M1377" s="2" t="inlineStr">
        <is>
          <t>06262</t>
        </is>
      </c>
      <c r="N1377" s="2" t="inlineStr">
        <is>
          <t>https://app.redstat.kz/niche/06262?event_date=2026-08-01</t>
        </is>
      </c>
      <c r="O1377" s="2" t="inlineStr">
        <is>
          <t>https://kaspi.kz/shop/c/buoys%20for%20swimming/</t>
        </is>
      </c>
    </row>
    <row r="1378">
      <c r="A1378" s="2" t="n">
        <v>1377</v>
      </c>
      <c r="B1378" s="2" t="inlineStr">
        <is>
          <t>Компьютерные технологии</t>
        </is>
      </c>
      <c r="C1378" s="2" t="inlineStr">
        <is>
          <t>Досуг, книги</t>
        </is>
      </c>
      <c r="D1378" s="2" t="inlineStr">
        <is>
          <t>Досуг, книги → Книги → Компьютерные технологии</t>
        </is>
      </c>
      <c r="E1378" s="3" t="n">
        <v>1110058</v>
      </c>
      <c r="F1378" s="3" t="n">
        <v>106</v>
      </c>
      <c r="G1378" s="3">
        <f>IFERROR(E1378/F1378,0)</f>
        <v/>
      </c>
      <c r="H1378" s="3" t="n">
        <v>70</v>
      </c>
      <c r="I1378" s="2" t="n">
        <v>13</v>
      </c>
      <c r="J1378" s="3">
        <f>IFERROR(E1378/H1378,0)</f>
        <v/>
      </c>
      <c r="K1378" s="10">
        <f>E1378/'По разделам'!$B$21</f>
        <v/>
      </c>
      <c r="L1378" s="4">
        <f>L1377+K1378</f>
        <v/>
      </c>
      <c r="M1378" s="2" t="inlineStr">
        <is>
          <t>00713</t>
        </is>
      </c>
      <c r="N1378" s="2" t="inlineStr">
        <is>
          <t>https://app.redstat.kz/niche/00713?event_date=2026-08-01</t>
        </is>
      </c>
      <c r="O1378" s="2" t="inlineStr">
        <is>
          <t>https://kaspi.kz/shop/c/computer%20and%20tech%20books/</t>
        </is>
      </c>
    </row>
    <row r="1379">
      <c r="A1379" s="2" t="n">
        <v>1378</v>
      </c>
      <c r="B1379" s="2" t="inlineStr">
        <is>
          <t>Наушники для стрельбы</t>
        </is>
      </c>
      <c r="C1379" s="2" t="inlineStr">
        <is>
          <t>Спорт, туризм</t>
        </is>
      </c>
      <c r="D1379" s="2" t="inlineStr">
        <is>
          <t>Спорт, туризм → Товары для охоты и стрельбы → Наушники для стрельбы</t>
        </is>
      </c>
      <c r="E1379" s="3" t="n">
        <v>1104801</v>
      </c>
      <c r="F1379" s="3" t="n">
        <v>86</v>
      </c>
      <c r="G1379" s="3">
        <f>IFERROR(E1379/F1379,0)</f>
        <v/>
      </c>
      <c r="H1379" s="3" t="n">
        <v>22</v>
      </c>
      <c r="I1379" s="2" t="n">
        <v>6</v>
      </c>
      <c r="J1379" s="3">
        <f>IFERROR(E1379/H1379,0)</f>
        <v/>
      </c>
      <c r="K1379" s="10">
        <f>E1379/'По разделам'!$B$21</f>
        <v/>
      </c>
      <c r="L1379" s="4">
        <f>L1378+K1379</f>
        <v/>
      </c>
      <c r="M1379" s="2" t="inlineStr">
        <is>
          <t>05795</t>
        </is>
      </c>
      <c r="N1379" s="2" t="inlineStr">
        <is>
          <t>https://app.redstat.kz/niche/05795?event_date=2026-08-01</t>
        </is>
      </c>
      <c r="O1379" s="2" t="inlineStr">
        <is>
          <t>https://kaspi.kz/shop/c/shooting%20headphones/</t>
        </is>
      </c>
    </row>
    <row r="1380">
      <c r="A1380" s="2" t="n">
        <v>1379</v>
      </c>
      <c r="B1380" s="2" t="inlineStr">
        <is>
          <t>Гладильные прессы</t>
        </is>
      </c>
      <c r="C1380" s="2" t="inlineStr">
        <is>
          <t>Бытовая техника</t>
        </is>
      </c>
      <c r="D1380" s="2" t="inlineStr">
        <is>
          <t>Бытовая техника → Малая техника для дома → Гладильные прессы</t>
        </is>
      </c>
      <c r="E1380" s="3" t="n">
        <v>1097632</v>
      </c>
      <c r="F1380" s="3" t="n">
        <v>4</v>
      </c>
      <c r="G1380" s="3">
        <f>IFERROR(E1380/F1380,0)</f>
        <v/>
      </c>
      <c r="H1380" s="3" t="n">
        <v>3</v>
      </c>
      <c r="I1380" s="2" t="n">
        <v>2</v>
      </c>
      <c r="J1380" s="3">
        <f>IFERROR(E1380/H1380,0)</f>
        <v/>
      </c>
      <c r="K1380" s="10">
        <f>E1380/'По разделам'!$B$21</f>
        <v/>
      </c>
      <c r="L1380" s="4">
        <f>L1379+K1380</f>
        <v/>
      </c>
      <c r="M1380" s="2" t="inlineStr">
        <is>
          <t>02583</t>
        </is>
      </c>
      <c r="N1380" s="2" t="inlineStr">
        <is>
          <t>https://app.redstat.kz/niche/02583?event_date=2026-08-01</t>
        </is>
      </c>
      <c r="O1380" s="2" t="inlineStr">
        <is>
          <t>https://kaspi.kz/shop/c/ironing%20presses/</t>
        </is>
      </c>
    </row>
    <row r="1381">
      <c r="A1381" s="2" t="n">
        <v>1380</v>
      </c>
      <c r="B1381" s="2" t="inlineStr">
        <is>
          <t>Инструменты для ремонта ГРМ</t>
        </is>
      </c>
      <c r="C1381" s="2" t="inlineStr">
        <is>
          <t>Автотовары</t>
        </is>
      </c>
      <c r="D1381" s="2" t="inlineStr">
        <is>
          <t>Автотовары → Автоинструменты → Инструменты для ремонта ГРМ</t>
        </is>
      </c>
      <c r="E1381" s="3" t="n">
        <v>1094222</v>
      </c>
      <c r="F1381" s="3" t="n">
        <v>56</v>
      </c>
      <c r="G1381" s="3">
        <f>IFERROR(E1381/F1381,0)</f>
        <v/>
      </c>
      <c r="H1381" s="3" t="n">
        <v>22</v>
      </c>
      <c r="I1381" s="2" t="n">
        <v>8</v>
      </c>
      <c r="J1381" s="3">
        <f>IFERROR(E1381/H1381,0)</f>
        <v/>
      </c>
      <c r="K1381" s="10">
        <f>E1381/'По разделам'!$B$21</f>
        <v/>
      </c>
      <c r="L1381" s="4">
        <f>L1380+K1381</f>
        <v/>
      </c>
      <c r="M1381" s="2" t="inlineStr">
        <is>
          <t>07028</t>
        </is>
      </c>
      <c r="N1381" s="2" t="inlineStr">
        <is>
          <t>https://app.redstat.kz/niche/07028?event_date=2026-08-01</t>
        </is>
      </c>
      <c r="O1381" s="2" t="inlineStr">
        <is>
          <t>https://kaspi.kz/shop/c/timing%20repair%20tools/</t>
        </is>
      </c>
    </row>
    <row r="1382">
      <c r="A1382" s="2" t="n">
        <v>1381</v>
      </c>
      <c r="B1382" s="2" t="inlineStr">
        <is>
          <t>Стерилизаторы для зубных щеток</t>
        </is>
      </c>
      <c r="C1382" s="2" t="inlineStr">
        <is>
          <t>Красота и здоровье</t>
        </is>
      </c>
      <c r="D1382" s="2" t="inlineStr">
        <is>
          <t>Красота и здоровье → Уход за полостью рта → Стерилизаторы для зубных щеток</t>
        </is>
      </c>
      <c r="E1382" s="3" t="n">
        <v>1092968</v>
      </c>
      <c r="F1382" s="3" t="n">
        <v>65</v>
      </c>
      <c r="G1382" s="3">
        <f>IFERROR(E1382/F1382,0)</f>
        <v/>
      </c>
      <c r="H1382" s="3" t="n">
        <v>12</v>
      </c>
      <c r="I1382" s="2" t="n">
        <v>3</v>
      </c>
      <c r="J1382" s="3">
        <f>IFERROR(E1382/H1382,0)</f>
        <v/>
      </c>
      <c r="K1382" s="10">
        <f>E1382/'По разделам'!$B$21</f>
        <v/>
      </c>
      <c r="L1382" s="4">
        <f>L1381+K1382</f>
        <v/>
      </c>
      <c r="M1382" s="2" t="inlineStr">
        <is>
          <t>05036</t>
        </is>
      </c>
      <c r="N1382" s="2" t="inlineStr">
        <is>
          <t>https://app.redstat.kz/niche/05036?event_date=2026-08-01</t>
        </is>
      </c>
      <c r="O1382" s="2" t="inlineStr">
        <is>
          <t>https://kaspi.kz/shop/c/toothbrush%20sterilizer/</t>
        </is>
      </c>
    </row>
    <row r="1383">
      <c r="A1383" s="2" t="n">
        <v>1382</v>
      </c>
      <c r="B1383" s="2" t="inlineStr">
        <is>
          <t>Инвентарь для аквааэробики</t>
        </is>
      </c>
      <c r="C1383" s="2" t="inlineStr">
        <is>
          <t>Спорт, туризм</t>
        </is>
      </c>
      <c r="D1383" s="2" t="inlineStr">
        <is>
          <t>Спорт, туризм → Водный спорт → Инвентарь для аквааэробики</t>
        </is>
      </c>
      <c r="E1383" s="3" t="n">
        <v>1091015</v>
      </c>
      <c r="F1383" s="3" t="n">
        <v>251</v>
      </c>
      <c r="G1383" s="3">
        <f>IFERROR(E1383/F1383,0)</f>
        <v/>
      </c>
      <c r="H1383" s="3" t="n">
        <v>49</v>
      </c>
      <c r="I1383" s="2" t="n">
        <v>13</v>
      </c>
      <c r="J1383" s="3">
        <f>IFERROR(E1383/H1383,0)</f>
        <v/>
      </c>
      <c r="K1383" s="10">
        <f>E1383/'По разделам'!$B$21</f>
        <v/>
      </c>
      <c r="L1383" s="4">
        <f>L1382+K1383</f>
        <v/>
      </c>
      <c r="M1383" s="2" t="inlineStr">
        <is>
          <t>06799</t>
        </is>
      </c>
      <c r="N1383" s="2" t="inlineStr">
        <is>
          <t>https://app.redstat.kz/niche/06799?event_date=2026-08-01</t>
        </is>
      </c>
      <c r="O1383" s="2" t="inlineStr">
        <is>
          <t>https://kaspi.kz/shop/c/equipment%20for%20water%20aerobics/</t>
        </is>
      </c>
    </row>
    <row r="1384">
      <c r="A1384" s="2" t="n">
        <v>1383</v>
      </c>
      <c r="B1384" s="2" t="inlineStr">
        <is>
          <t>Оборудование для видеомонтажа и цветокоррекции</t>
        </is>
      </c>
      <c r="C1384" s="2" t="inlineStr">
        <is>
          <t>ТВ, Аудио, Видео</t>
        </is>
      </c>
      <c r="D1384" s="2" t="inlineStr">
        <is>
          <t>ТВ, Аудио, Видео → Видеотехника → Оборудование для видеомонтажа и цветокоррекции</t>
        </is>
      </c>
      <c r="E1384" s="3" t="n">
        <v>1090931</v>
      </c>
      <c r="F1384" s="3" t="n">
        <v>7</v>
      </c>
      <c r="G1384" s="3">
        <f>IFERROR(E1384/F1384,0)</f>
        <v/>
      </c>
      <c r="H1384" s="3" t="n">
        <v>5</v>
      </c>
      <c r="I1384" s="2" t="n">
        <v>3</v>
      </c>
      <c r="J1384" s="3">
        <f>IFERROR(E1384/H1384,0)</f>
        <v/>
      </c>
      <c r="K1384" s="10">
        <f>E1384/'По разделам'!$B$21</f>
        <v/>
      </c>
      <c r="L1384" s="4">
        <f>L1383+K1384</f>
        <v/>
      </c>
      <c r="M1384" s="2" t="inlineStr">
        <is>
          <t>06827</t>
        </is>
      </c>
      <c r="N1384" s="2" t="inlineStr">
        <is>
          <t>https://app.redstat.kz/niche/06827?event_date=2026-08-01</t>
        </is>
      </c>
      <c r="O1384" s="2" t="inlineStr">
        <is>
          <t>https://kaspi.kz/shop/c/equipment%20for%20video%20editing%20and%20color%20correction/</t>
        </is>
      </c>
    </row>
    <row r="1385">
      <c r="A1385" s="2" t="n">
        <v>1384</v>
      </c>
      <c r="B1385" s="2" t="inlineStr">
        <is>
          <t>Аттракционы для взрослых</t>
        </is>
      </c>
      <c r="C1385" s="2" t="inlineStr">
        <is>
          <t>Досуг, книги</t>
        </is>
      </c>
      <c r="D1385" s="2" t="inlineStr">
        <is>
          <t>Досуг, книги → Аттракционы для помещений → Аттракционы для взрослых</t>
        </is>
      </c>
      <c r="E1385" s="3" t="n">
        <v>1090463</v>
      </c>
      <c r="F1385" s="3" t="n">
        <v>2</v>
      </c>
      <c r="G1385" s="3">
        <f>IFERROR(E1385/F1385,0)</f>
        <v/>
      </c>
      <c r="H1385" s="3" t="n">
        <v>2</v>
      </c>
      <c r="I1385" s="2" t="n">
        <v>0</v>
      </c>
      <c r="J1385" s="3">
        <f>IFERROR(E1385/H1385,0)</f>
        <v/>
      </c>
      <c r="K1385" s="10">
        <f>E1385/'По разделам'!$B$21</f>
        <v/>
      </c>
      <c r="L1385" s="4">
        <f>L1384+K1385</f>
        <v/>
      </c>
      <c r="M1385" s="2" t="inlineStr">
        <is>
          <t>06556</t>
        </is>
      </c>
      <c r="N1385" s="2" t="inlineStr">
        <is>
          <t>https://app.redstat.kz/niche/06556?event_date=2026-08-01</t>
        </is>
      </c>
      <c r="O1385" s="2" t="inlineStr">
        <is>
          <t>https://kaspi.kz/shop/c/attractions%20for%20adults/</t>
        </is>
      </c>
    </row>
    <row r="1386">
      <c r="A1386" s="2" t="n">
        <v>1385</v>
      </c>
      <c r="B1386" s="2" t="inlineStr">
        <is>
          <t>Домашние кинотеатры</t>
        </is>
      </c>
      <c r="C1386" s="2" t="inlineStr">
        <is>
          <t>ТВ, Аудио, Видео</t>
        </is>
      </c>
      <c r="D1386" s="2" t="inlineStr">
        <is>
          <t>ТВ, Аудио, Видео → Видеотехника → Домашние кинотеатры</t>
        </is>
      </c>
      <c r="E1386" s="3" t="n">
        <v>1089785</v>
      </c>
      <c r="F1386" s="3" t="n">
        <v>27</v>
      </c>
      <c r="G1386" s="3">
        <f>IFERROR(E1386/F1386,0)</f>
        <v/>
      </c>
      <c r="H1386" s="3" t="n">
        <v>4</v>
      </c>
      <c r="I1386" s="2" t="n">
        <v>2</v>
      </c>
      <c r="J1386" s="3">
        <f>IFERROR(E1386/H1386,0)</f>
        <v/>
      </c>
      <c r="K1386" s="10">
        <f>E1386/'По разделам'!$B$21</f>
        <v/>
      </c>
      <c r="L1386" s="4">
        <f>L1385+K1386</f>
        <v/>
      </c>
      <c r="M1386" s="2" t="inlineStr">
        <is>
          <t>00017</t>
        </is>
      </c>
      <c r="N1386" s="2" t="inlineStr">
        <is>
          <t>https://app.redstat.kz/niche/00017?event_date=2026-08-01</t>
        </is>
      </c>
      <c r="O1386" s="2" t="inlineStr">
        <is>
          <t>https://kaspi.kz/shop/c/home%20theatres/</t>
        </is>
      </c>
    </row>
    <row r="1387">
      <c r="A1387" s="2" t="n">
        <v>1386</v>
      </c>
      <c r="B1387" s="2" t="inlineStr">
        <is>
          <t>Стойки для покраски деталей</t>
        </is>
      </c>
      <c r="C1387" s="2" t="inlineStr">
        <is>
          <t>Автотовары</t>
        </is>
      </c>
      <c r="D1387" s="2" t="inlineStr">
        <is>
          <t>Автотовары → Автосервисное оборудование → Стойки для покраски деталей</t>
        </is>
      </c>
      <c r="E1387" s="3" t="n">
        <v>1087850</v>
      </c>
      <c r="F1387" s="3" t="n">
        <v>27</v>
      </c>
      <c r="G1387" s="3">
        <f>IFERROR(E1387/F1387,0)</f>
        <v/>
      </c>
      <c r="H1387" s="3" t="n">
        <v>11</v>
      </c>
      <c r="I1387" s="2" t="n">
        <v>3</v>
      </c>
      <c r="J1387" s="3">
        <f>IFERROR(E1387/H1387,0)</f>
        <v/>
      </c>
      <c r="K1387" s="10">
        <f>E1387/'По разделам'!$B$21</f>
        <v/>
      </c>
      <c r="L1387" s="4">
        <f>L1386+K1387</f>
        <v/>
      </c>
      <c r="M1387" s="2" t="inlineStr">
        <is>
          <t>05574</t>
        </is>
      </c>
      <c r="N1387" s="2" t="inlineStr">
        <is>
          <t>https://app.redstat.kz/niche/05574?event_date=2026-08-01</t>
        </is>
      </c>
      <c r="O1387" s="2" t="inlineStr">
        <is>
          <t>https://kaspi.kz/shop/c/racks%20for%20painting%20parts/</t>
        </is>
      </c>
    </row>
    <row r="1388">
      <c r="A1388" s="2" t="n">
        <v>1387</v>
      </c>
      <c r="B1388" s="2" t="inlineStr">
        <is>
          <t>Такелаж</t>
        </is>
      </c>
      <c r="C1388" s="2" t="inlineStr">
        <is>
          <t>Строительство, ремонт</t>
        </is>
      </c>
      <c r="D1388" s="2" t="inlineStr">
        <is>
          <t>Строительство, ремонт → Строительный крепеж → Такелаж</t>
        </is>
      </c>
      <c r="E1388" s="3" t="n">
        <v>1087009</v>
      </c>
      <c r="F1388" s="3" t="n">
        <v>228</v>
      </c>
      <c r="G1388" s="3">
        <f>IFERROR(E1388/F1388,0)</f>
        <v/>
      </c>
      <c r="H1388" s="3" t="n">
        <v>65</v>
      </c>
      <c r="I1388" s="2" t="n">
        <v>10</v>
      </c>
      <c r="J1388" s="3">
        <f>IFERROR(E1388/H1388,0)</f>
        <v/>
      </c>
      <c r="K1388" s="10">
        <f>E1388/'По разделам'!$B$21</f>
        <v/>
      </c>
      <c r="L1388" s="4">
        <f>L1387+K1388</f>
        <v/>
      </c>
      <c r="M1388" s="2" t="inlineStr">
        <is>
          <t>04574</t>
        </is>
      </c>
      <c r="N1388" s="2" t="inlineStr">
        <is>
          <t>https://app.redstat.kz/niche/04574?event_date=2026-08-01</t>
        </is>
      </c>
      <c r="O1388" s="2" t="inlineStr">
        <is>
          <t>https://kaspi.kz/shop/c/rigging%20items/</t>
        </is>
      </c>
    </row>
    <row r="1389">
      <c r="A1389" s="2" t="n">
        <v>1388</v>
      </c>
      <c r="B1389" s="2" t="inlineStr">
        <is>
          <t>Наборы чертежные</t>
        </is>
      </c>
      <c r="C1389" s="2" t="inlineStr">
        <is>
          <t>Канцелярские товары</t>
        </is>
      </c>
      <c r="D1389" s="2" t="inlineStr">
        <is>
          <t>Канцелярские товары → Чертежные принадлежности → Наборы чертежные</t>
        </is>
      </c>
      <c r="E1389" s="3" t="n">
        <v>1079858</v>
      </c>
      <c r="F1389" s="3" t="n">
        <v>839</v>
      </c>
      <c r="G1389" s="3">
        <f>IFERROR(E1389/F1389,0)</f>
        <v/>
      </c>
      <c r="H1389" s="3" t="n">
        <v>47</v>
      </c>
      <c r="I1389" s="2" t="n">
        <v>17</v>
      </c>
      <c r="J1389" s="3">
        <f>IFERROR(E1389/H1389,0)</f>
        <v/>
      </c>
      <c r="K1389" s="10">
        <f>E1389/'По разделам'!$B$21</f>
        <v/>
      </c>
      <c r="L1389" s="4">
        <f>L1388+K1389</f>
        <v/>
      </c>
      <c r="M1389" s="2" t="inlineStr">
        <is>
          <t>04308</t>
        </is>
      </c>
      <c r="N1389" s="2" t="inlineStr">
        <is>
          <t>https://app.redstat.kz/niche/04308?event_date=2026-08-01</t>
        </is>
      </c>
      <c r="O1389" s="2" t="inlineStr">
        <is>
          <t>https://kaspi.kz/shop/c/geometry%20rulers%20set/</t>
        </is>
      </c>
    </row>
    <row r="1390">
      <c r="A1390" s="2" t="n">
        <v>1389</v>
      </c>
      <c r="B1390" s="2" t="inlineStr">
        <is>
          <t>Чехлы и сумки для художественной гимнастики</t>
        </is>
      </c>
      <c r="C1390" s="2" t="inlineStr">
        <is>
          <t>Спорт, туризм</t>
        </is>
      </c>
      <c r="D1390" s="2" t="inlineStr">
        <is>
          <t>Спорт, туризм → Художественная гимнастика и танцы → Чехлы и сумки для художественной гимнастики</t>
        </is>
      </c>
      <c r="E1390" s="3" t="n">
        <v>1075470</v>
      </c>
      <c r="F1390" s="3" t="n">
        <v>149</v>
      </c>
      <c r="G1390" s="3">
        <f>IFERROR(E1390/F1390,0)</f>
        <v/>
      </c>
      <c r="H1390" s="3" t="n">
        <v>73</v>
      </c>
      <c r="I1390" s="2" t="n">
        <v>13</v>
      </c>
      <c r="J1390" s="3">
        <f>IFERROR(E1390/H1390,0)</f>
        <v/>
      </c>
      <c r="K1390" s="10">
        <f>E1390/'По разделам'!$B$21</f>
        <v/>
      </c>
      <c r="L1390" s="4">
        <f>L1389+K1390</f>
        <v/>
      </c>
      <c r="M1390" s="2" t="inlineStr">
        <is>
          <t>05848</t>
        </is>
      </c>
      <c r="N1390" s="2" t="inlineStr">
        <is>
          <t>https://app.redstat.kz/niche/05848?event_date=2026-08-01</t>
        </is>
      </c>
      <c r="O1390" s="2" t="inlineStr">
        <is>
          <t>https://kaspi.kz/shop/c/covers%20for%20rhythmic%20gymnastics/</t>
        </is>
      </c>
    </row>
    <row r="1391">
      <c r="A1391" s="2" t="n">
        <v>1390</v>
      </c>
      <c r="B1391" s="2" t="inlineStr">
        <is>
          <t>Дартс</t>
        </is>
      </c>
      <c r="C1391" s="2" t="inlineStr">
        <is>
          <t>Спорт, туризм</t>
        </is>
      </c>
      <c r="D1391" s="2" t="inlineStr">
        <is>
          <t>Спорт, туризм → Активный вид отдыха → Дартс → Дартс</t>
        </is>
      </c>
      <c r="E1391" s="3" t="n">
        <v>1065205</v>
      </c>
      <c r="F1391" s="3" t="n">
        <v>182</v>
      </c>
      <c r="G1391" s="3">
        <f>IFERROR(E1391/F1391,0)</f>
        <v/>
      </c>
      <c r="H1391" s="3" t="n">
        <v>68</v>
      </c>
      <c r="I1391" s="2" t="n">
        <v>20</v>
      </c>
      <c r="J1391" s="3">
        <f>IFERROR(E1391/H1391,0)</f>
        <v/>
      </c>
      <c r="K1391" s="10">
        <f>E1391/'По разделам'!$B$21</f>
        <v/>
      </c>
      <c r="L1391" s="4">
        <f>L1390+K1391</f>
        <v/>
      </c>
      <c r="M1391" s="2" t="inlineStr">
        <is>
          <t>qc2c169cebd7b975</t>
        </is>
      </c>
      <c r="N1391" s="2" t="inlineStr">
        <is>
          <t>https://app.redstat.kz/niche/qc2c169cebd7b975?event_date=2026-08-01</t>
        </is>
      </c>
      <c r="O1391" s="2" t="inlineStr"/>
    </row>
    <row r="1392">
      <c r="A1392" s="2" t="n">
        <v>1391</v>
      </c>
      <c r="B1392" s="2" t="inlineStr">
        <is>
          <t>Садовые опрыскиватели</t>
        </is>
      </c>
      <c r="C1392" s="2" t="inlineStr">
        <is>
          <t>Товары для дома и дачи</t>
        </is>
      </c>
      <c r="D1392" s="2" t="inlineStr">
        <is>
          <t>Товары для дома и дачи → Дача, сад и огород → Садовые инструменты → Садовые опрыскиватели</t>
        </is>
      </c>
      <c r="E1392" s="3" t="n">
        <v>1063906</v>
      </c>
      <c r="F1392" s="3" t="n">
        <v>207</v>
      </c>
      <c r="G1392" s="3">
        <f>IFERROR(E1392/F1392,0)</f>
        <v/>
      </c>
      <c r="H1392" s="3" t="n">
        <v>121</v>
      </c>
      <c r="I1392" s="2" t="n">
        <v>53</v>
      </c>
      <c r="J1392" s="3">
        <f>IFERROR(E1392/H1392,0)</f>
        <v/>
      </c>
      <c r="K1392" s="10">
        <f>E1392/'По разделам'!$B$21</f>
        <v/>
      </c>
      <c r="L1392" s="4">
        <f>L1391+K1392</f>
        <v/>
      </c>
      <c r="M1392" s="2" t="inlineStr">
        <is>
          <t>03368</t>
        </is>
      </c>
      <c r="N1392" s="2" t="inlineStr">
        <is>
          <t>https://app.redstat.kz/niche/03368?event_date=2026-08-01</t>
        </is>
      </c>
      <c r="O1392" s="2" t="inlineStr">
        <is>
          <t>https://kaspi.kz/shop/c/garden%20sprayers/</t>
        </is>
      </c>
    </row>
    <row r="1393">
      <c r="A1393" s="2" t="n">
        <v>1392</v>
      </c>
      <c r="B1393" s="2" t="inlineStr">
        <is>
          <t>Жерлицы</t>
        </is>
      </c>
      <c r="C1393" s="2" t="inlineStr">
        <is>
          <t>Спорт, туризм</t>
        </is>
      </c>
      <c r="D1393" s="2" t="inlineStr">
        <is>
          <t>Спорт, туризм → Товары для рыбалки → Жерлицы</t>
        </is>
      </c>
      <c r="E1393" s="3" t="n">
        <v>1049054</v>
      </c>
      <c r="F1393" s="3" t="n">
        <v>109</v>
      </c>
      <c r="G1393" s="3">
        <f>IFERROR(E1393/F1393,0)</f>
        <v/>
      </c>
      <c r="H1393" s="3" t="n">
        <v>52</v>
      </c>
      <c r="I1393" s="2" t="n">
        <v>16</v>
      </c>
      <c r="J1393" s="3">
        <f>IFERROR(E1393/H1393,0)</f>
        <v/>
      </c>
      <c r="K1393" s="10">
        <f>E1393/'По разделам'!$B$21</f>
        <v/>
      </c>
      <c r="L1393" s="4">
        <f>L1392+K1393</f>
        <v/>
      </c>
      <c r="M1393" s="2" t="inlineStr">
        <is>
          <t>03478</t>
        </is>
      </c>
      <c r="N1393" s="2" t="inlineStr">
        <is>
          <t>https://app.redstat.kz/niche/03478?event_date=2026-08-01</t>
        </is>
      </c>
      <c r="O1393" s="2" t="inlineStr">
        <is>
          <t>https://kaspi.kz/shop/c/ice%20fishing%20tip-ups/</t>
        </is>
      </c>
    </row>
    <row r="1394">
      <c r="A1394" s="2" t="n">
        <v>1393</v>
      </c>
      <c r="B1394" s="2" t="inlineStr">
        <is>
          <t>Мотоперчатки</t>
        </is>
      </c>
      <c r="C1394" s="2" t="inlineStr">
        <is>
          <t>Автотовары</t>
        </is>
      </c>
      <c r="D1394" s="2" t="inlineStr">
        <is>
          <t>Автотовары → Мототехника → Мотоэкипировка → Мотоперчатки</t>
        </is>
      </c>
      <c r="E1394" s="3" t="n">
        <v>1046936</v>
      </c>
      <c r="F1394" s="3" t="n">
        <v>38</v>
      </c>
      <c r="G1394" s="3">
        <f>IFERROR(E1394/F1394,0)</f>
        <v/>
      </c>
      <c r="H1394" s="3" t="n">
        <v>29</v>
      </c>
      <c r="I1394" s="2" t="n">
        <v>15</v>
      </c>
      <c r="J1394" s="3">
        <f>IFERROR(E1394/H1394,0)</f>
        <v/>
      </c>
      <c r="K1394" s="10">
        <f>E1394/'По разделам'!$B$21</f>
        <v/>
      </c>
      <c r="L1394" s="4">
        <f>L1393+K1394</f>
        <v/>
      </c>
      <c r="M1394" s="2" t="inlineStr">
        <is>
          <t>01258</t>
        </is>
      </c>
      <c r="N1394" s="2" t="inlineStr">
        <is>
          <t>https://app.redstat.kz/niche/01258?event_date=2026-08-01</t>
        </is>
      </c>
      <c r="O1394" s="2" t="inlineStr">
        <is>
          <t>https://kaspi.kz/shop/c/motorcycle%20gloves/</t>
        </is>
      </c>
    </row>
    <row r="1395">
      <c r="A1395" s="2" t="n">
        <v>1394</v>
      </c>
      <c r="B1395" s="2" t="inlineStr">
        <is>
          <t>Средства опломбирования и опечатывания</t>
        </is>
      </c>
      <c r="C1395" s="2" t="inlineStr">
        <is>
          <t>Строительство, ремонт</t>
        </is>
      </c>
      <c r="D1395" s="2" t="inlineStr">
        <is>
          <t>Строительство, ремонт → Системы безопасности → Средства опломбирования и опечатывания</t>
        </is>
      </c>
      <c r="E1395" s="3" t="n">
        <v>1046073</v>
      </c>
      <c r="F1395" s="3" t="n">
        <v>167</v>
      </c>
      <c r="G1395" s="3">
        <f>IFERROR(E1395/F1395,0)</f>
        <v/>
      </c>
      <c r="H1395" s="3" t="n">
        <v>23</v>
      </c>
      <c r="I1395" s="2" t="n">
        <v>2</v>
      </c>
      <c r="J1395" s="3">
        <f>IFERROR(E1395/H1395,0)</f>
        <v/>
      </c>
      <c r="K1395" s="10">
        <f>E1395/'По разделам'!$B$21</f>
        <v/>
      </c>
      <c r="L1395" s="4">
        <f>L1394+K1395</f>
        <v/>
      </c>
      <c r="M1395" s="2" t="inlineStr">
        <is>
          <t>06769</t>
        </is>
      </c>
      <c r="N1395" s="2" t="inlineStr">
        <is>
          <t>https://app.redstat.kz/niche/06769?event_date=2026-08-01</t>
        </is>
      </c>
      <c r="O1395" s="2" t="inlineStr">
        <is>
          <t>https://kaspi.kz/shop/c/control%20seals/</t>
        </is>
      </c>
    </row>
    <row r="1396">
      <c r="A1396" s="2" t="n">
        <v>1395</v>
      </c>
      <c r="B1396" s="2" t="inlineStr">
        <is>
          <t>Топливораздаточное оборудование</t>
        </is>
      </c>
      <c r="C1396" s="2" t="inlineStr">
        <is>
          <t>Автотовары</t>
        </is>
      </c>
      <c r="D1396" s="2" t="inlineStr">
        <is>
          <t>Автотовары → Автосервисное оборудование → Топливораздаточное оборудование</t>
        </is>
      </c>
      <c r="E1396" s="3" t="n">
        <v>1039795</v>
      </c>
      <c r="F1396" s="3" t="n">
        <v>28</v>
      </c>
      <c r="G1396" s="3">
        <f>IFERROR(E1396/F1396,0)</f>
        <v/>
      </c>
      <c r="H1396" s="3" t="n">
        <v>16</v>
      </c>
      <c r="I1396" s="2" t="n">
        <v>4</v>
      </c>
      <c r="J1396" s="3">
        <f>IFERROR(E1396/H1396,0)</f>
        <v/>
      </c>
      <c r="K1396" s="10">
        <f>E1396/'По разделам'!$B$21</f>
        <v/>
      </c>
      <c r="L1396" s="4">
        <f>L1395+K1396</f>
        <v/>
      </c>
      <c r="M1396" s="2" t="inlineStr">
        <is>
          <t>06772</t>
        </is>
      </c>
      <c r="N1396" s="2" t="inlineStr">
        <is>
          <t>https://app.redstat.kz/niche/06772?event_date=2026-08-01</t>
        </is>
      </c>
      <c r="O1396" s="2" t="inlineStr">
        <is>
          <t>https://kaspi.kz/shop/c/fuel%20dispenser%20equipment/</t>
        </is>
      </c>
    </row>
    <row r="1397">
      <c r="A1397" s="2" t="n">
        <v>1396</v>
      </c>
      <c r="B1397" s="2" t="inlineStr">
        <is>
          <t>Батуты для фитнеса</t>
        </is>
      </c>
      <c r="C1397" s="2" t="inlineStr">
        <is>
          <t>Спорт, туризм</t>
        </is>
      </c>
      <c r="D1397" s="2" t="inlineStr">
        <is>
          <t>Спорт, туризм → Товары для фитнеса → Батуты для фитнеса</t>
        </is>
      </c>
      <c r="E1397" s="3" t="n">
        <v>1037990</v>
      </c>
      <c r="F1397" s="3" t="n">
        <v>46</v>
      </c>
      <c r="G1397" s="3">
        <f>IFERROR(E1397/F1397,0)</f>
        <v/>
      </c>
      <c r="H1397" s="3" t="n">
        <v>14</v>
      </c>
      <c r="I1397" s="2" t="n">
        <v>7</v>
      </c>
      <c r="J1397" s="3">
        <f>IFERROR(E1397/H1397,0)</f>
        <v/>
      </c>
      <c r="K1397" s="10">
        <f>E1397/'По разделам'!$B$21</f>
        <v/>
      </c>
      <c r="L1397" s="4">
        <f>L1396+K1397</f>
        <v/>
      </c>
      <c r="M1397" s="2" t="inlineStr">
        <is>
          <t>07405</t>
        </is>
      </c>
      <c r="N1397" s="2" t="inlineStr">
        <is>
          <t>https://app.redstat.kz/niche/07405?event_date=2026-08-01</t>
        </is>
      </c>
      <c r="O1397" s="2" t="inlineStr">
        <is>
          <t>https://kaspi.kz/shop/c/trampolines%20for%20fitness/</t>
        </is>
      </c>
    </row>
    <row r="1398">
      <c r="A1398" s="2" t="n">
        <v>1397</v>
      </c>
      <c r="B1398" s="2" t="inlineStr">
        <is>
          <t>Чумбуры для лошадей</t>
        </is>
      </c>
      <c r="C1398" s="2" t="inlineStr">
        <is>
          <t>Спорт, туризм</t>
        </is>
      </c>
      <c r="D1398" s="2" t="inlineStr">
        <is>
          <t>Спорт, туризм → Конный спорт → Чумбуры для лошадей</t>
        </is>
      </c>
      <c r="E1398" s="3" t="n">
        <v>1033057</v>
      </c>
      <c r="F1398" s="3" t="n">
        <v>83</v>
      </c>
      <c r="G1398" s="3">
        <f>IFERROR(E1398/F1398,0)</f>
        <v/>
      </c>
      <c r="H1398" s="3" t="n">
        <v>34</v>
      </c>
      <c r="I1398" s="2" t="n">
        <v>2</v>
      </c>
      <c r="J1398" s="3">
        <f>IFERROR(E1398/H1398,0)</f>
        <v/>
      </c>
      <c r="K1398" s="10">
        <f>E1398/'По разделам'!$B$21</f>
        <v/>
      </c>
      <c r="L1398" s="4">
        <f>L1397+K1398</f>
        <v/>
      </c>
      <c r="M1398" s="2" t="inlineStr">
        <is>
          <t>06413</t>
        </is>
      </c>
      <c r="N1398" s="2" t="inlineStr">
        <is>
          <t>https://app.redstat.kz/niche/06413?event_date=2026-08-01</t>
        </is>
      </c>
      <c r="O1398" s="2" t="inlineStr">
        <is>
          <t>https://kaspi.kz/shop/c/clamps%20for%20horses/</t>
        </is>
      </c>
    </row>
    <row r="1399">
      <c r="A1399" s="2" t="n">
        <v>1398</v>
      </c>
      <c r="B1399" s="2" t="inlineStr">
        <is>
          <t>Съемники клипс и пистонов обшивки салона</t>
        </is>
      </c>
      <c r="C1399" s="2" t="inlineStr">
        <is>
          <t>Автотовары</t>
        </is>
      </c>
      <c r="D1399" s="2" t="inlineStr">
        <is>
          <t>Автотовары → Автоинструменты → Съемники клипс и пистонов обшивки салона</t>
        </is>
      </c>
      <c r="E1399" s="3" t="n">
        <v>1029927</v>
      </c>
      <c r="F1399" s="3" t="n">
        <v>354</v>
      </c>
      <c r="G1399" s="3">
        <f>IFERROR(E1399/F1399,0)</f>
        <v/>
      </c>
      <c r="H1399" s="3" t="n">
        <v>38</v>
      </c>
      <c r="I1399" s="2" t="n">
        <v>21</v>
      </c>
      <c r="J1399" s="3">
        <f>IFERROR(E1399/H1399,0)</f>
        <v/>
      </c>
      <c r="K1399" s="10">
        <f>E1399/'По разделам'!$B$21</f>
        <v/>
      </c>
      <c r="L1399" s="4">
        <f>L1398+K1399</f>
        <v/>
      </c>
      <c r="M1399" s="2" t="inlineStr">
        <is>
          <t>05516</t>
        </is>
      </c>
      <c r="N1399" s="2" t="inlineStr">
        <is>
          <t>https://app.redstat.kz/niche/05516?event_date=2026-08-01</t>
        </is>
      </c>
      <c r="O1399" s="2" t="inlineStr">
        <is>
          <t>https://kaspi.kz/shop/c/clip%20and%20cap%20strippers/</t>
        </is>
      </c>
    </row>
    <row r="1400">
      <c r="A1400" s="2" t="n">
        <v>1399</v>
      </c>
      <c r="B1400" s="2" t="inlineStr">
        <is>
          <t>Джинсы для мальчиков</t>
        </is>
      </c>
      <c r="C1400" s="2" t="inlineStr">
        <is>
          <t>Одежда</t>
        </is>
      </c>
      <c r="D1400" s="2" t="inlineStr">
        <is>
          <t>Одежда → Мальчикам → Джинсы для мальчиков</t>
        </is>
      </c>
      <c r="E1400" s="3" t="n">
        <v>1023034</v>
      </c>
      <c r="F1400" s="3" t="n">
        <v>192</v>
      </c>
      <c r="G1400" s="3">
        <f>IFERROR(E1400/F1400,0)</f>
        <v/>
      </c>
      <c r="H1400" s="3" t="n">
        <v>76</v>
      </c>
      <c r="I1400" s="2" t="n">
        <v>16</v>
      </c>
      <c r="J1400" s="3">
        <f>IFERROR(E1400/H1400,0)</f>
        <v/>
      </c>
      <c r="K1400" s="10">
        <f>E1400/'По разделам'!$B$21</f>
        <v/>
      </c>
      <c r="L1400" s="4">
        <f>L1399+K1400</f>
        <v/>
      </c>
      <c r="M1400" s="2" t="inlineStr">
        <is>
          <t>01518</t>
        </is>
      </c>
      <c r="N1400" s="2" t="inlineStr">
        <is>
          <t>https://app.redstat.kz/niche/01518?event_date=2026-08-01</t>
        </is>
      </c>
      <c r="O1400" s="2" t="inlineStr">
        <is>
          <t>https://kaspi.kz/shop/c/boy%20jeans/</t>
        </is>
      </c>
    </row>
    <row r="1401">
      <c r="A1401" s="2" t="n">
        <v>1400</v>
      </c>
      <c r="B1401" s="2" t="inlineStr">
        <is>
          <t>Души и душевые гарнитуры</t>
        </is>
      </c>
      <c r="C1401" s="2" t="inlineStr">
        <is>
          <t>Строительство, ремонт</t>
        </is>
      </c>
      <c r="D1401" s="2" t="inlineStr">
        <is>
          <t>Строительство, ремонт → Сантехника → Души, гарнитуры и аксессуары → Души и душевые гарнитуры</t>
        </is>
      </c>
      <c r="E1401" s="3" t="n">
        <v>1020868</v>
      </c>
      <c r="F1401" s="3" t="n">
        <v>101</v>
      </c>
      <c r="G1401" s="3">
        <f>IFERROR(E1401/F1401,0)</f>
        <v/>
      </c>
      <c r="H1401" s="3" t="n">
        <v>45</v>
      </c>
      <c r="I1401" s="2" t="n">
        <v>28</v>
      </c>
      <c r="J1401" s="3">
        <f>IFERROR(E1401/H1401,0)</f>
        <v/>
      </c>
      <c r="K1401" s="10">
        <f>E1401/'По разделам'!$B$21</f>
        <v/>
      </c>
      <c r="L1401" s="4">
        <f>L1400+K1401</f>
        <v/>
      </c>
      <c r="M1401" s="2" t="inlineStr">
        <is>
          <t>04742</t>
        </is>
      </c>
      <c r="N1401" s="2" t="inlineStr">
        <is>
          <t>https://app.redstat.kz/niche/04742?event_date=2026-08-01</t>
        </is>
      </c>
      <c r="O1401" s="2" t="inlineStr">
        <is>
          <t>https://kaspi.kz/shop/c/bathroom%20showers/</t>
        </is>
      </c>
    </row>
    <row r="1402">
      <c r="A1402" s="2" t="n">
        <v>1401</v>
      </c>
      <c r="B1402" s="2" t="inlineStr">
        <is>
          <t>Фоновые системы</t>
        </is>
      </c>
      <c r="C1402" s="2" t="inlineStr">
        <is>
          <t>ТВ, Аудио, Видео</t>
        </is>
      </c>
      <c r="D1402" s="2" t="inlineStr">
        <is>
          <t>ТВ, Аудио, Видео → Фото- и видеокамеры → Фоновые системы</t>
        </is>
      </c>
      <c r="E1402" s="3" t="n">
        <v>1017648</v>
      </c>
      <c r="F1402" s="3" t="n">
        <v>40</v>
      </c>
      <c r="G1402" s="3">
        <f>IFERROR(E1402/F1402,0)</f>
        <v/>
      </c>
      <c r="H1402" s="3" t="n">
        <v>16</v>
      </c>
      <c r="I1402" s="2" t="n">
        <v>5</v>
      </c>
      <c r="J1402" s="3">
        <f>IFERROR(E1402/H1402,0)</f>
        <v/>
      </c>
      <c r="K1402" s="10">
        <f>E1402/'По разделам'!$B$21</f>
        <v/>
      </c>
      <c r="L1402" s="4">
        <f>L1401+K1402</f>
        <v/>
      </c>
      <c r="M1402" s="2" t="inlineStr">
        <is>
          <t>05121</t>
        </is>
      </c>
      <c r="N1402" s="2" t="inlineStr">
        <is>
          <t>https://app.redstat.kz/niche/05121?event_date=2026-08-01</t>
        </is>
      </c>
      <c r="O1402" s="2" t="inlineStr">
        <is>
          <t>https://kaspi.kz/shop/c/background%20systems/</t>
        </is>
      </c>
    </row>
    <row r="1403">
      <c r="A1403" s="2" t="n">
        <v>1402</v>
      </c>
      <c r="B1403" s="2" t="inlineStr">
        <is>
          <t>Карабины для альпинизма</t>
        </is>
      </c>
      <c r="C1403" s="2" t="inlineStr">
        <is>
          <t>Спорт, туризм</t>
        </is>
      </c>
      <c r="D1403" s="2" t="inlineStr">
        <is>
          <t>Спорт, туризм → Альпинизм и скалолазание → Карабины для альпинизма</t>
        </is>
      </c>
      <c r="E1403" s="3" t="n">
        <v>1016586</v>
      </c>
      <c r="F1403" s="3" t="n">
        <v>313</v>
      </c>
      <c r="G1403" s="3">
        <f>IFERROR(E1403/F1403,0)</f>
        <v/>
      </c>
      <c r="H1403" s="3" t="n">
        <v>87</v>
      </c>
      <c r="I1403" s="2" t="n">
        <v>23</v>
      </c>
      <c r="J1403" s="3">
        <f>IFERROR(E1403/H1403,0)</f>
        <v/>
      </c>
      <c r="K1403" s="10">
        <f>E1403/'По разделам'!$B$21</f>
        <v/>
      </c>
      <c r="L1403" s="4">
        <f>L1402+K1403</f>
        <v/>
      </c>
      <c r="M1403" s="2" t="inlineStr">
        <is>
          <t>02813</t>
        </is>
      </c>
      <c r="N1403" s="2" t="inlineStr">
        <is>
          <t>https://app.redstat.kz/niche/02813?event_date=2026-08-01</t>
        </is>
      </c>
      <c r="O1403" s="2" t="inlineStr">
        <is>
          <t>https://kaspi.kz/shop/c/locking%20carabiners/</t>
        </is>
      </c>
    </row>
    <row r="1404">
      <c r="A1404" s="2" t="n">
        <v>1403</v>
      </c>
      <c r="B1404" s="2" t="inlineStr">
        <is>
          <t>Автоматика для вентиляции</t>
        </is>
      </c>
      <c r="C1404" s="2" t="inlineStr">
        <is>
          <t>Строительство, ремонт</t>
        </is>
      </c>
      <c r="D1404" s="2" t="inlineStr">
        <is>
          <t>Строительство, ремонт → Вентиляция → Автоматика для вентиляции</t>
        </is>
      </c>
      <c r="E1404" s="3" t="n">
        <v>1013468</v>
      </c>
      <c r="F1404" s="3" t="n">
        <v>26</v>
      </c>
      <c r="G1404" s="3">
        <f>IFERROR(E1404/F1404,0)</f>
        <v/>
      </c>
      <c r="H1404" s="3" t="n">
        <v>16</v>
      </c>
      <c r="I1404" s="2" t="n">
        <v>6</v>
      </c>
      <c r="J1404" s="3">
        <f>IFERROR(E1404/H1404,0)</f>
        <v/>
      </c>
      <c r="K1404" s="10">
        <f>E1404/'По разделам'!$B$21</f>
        <v/>
      </c>
      <c r="L1404" s="4">
        <f>L1403+K1404</f>
        <v/>
      </c>
      <c r="M1404" s="2" t="inlineStr">
        <is>
          <t>06241</t>
        </is>
      </c>
      <c r="N1404" s="2" t="inlineStr">
        <is>
          <t>https://app.redstat.kz/niche/06241?event_date=2026-08-01</t>
        </is>
      </c>
      <c r="O1404" s="2" t="inlineStr">
        <is>
          <t>https://kaspi.kz/shop/c/automation%20for%20ventilation/</t>
        </is>
      </c>
    </row>
    <row r="1405">
      <c r="A1405" s="2" t="n">
        <v>1404</v>
      </c>
      <c r="B1405" s="2" t="inlineStr">
        <is>
          <t>Мультиметры</t>
        </is>
      </c>
      <c r="C1405" s="2" t="inlineStr">
        <is>
          <t>Строительство, ремонт</t>
        </is>
      </c>
      <c r="D1405" s="2" t="inlineStr">
        <is>
          <t>Строительство, ремонт → Инструменты → Измерительные инструменты → Мультиметры</t>
        </is>
      </c>
      <c r="E1405" s="3" t="n">
        <v>1009229</v>
      </c>
      <c r="F1405" s="3" t="n">
        <v>211</v>
      </c>
      <c r="G1405" s="3">
        <f>IFERROR(E1405/F1405,0)</f>
        <v/>
      </c>
      <c r="H1405" s="3" t="n">
        <v>72</v>
      </c>
      <c r="I1405" s="2" t="n">
        <v>37</v>
      </c>
      <c r="J1405" s="3">
        <f>IFERROR(E1405/H1405,0)</f>
        <v/>
      </c>
      <c r="K1405" s="10">
        <f>E1405/'По разделам'!$B$21</f>
        <v/>
      </c>
      <c r="L1405" s="4">
        <f>L1404+K1405</f>
        <v/>
      </c>
      <c r="M1405" s="2" t="inlineStr">
        <is>
          <t>01268</t>
        </is>
      </c>
      <c r="N1405" s="2" t="inlineStr">
        <is>
          <t>https://app.redstat.kz/niche/01268?event_date=2026-08-01</t>
        </is>
      </c>
      <c r="O1405" s="2" t="inlineStr">
        <is>
          <t>https://kaspi.kz/shop/c/multimeters/</t>
        </is>
      </c>
    </row>
    <row r="1406">
      <c r="A1406" s="2" t="n">
        <v>1405</v>
      </c>
      <c r="B1406" s="2" t="inlineStr">
        <is>
          <t>Шлепанцы для девочек</t>
        </is>
      </c>
      <c r="C1406" s="2" t="inlineStr">
        <is>
          <t>Обувь</t>
        </is>
      </c>
      <c r="D1406" s="2" t="inlineStr">
        <is>
          <t>Обувь → Обувь для девочек → Шлепанцы для девочек</t>
        </is>
      </c>
      <c r="E1406" s="3" t="n">
        <v>986739</v>
      </c>
      <c r="F1406" s="3" t="n">
        <v>167</v>
      </c>
      <c r="G1406" s="3">
        <f>IFERROR(E1406/F1406,0)</f>
        <v/>
      </c>
      <c r="H1406" s="3" t="n">
        <v>80</v>
      </c>
      <c r="I1406" s="2" t="n">
        <v>12</v>
      </c>
      <c r="J1406" s="3">
        <f>IFERROR(E1406/H1406,0)</f>
        <v/>
      </c>
      <c r="K1406" s="10">
        <f>E1406/'По разделам'!$B$21</f>
        <v/>
      </c>
      <c r="L1406" s="4">
        <f>L1405+K1406</f>
        <v/>
      </c>
      <c r="M1406" s="2" t="inlineStr">
        <is>
          <t>01780</t>
        </is>
      </c>
      <c r="N1406" s="2" t="inlineStr">
        <is>
          <t>https://app.redstat.kz/niche/01780?event_date=2026-08-01</t>
        </is>
      </c>
      <c r="O1406" s="2" t="inlineStr">
        <is>
          <t>https://kaspi.kz/shop/c/girl%20flip%20flops/</t>
        </is>
      </c>
    </row>
    <row r="1407">
      <c r="A1407" s="2" t="n">
        <v>1406</v>
      </c>
      <c r="B1407" s="2" t="inlineStr">
        <is>
          <t>Фары и линзы</t>
        </is>
      </c>
      <c r="C1407" s="2" t="inlineStr">
        <is>
          <t>Автотовары</t>
        </is>
      </c>
      <c r="D1407" s="2" t="inlineStr">
        <is>
          <t>Автотовары → Автозапчасти → Автоэлектрика → Фары и линзы</t>
        </is>
      </c>
      <c r="E1407" s="3" t="n">
        <v>985339</v>
      </c>
      <c r="F1407" s="3" t="n">
        <v>22</v>
      </c>
      <c r="G1407" s="3">
        <f>IFERROR(E1407/F1407,0)</f>
        <v/>
      </c>
      <c r="H1407" s="3" t="n">
        <v>21</v>
      </c>
      <c r="I1407" s="2" t="n">
        <v>15</v>
      </c>
      <c r="J1407" s="3">
        <f>IFERROR(E1407/H1407,0)</f>
        <v/>
      </c>
      <c r="K1407" s="10">
        <f>E1407/'По разделам'!$B$21</f>
        <v/>
      </c>
      <c r="L1407" s="4">
        <f>L1406+K1407</f>
        <v/>
      </c>
      <c r="M1407" s="2" t="inlineStr">
        <is>
          <t>04815</t>
        </is>
      </c>
      <c r="N1407" s="2" t="inlineStr">
        <is>
          <t>https://app.redstat.kz/niche/04815?event_date=2026-08-01</t>
        </is>
      </c>
      <c r="O1407" s="2" t="inlineStr">
        <is>
          <t>https://kaspi.kz/shop/c/car%20headlights/</t>
        </is>
      </c>
    </row>
    <row r="1408">
      <c r="A1408" s="2" t="n">
        <v>1407</v>
      </c>
      <c r="B1408" s="2" t="inlineStr">
        <is>
          <t>Портсигары</t>
        </is>
      </c>
      <c r="C1408" s="2" t="inlineStr">
        <is>
          <t>Аксессуары</t>
        </is>
      </c>
      <c r="D1408" s="2" t="inlineStr">
        <is>
          <t>Аксессуары → Зонты, брелоки и портсигары → Портсигары</t>
        </is>
      </c>
      <c r="E1408" s="3" t="n">
        <v>971681</v>
      </c>
      <c r="F1408" s="3" t="n">
        <v>347</v>
      </c>
      <c r="G1408" s="3">
        <f>IFERROR(E1408/F1408,0)</f>
        <v/>
      </c>
      <c r="H1408" s="3" t="n">
        <v>35</v>
      </c>
      <c r="I1408" s="2" t="n">
        <v>7</v>
      </c>
      <c r="J1408" s="3">
        <f>IFERROR(E1408/H1408,0)</f>
        <v/>
      </c>
      <c r="K1408" s="10">
        <f>E1408/'По разделам'!$B$21</f>
        <v/>
      </c>
      <c r="L1408" s="4">
        <f>L1407+K1408</f>
        <v/>
      </c>
      <c r="M1408" s="2" t="inlineStr">
        <is>
          <t>05621</t>
        </is>
      </c>
      <c r="N1408" s="2" t="inlineStr">
        <is>
          <t>https://app.redstat.kz/niche/05621?event_date=2026-08-01</t>
        </is>
      </c>
      <c r="O1408" s="2" t="inlineStr">
        <is>
          <t>https://kaspi.kz/shop/c/lighter%20accessories/</t>
        </is>
      </c>
    </row>
    <row r="1409">
      <c r="A1409" s="2" t="n">
        <v>1408</v>
      </c>
      <c r="B1409" s="2" t="inlineStr">
        <is>
          <t>Кассовые аппараты</t>
        </is>
      </c>
      <c r="C1409" s="2" t="inlineStr">
        <is>
          <t>Компьютеры</t>
        </is>
      </c>
      <c r="D1409" s="2" t="inlineStr">
        <is>
          <t>Компьютеры → Электронное оборудование для торговли → Кассовые аппараты</t>
        </is>
      </c>
      <c r="E1409" s="3" t="n">
        <v>966985</v>
      </c>
      <c r="F1409" s="3" t="n">
        <v>8</v>
      </c>
      <c r="G1409" s="3">
        <f>IFERROR(E1409/F1409,0)</f>
        <v/>
      </c>
      <c r="H1409" s="3" t="n">
        <v>3</v>
      </c>
      <c r="I1409" s="2" t="n">
        <v>1</v>
      </c>
      <c r="J1409" s="3">
        <f>IFERROR(E1409/H1409,0)</f>
        <v/>
      </c>
      <c r="K1409" s="10">
        <f>E1409/'По разделам'!$B$21</f>
        <v/>
      </c>
      <c r="L1409" s="4">
        <f>L1408+K1409</f>
        <v/>
      </c>
      <c r="M1409" s="2" t="inlineStr">
        <is>
          <t>04629</t>
        </is>
      </c>
      <c r="N1409" s="2" t="inlineStr">
        <is>
          <t>https://app.redstat.kz/niche/04629?event_date=2026-08-01</t>
        </is>
      </c>
      <c r="O1409" s="2" t="inlineStr">
        <is>
          <t>https://kaspi.kz/shop/c/electronic%20cash%20registers/</t>
        </is>
      </c>
    </row>
    <row r="1410">
      <c r="A1410" s="2" t="n">
        <v>1409</v>
      </c>
      <c r="B1410" s="2" t="inlineStr">
        <is>
          <t>Замораживающие спреи для спортсменов</t>
        </is>
      </c>
      <c r="C1410" s="2" t="inlineStr">
        <is>
          <t>Спорт, туризм</t>
        </is>
      </c>
      <c r="D1410" s="2" t="inlineStr">
        <is>
          <t>Спорт, туризм → Пауэрлифтинг → Замораживающие спреи для спортсменов</t>
        </is>
      </c>
      <c r="E1410" s="3" t="n">
        <v>956858</v>
      </c>
      <c r="F1410" s="3" t="n">
        <v>144</v>
      </c>
      <c r="G1410" s="3">
        <f>IFERROR(E1410/F1410,0)</f>
        <v/>
      </c>
      <c r="H1410" s="3" t="n">
        <v>14</v>
      </c>
      <c r="I1410" s="2" t="n">
        <v>7</v>
      </c>
      <c r="J1410" s="3">
        <f>IFERROR(E1410/H1410,0)</f>
        <v/>
      </c>
      <c r="K1410" s="10">
        <f>E1410/'По разделам'!$B$21</f>
        <v/>
      </c>
      <c r="L1410" s="4">
        <f>L1409+K1410</f>
        <v/>
      </c>
      <c r="M1410" s="2" t="inlineStr">
        <is>
          <t>06815</t>
        </is>
      </c>
      <c r="N1410" s="2" t="inlineStr">
        <is>
          <t>https://app.redstat.kz/niche/06815?event_date=2026-08-01</t>
        </is>
      </c>
      <c r="O1410" s="2" t="inlineStr">
        <is>
          <t>https://kaspi.kz/shop/c/sports%20freezing%20sprays/</t>
        </is>
      </c>
    </row>
    <row r="1411">
      <c r="A1411" s="2" t="n">
        <v>1410</v>
      </c>
      <c r="B1411" s="2" t="inlineStr">
        <is>
          <t>Лестницы для животных</t>
        </is>
      </c>
      <c r="C1411" s="2" t="inlineStr">
        <is>
          <t>Товары для животных</t>
        </is>
      </c>
      <c r="D1411" s="2" t="inlineStr">
        <is>
          <t>Товары для животных → Аксессуары для животных → Лестницы для животных</t>
        </is>
      </c>
      <c r="E1411" s="3" t="n">
        <v>955614</v>
      </c>
      <c r="F1411" s="3" t="n">
        <v>85</v>
      </c>
      <c r="G1411" s="3">
        <f>IFERROR(E1411/F1411,0)</f>
        <v/>
      </c>
      <c r="H1411" s="3" t="n">
        <v>19</v>
      </c>
      <c r="I1411" s="2" t="n">
        <v>4</v>
      </c>
      <c r="J1411" s="3">
        <f>IFERROR(E1411/H1411,0)</f>
        <v/>
      </c>
      <c r="K1411" s="10">
        <f>E1411/'По разделам'!$B$21</f>
        <v/>
      </c>
      <c r="L1411" s="4">
        <f>L1410+K1411</f>
        <v/>
      </c>
      <c r="M1411" s="2" t="inlineStr">
        <is>
          <t>04816</t>
        </is>
      </c>
      <c r="N1411" s="2" t="inlineStr">
        <is>
          <t>https://app.redstat.kz/niche/04816?event_date=2026-08-01</t>
        </is>
      </c>
      <c r="O1411" s="2" t="inlineStr">
        <is>
          <t>https://kaspi.kz/shop/c/stairs%20for%20animals/</t>
        </is>
      </c>
    </row>
    <row r="1412">
      <c r="A1412" s="2" t="n">
        <v>1411</v>
      </c>
      <c r="B1412" s="2" t="inlineStr">
        <is>
          <t>Шприцы ветеринарные</t>
        </is>
      </c>
      <c r="C1412" s="2" t="inlineStr">
        <is>
          <t>Товары для животных</t>
        </is>
      </c>
      <c r="D1412" s="2" t="inlineStr">
        <is>
          <t>Товары для животных → Ветаптека → Шприцы ветеринарные</t>
        </is>
      </c>
      <c r="E1412" s="3" t="n">
        <v>950838</v>
      </c>
      <c r="F1412" s="3" t="n">
        <v>178</v>
      </c>
      <c r="G1412" s="3">
        <f>IFERROR(E1412/F1412,0)</f>
        <v/>
      </c>
      <c r="H1412" s="3" t="n">
        <v>28</v>
      </c>
      <c r="I1412" s="2" t="n">
        <v>9</v>
      </c>
      <c r="J1412" s="3">
        <f>IFERROR(E1412/H1412,0)</f>
        <v/>
      </c>
      <c r="K1412" s="10">
        <f>E1412/'По разделам'!$B$21</f>
        <v/>
      </c>
      <c r="L1412" s="4">
        <f>L1411+K1412</f>
        <v/>
      </c>
      <c r="M1412" s="2" t="inlineStr">
        <is>
          <t>04727</t>
        </is>
      </c>
      <c r="N1412" s="2" t="inlineStr">
        <is>
          <t>https://app.redstat.kz/niche/04727?event_date=2026-08-01</t>
        </is>
      </c>
      <c r="O1412" s="2" t="inlineStr">
        <is>
          <t>https://kaspi.kz/shop/c/veterinary%20syringes/</t>
        </is>
      </c>
    </row>
    <row r="1413">
      <c r="A1413" s="2" t="n">
        <v>1412</v>
      </c>
      <c r="B1413" s="2" t="inlineStr">
        <is>
          <t>Садовые столы</t>
        </is>
      </c>
      <c r="C1413" s="2" t="inlineStr">
        <is>
          <t>Товары для дома и дачи</t>
        </is>
      </c>
      <c r="D1413" s="2" t="inlineStr">
        <is>
          <t>Товары для дома и дачи → Дача, сад и огород → Садовая мебель → Садовые столы</t>
        </is>
      </c>
      <c r="E1413" s="3" t="n">
        <v>949197</v>
      </c>
      <c r="F1413" s="3" t="n">
        <v>52</v>
      </c>
      <c r="G1413" s="3">
        <f>IFERROR(E1413/F1413,0)</f>
        <v/>
      </c>
      <c r="H1413" s="3" t="n">
        <v>35</v>
      </c>
      <c r="I1413" s="2" t="n">
        <v>16</v>
      </c>
      <c r="J1413" s="3">
        <f>IFERROR(E1413/H1413,0)</f>
        <v/>
      </c>
      <c r="K1413" s="10">
        <f>E1413/'По разделам'!$B$21</f>
        <v/>
      </c>
      <c r="L1413" s="4">
        <f>L1412+K1413</f>
        <v/>
      </c>
      <c r="M1413" s="2" t="inlineStr">
        <is>
          <t>03617</t>
        </is>
      </c>
      <c r="N1413" s="2" t="inlineStr">
        <is>
          <t>https://app.redstat.kz/niche/03617?event_date=2026-08-01</t>
        </is>
      </c>
      <c r="O1413" s="2" t="inlineStr">
        <is>
          <t>https://kaspi.kz/shop/c/garden%20tables/</t>
        </is>
      </c>
    </row>
    <row r="1414">
      <c r="A1414" s="2" t="n">
        <v>1413</v>
      </c>
      <c r="B1414" s="2" t="inlineStr">
        <is>
          <t>Комплектующие для увлажнителей, очистителей и осушителей</t>
        </is>
      </c>
      <c r="C1414" s="2" t="inlineStr">
        <is>
          <t>Бытовая техника</t>
        </is>
      </c>
      <c r="D1414" s="2" t="inlineStr">
        <is>
          <t>Бытовая техника → Климатическая техника → Комплектующие для климатической техники → Комплектующие для увлажнителей, очистителей и осушителей</t>
        </is>
      </c>
      <c r="E1414" s="3" t="n">
        <v>942725</v>
      </c>
      <c r="F1414" s="3" t="n">
        <v>119</v>
      </c>
      <c r="G1414" s="3">
        <f>IFERROR(E1414/F1414,0)</f>
        <v/>
      </c>
      <c r="H1414" s="3" t="n">
        <v>56</v>
      </c>
      <c r="I1414" s="2" t="n">
        <v>21</v>
      </c>
      <c r="J1414" s="3">
        <f>IFERROR(E1414/H1414,0)</f>
        <v/>
      </c>
      <c r="K1414" s="10">
        <f>E1414/'По разделам'!$B$21</f>
        <v/>
      </c>
      <c r="L1414" s="4">
        <f>L1413+K1414</f>
        <v/>
      </c>
      <c r="M1414" s="2" t="inlineStr">
        <is>
          <t>03645</t>
        </is>
      </c>
      <c r="N1414" s="2" t="inlineStr">
        <is>
          <t>https://app.redstat.kz/niche/03645?event_date=2026-08-01</t>
        </is>
      </c>
      <c r="O1414" s="2" t="inlineStr">
        <is>
          <t>https://kaspi.kz/shop/c/accessories%20for%20humidifiers%20and%20purifiers/</t>
        </is>
      </c>
    </row>
    <row r="1415">
      <c r="A1415" s="2" t="n">
        <v>1414</v>
      </c>
      <c r="B1415" s="2" t="inlineStr">
        <is>
          <t>Пиджаки для девочек</t>
        </is>
      </c>
      <c r="C1415" s="2" t="inlineStr">
        <is>
          <t>Одежда</t>
        </is>
      </c>
      <c r="D1415" s="2" t="inlineStr">
        <is>
          <t>Одежда → Девочкам → Пиджаки для девочек</t>
        </is>
      </c>
      <c r="E1415" s="3" t="n">
        <v>937888</v>
      </c>
      <c r="F1415" s="3" t="n">
        <v>44</v>
      </c>
      <c r="G1415" s="3">
        <f>IFERROR(E1415/F1415,0)</f>
        <v/>
      </c>
      <c r="H1415" s="3" t="n">
        <v>19</v>
      </c>
      <c r="I1415" s="2" t="n">
        <v>5</v>
      </c>
      <c r="J1415" s="3">
        <f>IFERROR(E1415/H1415,0)</f>
        <v/>
      </c>
      <c r="K1415" s="10">
        <f>E1415/'По разделам'!$B$21</f>
        <v/>
      </c>
      <c r="L1415" s="4">
        <f>L1414+K1415</f>
        <v/>
      </c>
      <c r="M1415" s="2" t="inlineStr">
        <is>
          <t>06152</t>
        </is>
      </c>
      <c r="N1415" s="2" t="inlineStr">
        <is>
          <t>https://app.redstat.kz/niche/06152?event_date=2026-08-01</t>
        </is>
      </c>
      <c r="O1415" s="2" t="inlineStr">
        <is>
          <t>https://kaspi.kz/shop/c/girl%20blazers/</t>
        </is>
      </c>
    </row>
    <row r="1416">
      <c r="A1416" s="2" t="n">
        <v>1415</v>
      </c>
      <c r="B1416" s="2" t="inlineStr">
        <is>
          <t>Воротники для животных</t>
        </is>
      </c>
      <c r="C1416" s="2" t="inlineStr">
        <is>
          <t>Товары для животных</t>
        </is>
      </c>
      <c r="D1416" s="2" t="inlineStr">
        <is>
          <t>Товары для животных → Ветаптека → Воротники для животных</t>
        </is>
      </c>
      <c r="E1416" s="3" t="n">
        <v>931598</v>
      </c>
      <c r="F1416" s="3" t="n">
        <v>379</v>
      </c>
      <c r="G1416" s="3">
        <f>IFERROR(E1416/F1416,0)</f>
        <v/>
      </c>
      <c r="H1416" s="3" t="n">
        <v>52</v>
      </c>
      <c r="I1416" s="2" t="n">
        <v>11</v>
      </c>
      <c r="J1416" s="3">
        <f>IFERROR(E1416/H1416,0)</f>
        <v/>
      </c>
      <c r="K1416" s="10">
        <f>E1416/'По разделам'!$B$21</f>
        <v/>
      </c>
      <c r="L1416" s="4">
        <f>L1415+K1416</f>
        <v/>
      </c>
      <c r="M1416" s="2" t="inlineStr">
        <is>
          <t>03903</t>
        </is>
      </c>
      <c r="N1416" s="2" t="inlineStr">
        <is>
          <t>https://app.redstat.kz/niche/03903?event_date=2026-08-01</t>
        </is>
      </c>
      <c r="O1416" s="2" t="inlineStr">
        <is>
          <t>https://kaspi.kz/shop/c/collar%20for%20animals/</t>
        </is>
      </c>
    </row>
    <row r="1417">
      <c r="A1417" s="2" t="n">
        <v>1416</v>
      </c>
      <c r="B1417" s="2" t="inlineStr">
        <is>
          <t>Элементы КПП</t>
        </is>
      </c>
      <c r="C1417" s="2" t="inlineStr">
        <is>
          <t>Автотовары</t>
        </is>
      </c>
      <c r="D1417" s="2" t="inlineStr">
        <is>
          <t>Автотовары → Автозапчасти → Трансмиссия → Элементы КПП</t>
        </is>
      </c>
      <c r="E1417" s="3" t="n">
        <v>926901</v>
      </c>
      <c r="F1417" s="3" t="n">
        <v>46</v>
      </c>
      <c r="G1417" s="3">
        <f>IFERROR(E1417/F1417,0)</f>
        <v/>
      </c>
      <c r="H1417" s="3" t="n">
        <v>33</v>
      </c>
      <c r="I1417" s="2" t="n">
        <v>22</v>
      </c>
      <c r="J1417" s="3">
        <f>IFERROR(E1417/H1417,0)</f>
        <v/>
      </c>
      <c r="K1417" s="10">
        <f>E1417/'По разделам'!$B$21</f>
        <v/>
      </c>
      <c r="L1417" s="4">
        <f>L1416+K1417</f>
        <v/>
      </c>
      <c r="M1417" s="2" t="inlineStr">
        <is>
          <t>07053</t>
        </is>
      </c>
      <c r="N1417" s="2" t="inlineStr">
        <is>
          <t>https://app.redstat.kz/niche/07053?event_date=2026-08-01</t>
        </is>
      </c>
      <c r="O1417" s="2" t="inlineStr">
        <is>
          <t>https://kaspi.kz/shop/c/checkpoint%20elements/</t>
        </is>
      </c>
    </row>
    <row r="1418">
      <c r="A1418" s="2" t="n">
        <v>1417</v>
      </c>
      <c r="B1418" s="2" t="inlineStr">
        <is>
          <t>Аксессуары для массажеров</t>
        </is>
      </c>
      <c r="C1418" s="2" t="inlineStr">
        <is>
          <t>Красота и здоровье</t>
        </is>
      </c>
      <c r="D1418" s="2" t="inlineStr">
        <is>
          <t>Красота и здоровье → Массажеры, массажные кресла, миостимуляторы → Аксессуары для массажеров</t>
        </is>
      </c>
      <c r="E1418" s="3" t="n">
        <v>922395</v>
      </c>
      <c r="F1418" s="3" t="n">
        <v>128</v>
      </c>
      <c r="G1418" s="3">
        <f>IFERROR(E1418/F1418,0)</f>
        <v/>
      </c>
      <c r="H1418" s="3" t="n">
        <v>11</v>
      </c>
      <c r="I1418" s="2" t="n">
        <v>5</v>
      </c>
      <c r="J1418" s="3">
        <f>IFERROR(E1418/H1418,0)</f>
        <v/>
      </c>
      <c r="K1418" s="10">
        <f>E1418/'По разделам'!$B$21</f>
        <v/>
      </c>
      <c r="L1418" s="4">
        <f>L1417+K1418</f>
        <v/>
      </c>
      <c r="M1418" s="2" t="inlineStr">
        <is>
          <t>04138</t>
        </is>
      </c>
      <c r="N1418" s="2" t="inlineStr">
        <is>
          <t>https://app.redstat.kz/niche/04138?event_date=2026-08-01</t>
        </is>
      </c>
      <c r="O1418" s="2" t="inlineStr">
        <is>
          <t>https://kaspi.kz/shop/c/accessories%20for%20massagers/</t>
        </is>
      </c>
    </row>
    <row r="1419">
      <c r="A1419" s="2" t="n">
        <v>1418</v>
      </c>
      <c r="B1419" s="2" t="inlineStr">
        <is>
          <t>Стульчики для кормления и аксессуары</t>
        </is>
      </c>
      <c r="C1419" s="2" t="inlineStr">
        <is>
          <t>Детские товары</t>
        </is>
      </c>
      <c r="D1419" s="2" t="inlineStr">
        <is>
          <t>Детские товары → Для малыша и мамы → Товары для кормления → Стульчики для кормления и аксессуары</t>
        </is>
      </c>
      <c r="E1419" s="3" t="n">
        <v>917517</v>
      </c>
      <c r="F1419" s="3" t="n">
        <v>378</v>
      </c>
      <c r="G1419" s="3">
        <f>IFERROR(E1419/F1419,0)</f>
        <v/>
      </c>
      <c r="H1419" s="3" t="n">
        <v>116</v>
      </c>
      <c r="I1419" s="2" t="n">
        <v>54</v>
      </c>
      <c r="J1419" s="3">
        <f>IFERROR(E1419/H1419,0)</f>
        <v/>
      </c>
      <c r="K1419" s="10">
        <f>E1419/'По разделам'!$B$21</f>
        <v/>
      </c>
      <c r="L1419" s="4">
        <f>L1418+K1419</f>
        <v/>
      </c>
      <c r="M1419" s="2" t="inlineStr">
        <is>
          <t>04426</t>
        </is>
      </c>
      <c r="N1419" s="2" t="inlineStr">
        <is>
          <t>https://app.redstat.kz/niche/04426?event_date=2026-08-01</t>
        </is>
      </c>
      <c r="O1419" s="2" t="inlineStr">
        <is>
          <t>https://kaspi.kz/shop/c/feeding%20chairs/</t>
        </is>
      </c>
    </row>
    <row r="1420">
      <c r="A1420" s="2" t="n">
        <v>1419</v>
      </c>
      <c r="B1420" s="2" t="inlineStr">
        <is>
          <t>Счетчики посетителей</t>
        </is>
      </c>
      <c r="C1420" s="2" t="inlineStr">
        <is>
          <t>Компьютеры</t>
        </is>
      </c>
      <c r="D1420" s="2" t="inlineStr">
        <is>
          <t>Компьютеры → Электронное оборудование для торговли → Счетчики посетителей</t>
        </is>
      </c>
      <c r="E1420" s="3" t="n">
        <v>910322</v>
      </c>
      <c r="F1420" s="3" t="n">
        <v>18</v>
      </c>
      <c r="G1420" s="3">
        <f>IFERROR(E1420/F1420,0)</f>
        <v/>
      </c>
      <c r="H1420" s="3" t="n">
        <v>5</v>
      </c>
      <c r="I1420" s="2" t="n">
        <v>1</v>
      </c>
      <c r="J1420" s="3">
        <f>IFERROR(E1420/H1420,0)</f>
        <v/>
      </c>
      <c r="K1420" s="10">
        <f>E1420/'По разделам'!$B$21</f>
        <v/>
      </c>
      <c r="L1420" s="4">
        <f>L1419+K1420</f>
        <v/>
      </c>
      <c r="M1420" s="2" t="inlineStr">
        <is>
          <t>05873</t>
        </is>
      </c>
      <c r="N1420" s="2" t="inlineStr">
        <is>
          <t>https://app.redstat.kz/niche/05873?event_date=2026-08-01</t>
        </is>
      </c>
      <c r="O1420" s="2" t="inlineStr">
        <is>
          <t>https://kaspi.kz/shop/c/visitor%20counters/</t>
        </is>
      </c>
    </row>
    <row r="1421">
      <c r="A1421" s="2" t="n">
        <v>1420</v>
      </c>
      <c r="B1421" s="2" t="inlineStr">
        <is>
          <t>Резинки канцелярские, бандероли, накладки для банкнот</t>
        </is>
      </c>
      <c r="C1421" s="2" t="inlineStr">
        <is>
          <t>Канцелярские товары</t>
        </is>
      </c>
      <c r="D1421" s="2" t="inlineStr">
        <is>
          <t>Канцелярские товары → Мелкоофисные принадлежности → Резинки канцелярские, бандероли, накладки для банкнот</t>
        </is>
      </c>
      <c r="E1421" s="3" t="n">
        <v>906096</v>
      </c>
      <c r="F1421" s="3" t="n">
        <v>699</v>
      </c>
      <c r="G1421" s="3">
        <f>IFERROR(E1421/F1421,0)</f>
        <v/>
      </c>
      <c r="H1421" s="3" t="n">
        <v>48</v>
      </c>
      <c r="I1421" s="2" t="n">
        <v>12</v>
      </c>
      <c r="J1421" s="3">
        <f>IFERROR(E1421/H1421,0)</f>
        <v/>
      </c>
      <c r="K1421" s="10">
        <f>E1421/'По разделам'!$B$21</f>
        <v/>
      </c>
      <c r="L1421" s="4">
        <f>L1420+K1421</f>
        <v/>
      </c>
      <c r="M1421" s="2" t="inlineStr">
        <is>
          <t>05601</t>
        </is>
      </c>
      <c r="N1421" s="2" t="inlineStr">
        <is>
          <t>https://app.redstat.kz/niche/05601?event_date=2026-08-01</t>
        </is>
      </c>
      <c r="O1421" s="2" t="inlineStr">
        <is>
          <t>https://kaspi.kz/shop/c/rubber%20bands/</t>
        </is>
      </c>
    </row>
    <row r="1422">
      <c r="A1422" s="2" t="n">
        <v>1421</v>
      </c>
      <c r="B1422" s="2" t="inlineStr">
        <is>
          <t>Мокасины для девочек</t>
        </is>
      </c>
      <c r="C1422" s="2" t="inlineStr">
        <is>
          <t>Обувь</t>
        </is>
      </c>
      <c r="D1422" s="2" t="inlineStr">
        <is>
          <t>Обувь → Обувь для девочек → Мокасины для девочек</t>
        </is>
      </c>
      <c r="E1422" s="3" t="n">
        <v>904064</v>
      </c>
      <c r="F1422" s="3" t="n">
        <v>45</v>
      </c>
      <c r="G1422" s="3">
        <f>IFERROR(E1422/F1422,0)</f>
        <v/>
      </c>
      <c r="H1422" s="3" t="n">
        <v>37</v>
      </c>
      <c r="I1422" s="2" t="n">
        <v>4</v>
      </c>
      <c r="J1422" s="3">
        <f>IFERROR(E1422/H1422,0)</f>
        <v/>
      </c>
      <c r="K1422" s="10">
        <f>E1422/'По разделам'!$B$21</f>
        <v/>
      </c>
      <c r="L1422" s="4">
        <f>L1421+K1422</f>
        <v/>
      </c>
      <c r="M1422" s="2" t="inlineStr">
        <is>
          <t>01158</t>
        </is>
      </c>
      <c r="N1422" s="2" t="inlineStr">
        <is>
          <t>https://app.redstat.kz/niche/01158?event_date=2026-08-01</t>
        </is>
      </c>
      <c r="O1422" s="2" t="inlineStr">
        <is>
          <t>https://kaspi.kz/shop/c/girl%20moccasins/</t>
        </is>
      </c>
    </row>
    <row r="1423">
      <c r="A1423" s="2" t="n">
        <v>1422</v>
      </c>
      <c r="B1423" s="2" t="inlineStr">
        <is>
          <t>Недоуздки и уздечки для лошадей</t>
        </is>
      </c>
      <c r="C1423" s="2" t="inlineStr">
        <is>
          <t>Спорт, туризм</t>
        </is>
      </c>
      <c r="D1423" s="2" t="inlineStr">
        <is>
          <t>Спорт, туризм → Конный спорт → Недоуздки и уздечки для лошадей</t>
        </is>
      </c>
      <c r="E1423" s="3" t="n">
        <v>897165</v>
      </c>
      <c r="F1423" s="3" t="n">
        <v>95</v>
      </c>
      <c r="G1423" s="3">
        <f>IFERROR(E1423/F1423,0)</f>
        <v/>
      </c>
      <c r="H1423" s="3" t="n">
        <v>55</v>
      </c>
      <c r="I1423" s="2" t="n">
        <v>3</v>
      </c>
      <c r="J1423" s="3">
        <f>IFERROR(E1423/H1423,0)</f>
        <v/>
      </c>
      <c r="K1423" s="10">
        <f>E1423/'По разделам'!$B$21</f>
        <v/>
      </c>
      <c r="L1423" s="4">
        <f>L1422+K1423</f>
        <v/>
      </c>
      <c r="M1423" s="2" t="inlineStr">
        <is>
          <t>06412</t>
        </is>
      </c>
      <c r="N1423" s="2" t="inlineStr">
        <is>
          <t>https://app.redstat.kz/niche/06412?event_date=2026-08-01</t>
        </is>
      </c>
      <c r="O1423" s="2" t="inlineStr">
        <is>
          <t>https://kaspi.kz/shop/c/halters%20for%20horses/</t>
        </is>
      </c>
    </row>
    <row r="1424">
      <c r="A1424" s="2" t="n">
        <v>1423</v>
      </c>
      <c r="B1424" s="2" t="inlineStr">
        <is>
          <t>Фены для животных</t>
        </is>
      </c>
      <c r="C1424" s="2" t="inlineStr">
        <is>
          <t>Товары для животных</t>
        </is>
      </c>
      <c r="D1424" s="2" t="inlineStr">
        <is>
          <t>Товары для животных → Груминг → Фены для животных</t>
        </is>
      </c>
      <c r="E1424" s="3" t="n">
        <v>896176</v>
      </c>
      <c r="F1424" s="3" t="n">
        <v>15</v>
      </c>
      <c r="G1424" s="3">
        <f>IFERROR(E1424/F1424,0)</f>
        <v/>
      </c>
      <c r="H1424" s="3" t="n">
        <v>10</v>
      </c>
      <c r="I1424" s="2" t="n">
        <v>6</v>
      </c>
      <c r="J1424" s="3">
        <f>IFERROR(E1424/H1424,0)</f>
        <v/>
      </c>
      <c r="K1424" s="10">
        <f>E1424/'По разделам'!$B$21</f>
        <v/>
      </c>
      <c r="L1424" s="4">
        <f>L1423+K1424</f>
        <v/>
      </c>
      <c r="M1424" s="2" t="inlineStr">
        <is>
          <t>03113</t>
        </is>
      </c>
      <c r="N1424" s="2" t="inlineStr">
        <is>
          <t>https://app.redstat.kz/niche/03113?event_date=2026-08-01</t>
        </is>
      </c>
      <c r="O1424" s="2" t="inlineStr">
        <is>
          <t>https://kaspi.kz/shop/c/pet%20hair%20dryers/</t>
        </is>
      </c>
    </row>
    <row r="1425">
      <c r="A1425" s="2" t="n">
        <v>1424</v>
      </c>
      <c r="B1425" s="2" t="inlineStr">
        <is>
          <t>Скрепки канцелярские</t>
        </is>
      </c>
      <c r="C1425" s="2" t="inlineStr">
        <is>
          <t>Канцелярские товары</t>
        </is>
      </c>
      <c r="D1425" s="2" t="inlineStr">
        <is>
          <t>Канцелярские товары → Мелкоофисные принадлежности → Скрепки канцелярские</t>
        </is>
      </c>
      <c r="E1425" s="3" t="n">
        <v>887123</v>
      </c>
      <c r="F1425" s="3" t="n">
        <v>2218</v>
      </c>
      <c r="G1425" s="3">
        <f>IFERROR(E1425/F1425,0)</f>
        <v/>
      </c>
      <c r="H1425" s="3" t="n">
        <v>62</v>
      </c>
      <c r="I1425" s="2" t="n">
        <v>19</v>
      </c>
      <c r="J1425" s="3">
        <f>IFERROR(E1425/H1425,0)</f>
        <v/>
      </c>
      <c r="K1425" s="10">
        <f>E1425/'По разделам'!$B$21</f>
        <v/>
      </c>
      <c r="L1425" s="4">
        <f>L1424+K1425</f>
        <v/>
      </c>
      <c r="M1425" s="2" t="inlineStr">
        <is>
          <t>04282</t>
        </is>
      </c>
      <c r="N1425" s="2" t="inlineStr">
        <is>
          <t>https://app.redstat.kz/niche/04282?event_date=2026-08-01</t>
        </is>
      </c>
      <c r="O1425" s="2" t="inlineStr">
        <is>
          <t>https://kaspi.kz/shop/c/paper%20clips/</t>
        </is>
      </c>
    </row>
    <row r="1426">
      <c r="A1426" s="2" t="n">
        <v>1425</v>
      </c>
      <c r="B1426" s="2" t="inlineStr">
        <is>
          <t>Межкомнатные перегородки</t>
        </is>
      </c>
      <c r="C1426" s="2" t="inlineStr">
        <is>
          <t>Строительство, ремонт</t>
        </is>
      </c>
      <c r="D1426" s="2" t="inlineStr">
        <is>
          <t>Строительство, ремонт → Двери, окна, лестницы → Межкомнатные перегородки</t>
        </is>
      </c>
      <c r="E1426" s="3" t="n">
        <v>886980</v>
      </c>
      <c r="F1426" s="3" t="n">
        <v>4</v>
      </c>
      <c r="G1426" s="3">
        <f>IFERROR(E1426/F1426,0)</f>
        <v/>
      </c>
      <c r="H1426" s="3" t="n">
        <v>4</v>
      </c>
      <c r="I1426" s="2" t="n">
        <v>1</v>
      </c>
      <c r="J1426" s="3">
        <f>IFERROR(E1426/H1426,0)</f>
        <v/>
      </c>
      <c r="K1426" s="10">
        <f>E1426/'По разделам'!$B$21</f>
        <v/>
      </c>
      <c r="L1426" s="4">
        <f>L1425+K1426</f>
        <v/>
      </c>
      <c r="M1426" s="2" t="inlineStr">
        <is>
          <t>04676</t>
        </is>
      </c>
      <c r="N1426" s="2" t="inlineStr">
        <is>
          <t>https://app.redstat.kz/niche/04676?event_date=2026-08-01</t>
        </is>
      </c>
      <c r="O1426" s="2" t="inlineStr">
        <is>
          <t>https://kaspi.kz/shop/c/interior%20partitions/</t>
        </is>
      </c>
    </row>
    <row r="1427">
      <c r="A1427" s="2" t="n">
        <v>1426</v>
      </c>
      <c r="B1427" s="2" t="inlineStr">
        <is>
          <t>Колготки для малышей</t>
        </is>
      </c>
      <c r="C1427" s="2" t="inlineStr">
        <is>
          <t>Одежда</t>
        </is>
      </c>
      <c r="D1427" s="2" t="inlineStr">
        <is>
          <t>Одежда → Одежда для малышей → Колготки для малышей</t>
        </is>
      </c>
      <c r="E1427" s="3" t="n">
        <v>884712</v>
      </c>
      <c r="F1427" s="3" t="n">
        <v>615</v>
      </c>
      <c r="G1427" s="3">
        <f>IFERROR(E1427/F1427,0)</f>
        <v/>
      </c>
      <c r="H1427" s="3" t="n">
        <v>113</v>
      </c>
      <c r="I1427" s="2" t="n">
        <v>15</v>
      </c>
      <c r="J1427" s="3">
        <f>IFERROR(E1427/H1427,0)</f>
        <v/>
      </c>
      <c r="K1427" s="10">
        <f>E1427/'По разделам'!$B$21</f>
        <v/>
      </c>
      <c r="L1427" s="4">
        <f>L1426+K1427</f>
        <v/>
      </c>
      <c r="M1427" s="2" t="inlineStr">
        <is>
          <t>04422</t>
        </is>
      </c>
      <c r="N1427" s="2" t="inlineStr">
        <is>
          <t>https://app.redstat.kz/niche/04422?event_date=2026-08-01</t>
        </is>
      </c>
      <c r="O1427" s="2" t="inlineStr">
        <is>
          <t>https://kaspi.kz/shop/c/toddler%20tights/</t>
        </is>
      </c>
    </row>
    <row r="1428">
      <c r="A1428" s="2" t="n">
        <v>1427</v>
      </c>
      <c r="B1428" s="2" t="inlineStr">
        <is>
          <t>Подтяжки</t>
        </is>
      </c>
      <c r="C1428" s="2" t="inlineStr">
        <is>
          <t>Аксессуары</t>
        </is>
      </c>
      <c r="D1428" s="2" t="inlineStr">
        <is>
          <t>Аксессуары → Аксессуары для одежды и обуви → Подтяжки</t>
        </is>
      </c>
      <c r="E1428" s="3" t="n">
        <v>880956</v>
      </c>
      <c r="F1428" s="3" t="n">
        <v>346</v>
      </c>
      <c r="G1428" s="3">
        <f>IFERROR(E1428/F1428,0)</f>
        <v/>
      </c>
      <c r="H1428" s="3" t="n">
        <v>59</v>
      </c>
      <c r="I1428" s="2" t="n">
        <v>12</v>
      </c>
      <c r="J1428" s="3">
        <f>IFERROR(E1428/H1428,0)</f>
        <v/>
      </c>
      <c r="K1428" s="10">
        <f>E1428/'По разделам'!$B$21</f>
        <v/>
      </c>
      <c r="L1428" s="4">
        <f>L1427+K1428</f>
        <v/>
      </c>
      <c r="M1428" s="2" t="inlineStr">
        <is>
          <t>02044</t>
        </is>
      </c>
      <c r="N1428" s="2" t="inlineStr">
        <is>
          <t>https://app.redstat.kz/niche/02044?event_date=2026-08-01</t>
        </is>
      </c>
      <c r="O1428" s="2" t="inlineStr">
        <is>
          <t>https://kaspi.kz/shop/c/fashion%20suspenders/</t>
        </is>
      </c>
    </row>
    <row r="1429">
      <c r="A1429" s="2" t="n">
        <v>1428</v>
      </c>
      <c r="B1429" s="2" t="inlineStr">
        <is>
          <t>Лототроны, боксы для голосования и пожертвования</t>
        </is>
      </c>
      <c r="C1429" s="2" t="inlineStr">
        <is>
          <t>Канцелярские товары</t>
        </is>
      </c>
      <c r="D1429" s="2" t="inlineStr">
        <is>
          <t>Канцелярские товары → Торговые и рекламные принадлежности → Лототроны, боксы для голосования и пожертвования</t>
        </is>
      </c>
      <c r="E1429" s="3" t="n">
        <v>880747</v>
      </c>
      <c r="F1429" s="3" t="n">
        <v>47</v>
      </c>
      <c r="G1429" s="3">
        <f>IFERROR(E1429/F1429,0)</f>
        <v/>
      </c>
      <c r="H1429" s="3" t="n">
        <v>17</v>
      </c>
      <c r="I1429" s="2" t="n">
        <v>3</v>
      </c>
      <c r="J1429" s="3">
        <f>IFERROR(E1429/H1429,0)</f>
        <v/>
      </c>
      <c r="K1429" s="10">
        <f>E1429/'По разделам'!$B$21</f>
        <v/>
      </c>
      <c r="L1429" s="4">
        <f>L1428+K1429</f>
        <v/>
      </c>
      <c r="M1429" s="2" t="inlineStr">
        <is>
          <t>05485</t>
        </is>
      </c>
      <c r="N1429" s="2" t="inlineStr">
        <is>
          <t>https://app.redstat.kz/niche/05485?event_date=2026-08-01</t>
        </is>
      </c>
      <c r="O1429" s="2" t="inlineStr">
        <is>
          <t>https://kaspi.kz/shop/c/lottery%20drums%20and%20donation%20boxes/</t>
        </is>
      </c>
    </row>
    <row r="1430">
      <c r="A1430" s="2" t="n">
        <v>1429</v>
      </c>
      <c r="B1430" s="2" t="inlineStr">
        <is>
          <t>Гвозди</t>
        </is>
      </c>
      <c r="C1430" s="2" t="inlineStr">
        <is>
          <t>Строительство, ремонт</t>
        </is>
      </c>
      <c r="D1430" s="2" t="inlineStr">
        <is>
          <t>Строительство, ремонт → Строительный крепеж → Гвозди</t>
        </is>
      </c>
      <c r="E1430" s="3" t="n">
        <v>880580</v>
      </c>
      <c r="F1430" s="3" t="n">
        <v>273</v>
      </c>
      <c r="G1430" s="3">
        <f>IFERROR(E1430/F1430,0)</f>
        <v/>
      </c>
      <c r="H1430" s="3" t="n">
        <v>56</v>
      </c>
      <c r="I1430" s="2" t="n">
        <v>15</v>
      </c>
      <c r="J1430" s="3">
        <f>IFERROR(E1430/H1430,0)</f>
        <v/>
      </c>
      <c r="K1430" s="10">
        <f>E1430/'По разделам'!$B$21</f>
        <v/>
      </c>
      <c r="L1430" s="4">
        <f>L1429+K1430</f>
        <v/>
      </c>
      <c r="M1430" s="2" t="inlineStr">
        <is>
          <t>02602</t>
        </is>
      </c>
      <c r="N1430" s="2" t="inlineStr">
        <is>
          <t>https://app.redstat.kz/niche/02602?event_date=2026-08-01</t>
        </is>
      </c>
      <c r="O1430" s="2" t="inlineStr">
        <is>
          <t>https://kaspi.kz/shop/c/construction%20nails/</t>
        </is>
      </c>
    </row>
    <row r="1431">
      <c r="A1431" s="2" t="n">
        <v>1430</v>
      </c>
      <c r="B1431" s="2" t="inlineStr">
        <is>
          <t>Шаблоны, трафареты, лекала</t>
        </is>
      </c>
      <c r="C1431" s="2" t="inlineStr">
        <is>
          <t>Канцелярские товары</t>
        </is>
      </c>
      <c r="D1431" s="2" t="inlineStr">
        <is>
          <t>Канцелярские товары → Школьные принадлежности → Шаблоны, трафареты, лекала</t>
        </is>
      </c>
      <c r="E1431" s="3" t="n">
        <v>878799</v>
      </c>
      <c r="F1431" s="3" t="n">
        <v>201</v>
      </c>
      <c r="G1431" s="3">
        <f>IFERROR(E1431/F1431,0)</f>
        <v/>
      </c>
      <c r="H1431" s="3" t="n">
        <v>67</v>
      </c>
      <c r="I1431" s="2" t="n">
        <v>12</v>
      </c>
      <c r="J1431" s="3">
        <f>IFERROR(E1431/H1431,0)</f>
        <v/>
      </c>
      <c r="K1431" s="10">
        <f>E1431/'По разделам'!$B$21</f>
        <v/>
      </c>
      <c r="L1431" s="4">
        <f>L1430+K1431</f>
        <v/>
      </c>
      <c r="M1431" s="2" t="inlineStr">
        <is>
          <t>04309</t>
        </is>
      </c>
      <c r="N1431" s="2" t="inlineStr">
        <is>
          <t>https://app.redstat.kz/niche/04309?event_date=2026-08-01</t>
        </is>
      </c>
      <c r="O1431" s="2" t="inlineStr">
        <is>
          <t>https://kaspi.kz/shop/c/templates%20and%20stencils/</t>
        </is>
      </c>
    </row>
    <row r="1432">
      <c r="A1432" s="2" t="n">
        <v>1431</v>
      </c>
      <c r="B1432" s="2" t="inlineStr">
        <is>
          <t>Лопатки для плавания</t>
        </is>
      </c>
      <c r="C1432" s="2" t="inlineStr">
        <is>
          <t>Спорт, туризм</t>
        </is>
      </c>
      <c r="D1432" s="2" t="inlineStr">
        <is>
          <t>Спорт, туризм → Водный спорт → Лопатки для плавания</t>
        </is>
      </c>
      <c r="E1432" s="3" t="n">
        <v>877719</v>
      </c>
      <c r="F1432" s="3" t="n">
        <v>157</v>
      </c>
      <c r="G1432" s="3">
        <f>IFERROR(E1432/F1432,0)</f>
        <v/>
      </c>
      <c r="H1432" s="3" t="n">
        <v>64</v>
      </c>
      <c r="I1432" s="2" t="n">
        <v>14</v>
      </c>
      <c r="J1432" s="3">
        <f>IFERROR(E1432/H1432,0)</f>
        <v/>
      </c>
      <c r="K1432" s="10">
        <f>E1432/'По разделам'!$B$21</f>
        <v/>
      </c>
      <c r="L1432" s="4">
        <f>L1431+K1432</f>
        <v/>
      </c>
      <c r="M1432" s="2" t="inlineStr">
        <is>
          <t>02048</t>
        </is>
      </c>
      <c r="N1432" s="2" t="inlineStr">
        <is>
          <t>https://app.redstat.kz/niche/02048?event_date=2026-08-01</t>
        </is>
      </c>
      <c r="O1432" s="2" t="inlineStr">
        <is>
          <t>https://kaspi.kz/shop/c/swimming%20hand%20paddles/</t>
        </is>
      </c>
    </row>
    <row r="1433">
      <c r="A1433" s="2" t="n">
        <v>1432</v>
      </c>
      <c r="B1433" s="2" t="inlineStr">
        <is>
          <t>Хронографы для стрельбы</t>
        </is>
      </c>
      <c r="C1433" s="2" t="inlineStr">
        <is>
          <t>Спорт, туризм</t>
        </is>
      </c>
      <c r="D1433" s="2" t="inlineStr">
        <is>
          <t>Спорт, туризм → Товары для охоты и стрельбы → Хронографы для стрельбы</t>
        </is>
      </c>
      <c r="E1433" s="3" t="n">
        <v>876975</v>
      </c>
      <c r="F1433" s="3" t="n">
        <v>2</v>
      </c>
      <c r="G1433" s="3">
        <f>IFERROR(E1433/F1433,0)</f>
        <v/>
      </c>
      <c r="H1433" s="3" t="n">
        <v>1</v>
      </c>
      <c r="I1433" s="2" t="n">
        <v>1</v>
      </c>
      <c r="J1433" s="3">
        <f>IFERROR(E1433/H1433,0)</f>
        <v/>
      </c>
      <c r="K1433" s="10">
        <f>E1433/'По разделам'!$B$21</f>
        <v/>
      </c>
      <c r="L1433" s="4">
        <f>L1432+K1433</f>
        <v/>
      </c>
      <c r="M1433" s="2" t="inlineStr">
        <is>
          <t>06811</t>
        </is>
      </c>
      <c r="N1433" s="2" t="inlineStr">
        <is>
          <t>https://app.redstat.kz/niche/06811?event_date=2026-08-01</t>
        </is>
      </c>
      <c r="O1433" s="2" t="inlineStr">
        <is>
          <t>https://kaspi.kz/shop/c/shooting%20chronographs/</t>
        </is>
      </c>
    </row>
    <row r="1434">
      <c r="A1434" s="2" t="n">
        <v>1433</v>
      </c>
      <c r="B1434" s="2" t="inlineStr">
        <is>
          <t>Аэрогрили</t>
        </is>
      </c>
      <c r="C1434" s="2" t="inlineStr">
        <is>
          <t>Бытовая техника</t>
        </is>
      </c>
      <c r="D1434" s="2" t="inlineStr">
        <is>
          <t>Бытовая техника → Мелкая техника для кухни → Печи и грили → Аэрогрили</t>
        </is>
      </c>
      <c r="E1434" s="3" t="n">
        <v>876766</v>
      </c>
      <c r="F1434" s="3" t="n">
        <v>29</v>
      </c>
      <c r="G1434" s="3">
        <f>IFERROR(E1434/F1434,0)</f>
        <v/>
      </c>
      <c r="H1434" s="3" t="n">
        <v>15</v>
      </c>
      <c r="I1434" s="2" t="n">
        <v>9</v>
      </c>
      <c r="J1434" s="3">
        <f>IFERROR(E1434/H1434,0)</f>
        <v/>
      </c>
      <c r="K1434" s="10">
        <f>E1434/'По разделам'!$B$21</f>
        <v/>
      </c>
      <c r="L1434" s="4">
        <f>L1433+K1434</f>
        <v/>
      </c>
      <c r="M1434" s="2" t="inlineStr">
        <is>
          <t>09318</t>
        </is>
      </c>
      <c r="N1434" s="2" t="inlineStr">
        <is>
          <t>https://app.redstat.kz/niche/09318?event_date=2026-08-01</t>
        </is>
      </c>
      <c r="O1434" s="2" t="inlineStr">
        <is>
          <t>https://kaspi.kz/shop/c/air%20fryers/</t>
        </is>
      </c>
    </row>
    <row r="1435">
      <c r="A1435" s="2" t="n">
        <v>1434</v>
      </c>
      <c r="B1435" s="2" t="inlineStr">
        <is>
          <t>Балонные ключи</t>
        </is>
      </c>
      <c r="C1435" s="2" t="inlineStr">
        <is>
          <t>Автотовары</t>
        </is>
      </c>
      <c r="D1435" s="2" t="inlineStr">
        <is>
          <t>Автотовары → Автоинструменты → Балонные ключи</t>
        </is>
      </c>
      <c r="E1435" s="3" t="n">
        <v>876637</v>
      </c>
      <c r="F1435" s="3" t="n">
        <v>198</v>
      </c>
      <c r="G1435" s="3">
        <f>IFERROR(E1435/F1435,0)</f>
        <v/>
      </c>
      <c r="H1435" s="3" t="n">
        <v>25</v>
      </c>
      <c r="I1435" s="2" t="n">
        <v>13</v>
      </c>
      <c r="J1435" s="3">
        <f>IFERROR(E1435/H1435,0)</f>
        <v/>
      </c>
      <c r="K1435" s="10">
        <f>E1435/'По разделам'!$B$21</f>
        <v/>
      </c>
      <c r="L1435" s="4">
        <f>L1434+K1435</f>
        <v/>
      </c>
      <c r="M1435" s="2" t="inlineStr">
        <is>
          <t>04326</t>
        </is>
      </c>
      <c r="N1435" s="2" t="inlineStr">
        <is>
          <t>https://app.redstat.kz/niche/04326?event_date=2026-08-01</t>
        </is>
      </c>
      <c r="O1435" s="2" t="inlineStr">
        <is>
          <t>https://kaspi.kz/shop/c/balloon%20keys/</t>
        </is>
      </c>
    </row>
    <row r="1436">
      <c r="A1436" s="2" t="n">
        <v>1435</v>
      </c>
      <c r="B1436" s="2" t="inlineStr">
        <is>
          <t>Канальные нагреватели и охладители</t>
        </is>
      </c>
      <c r="C1436" s="2" t="inlineStr">
        <is>
          <t>Строительство, ремонт</t>
        </is>
      </c>
      <c r="D1436" s="2" t="inlineStr">
        <is>
          <t>Строительство, ремонт → Вентиляция → Канальные нагреватели и охладители</t>
        </is>
      </c>
      <c r="E1436" s="3" t="n">
        <v>868562</v>
      </c>
      <c r="F1436" s="3" t="n">
        <v>7</v>
      </c>
      <c r="G1436" s="3">
        <f>IFERROR(E1436/F1436,0)</f>
        <v/>
      </c>
      <c r="H1436" s="3" t="n">
        <v>7</v>
      </c>
      <c r="I1436" s="2" t="n">
        <v>3</v>
      </c>
      <c r="J1436" s="3">
        <f>IFERROR(E1436/H1436,0)</f>
        <v/>
      </c>
      <c r="K1436" s="10">
        <f>E1436/'По разделам'!$B$21</f>
        <v/>
      </c>
      <c r="L1436" s="4">
        <f>L1435+K1436</f>
        <v/>
      </c>
      <c r="M1436" s="2" t="inlineStr">
        <is>
          <t>02340</t>
        </is>
      </c>
      <c r="N1436" s="2" t="inlineStr">
        <is>
          <t>https://app.redstat.kz/niche/02340?event_date=2026-08-01</t>
        </is>
      </c>
      <c r="O1436" s="2" t="inlineStr">
        <is>
          <t>https://kaspi.kz/shop/c/duct%20heaters%20and%20coolers/</t>
        </is>
      </c>
    </row>
    <row r="1437">
      <c r="A1437" s="2" t="n">
        <v>1436</v>
      </c>
      <c r="B1437" s="2" t="inlineStr">
        <is>
          <t>Розетки</t>
        </is>
      </c>
      <c r="C1437" s="2" t="inlineStr">
        <is>
          <t>Строительство, ремонт</t>
        </is>
      </c>
      <c r="D1437" s="2" t="inlineStr">
        <is>
          <t>Строительство, ремонт → Электрика → Розетки и выключатели → Розетки</t>
        </is>
      </c>
      <c r="E1437" s="3" t="n">
        <v>868169</v>
      </c>
      <c r="F1437" s="3" t="n">
        <v>278</v>
      </c>
      <c r="G1437" s="3">
        <f>IFERROR(E1437/F1437,0)</f>
        <v/>
      </c>
      <c r="H1437" s="3" t="n">
        <v>92</v>
      </c>
      <c r="I1437" s="2" t="n">
        <v>33</v>
      </c>
      <c r="J1437" s="3">
        <f>IFERROR(E1437/H1437,0)</f>
        <v/>
      </c>
      <c r="K1437" s="10">
        <f>E1437/'По разделам'!$B$21</f>
        <v/>
      </c>
      <c r="L1437" s="4">
        <f>L1436+K1437</f>
        <v/>
      </c>
      <c r="M1437" s="2" t="inlineStr">
        <is>
          <t>03382</t>
        </is>
      </c>
      <c r="N1437" s="2" t="inlineStr">
        <is>
          <t>https://app.redstat.kz/niche/03382?event_date=2026-08-01</t>
        </is>
      </c>
      <c r="O1437" s="2" t="inlineStr">
        <is>
          <t>https://kaspi.kz/shop/c/sockets/</t>
        </is>
      </c>
    </row>
    <row r="1438">
      <c r="A1438" s="2" t="n">
        <v>1437</v>
      </c>
      <c r="B1438" s="2" t="inlineStr">
        <is>
          <t>Столешницы для ванной</t>
        </is>
      </c>
      <c r="C1438" s="2" t="inlineStr">
        <is>
          <t>Мебель</t>
        </is>
      </c>
      <c r="D1438" s="2" t="inlineStr">
        <is>
          <t>Мебель → Ванная комната → Столешницы для ванной</t>
        </is>
      </c>
      <c r="E1438" s="3" t="n">
        <v>863694</v>
      </c>
      <c r="F1438" s="3" t="n">
        <v>79</v>
      </c>
      <c r="G1438" s="3">
        <f>IFERROR(E1438/F1438,0)</f>
        <v/>
      </c>
      <c r="H1438" s="3" t="n">
        <v>8</v>
      </c>
      <c r="I1438" s="2" t="n">
        <v>4</v>
      </c>
      <c r="J1438" s="3">
        <f>IFERROR(E1438/H1438,0)</f>
        <v/>
      </c>
      <c r="K1438" s="10">
        <f>E1438/'По разделам'!$B$21</f>
        <v/>
      </c>
      <c r="L1438" s="4">
        <f>L1437+K1438</f>
        <v/>
      </c>
      <c r="M1438" s="2" t="inlineStr">
        <is>
          <t>06903</t>
        </is>
      </c>
      <c r="N1438" s="2" t="inlineStr">
        <is>
          <t>https://app.redstat.kz/niche/06903?event_date=2026-08-01</t>
        </is>
      </c>
      <c r="O1438" s="2" t="inlineStr">
        <is>
          <t>https://kaspi.kz/shop/c/bathroom%20countertops/</t>
        </is>
      </c>
    </row>
    <row r="1439">
      <c r="A1439" s="2" t="n">
        <v>1438</v>
      </c>
      <c r="B1439" s="2" t="inlineStr">
        <is>
          <t>Счетчики монет</t>
        </is>
      </c>
      <c r="C1439" s="2" t="inlineStr">
        <is>
          <t>Компьютеры</t>
        </is>
      </c>
      <c r="D1439" s="2" t="inlineStr">
        <is>
          <t>Компьютеры → Электронное оборудование для торговли → Счетчики монет</t>
        </is>
      </c>
      <c r="E1439" s="3" t="n">
        <v>850995</v>
      </c>
      <c r="F1439" s="3" t="n">
        <v>10</v>
      </c>
      <c r="G1439" s="3">
        <f>IFERROR(E1439/F1439,0)</f>
        <v/>
      </c>
      <c r="H1439" s="3" t="n">
        <v>1</v>
      </c>
      <c r="I1439" s="2" t="n">
        <v>1</v>
      </c>
      <c r="J1439" s="3">
        <f>IFERROR(E1439/H1439,0)</f>
        <v/>
      </c>
      <c r="K1439" s="10">
        <f>E1439/'По разделам'!$B$21</f>
        <v/>
      </c>
      <c r="L1439" s="4">
        <f>L1438+K1439</f>
        <v/>
      </c>
      <c r="M1439" s="2" t="inlineStr">
        <is>
          <t>06381</t>
        </is>
      </c>
      <c r="N1439" s="2" t="inlineStr">
        <is>
          <t>https://app.redstat.kz/niche/06381?event_date=2026-08-01</t>
        </is>
      </c>
      <c r="O1439" s="2" t="inlineStr">
        <is>
          <t>https://kaspi.kz/shop/c/coin%20counters/</t>
        </is>
      </c>
    </row>
    <row r="1440">
      <c r="A1440" s="2" t="n">
        <v>1439</v>
      </c>
      <c r="B1440" s="2" t="inlineStr">
        <is>
          <t>Электробигуди</t>
        </is>
      </c>
      <c r="C1440" s="2" t="inlineStr">
        <is>
          <t>Красота и здоровье</t>
        </is>
      </c>
      <c r="D1440" s="2" t="inlineStr">
        <is>
          <t>Красота и здоровье → Техника и оборудование для красоты → Электробигуди</t>
        </is>
      </c>
      <c r="E1440" s="3" t="n">
        <v>846355</v>
      </c>
      <c r="F1440" s="3" t="n">
        <v>24</v>
      </c>
      <c r="G1440" s="3">
        <f>IFERROR(E1440/F1440,0)</f>
        <v/>
      </c>
      <c r="H1440" s="3" t="n">
        <v>10</v>
      </c>
      <c r="I1440" s="2" t="n">
        <v>5</v>
      </c>
      <c r="J1440" s="3">
        <f>IFERROR(E1440/H1440,0)</f>
        <v/>
      </c>
      <c r="K1440" s="10">
        <f>E1440/'По разделам'!$B$21</f>
        <v/>
      </c>
      <c r="L1440" s="4">
        <f>L1439+K1440</f>
        <v/>
      </c>
      <c r="M1440" s="2" t="inlineStr">
        <is>
          <t>01277</t>
        </is>
      </c>
      <c r="N1440" s="2" t="inlineStr">
        <is>
          <t>https://app.redstat.kz/niche/01277?event_date=2026-08-01</t>
        </is>
      </c>
      <c r="O1440" s="2" t="inlineStr">
        <is>
          <t>https://kaspi.kz/shop/c/hot%20hair%20rollers/</t>
        </is>
      </c>
    </row>
    <row r="1441">
      <c r="A1441" s="2" t="n">
        <v>1440</v>
      </c>
      <c r="B1441" s="2" t="inlineStr">
        <is>
          <t>Штопоры и открывалки для бутылок</t>
        </is>
      </c>
      <c r="C1441" s="2" t="inlineStr">
        <is>
          <t>Товары для дома и дачи</t>
        </is>
      </c>
      <c r="D1441" s="2" t="inlineStr">
        <is>
          <t>Товары для дома и дачи → Посуда и принадлежности → Барные принадлежности → Штопоры и открывалки для бутылок</t>
        </is>
      </c>
      <c r="E1441" s="3" t="n">
        <v>842008</v>
      </c>
      <c r="F1441" s="3" t="n">
        <v>176</v>
      </c>
      <c r="G1441" s="3">
        <f>IFERROR(E1441/F1441,0)</f>
        <v/>
      </c>
      <c r="H1441" s="3" t="n">
        <v>90</v>
      </c>
      <c r="I1441" s="2" t="n">
        <v>39</v>
      </c>
      <c r="J1441" s="3">
        <f>IFERROR(E1441/H1441,0)</f>
        <v/>
      </c>
      <c r="K1441" s="10">
        <f>E1441/'По разделам'!$B$21</f>
        <v/>
      </c>
      <c r="L1441" s="4">
        <f>L1440+K1441</f>
        <v/>
      </c>
      <c r="M1441" s="2" t="inlineStr">
        <is>
          <t>01551</t>
        </is>
      </c>
      <c r="N1441" s="2" t="inlineStr">
        <is>
          <t>https://app.redstat.kz/niche/01551?event_date=2026-08-01</t>
        </is>
      </c>
      <c r="O1441" s="2" t="inlineStr">
        <is>
          <t>https://kaspi.kz/shop/c/corkscrews%20and%20bottle%20openers/</t>
        </is>
      </c>
    </row>
    <row r="1442">
      <c r="A1442" s="2" t="n">
        <v>1441</v>
      </c>
      <c r="B1442" s="2" t="inlineStr">
        <is>
          <t>Винты и болты</t>
        </is>
      </c>
      <c r="C1442" s="2" t="inlineStr">
        <is>
          <t>Строительство, ремонт</t>
        </is>
      </c>
      <c r="D1442" s="2" t="inlineStr">
        <is>
          <t>Строительство, ремонт → Строительный крепеж → Винты и болты</t>
        </is>
      </c>
      <c r="E1442" s="3" t="n">
        <v>841506</v>
      </c>
      <c r="F1442" s="3" t="n">
        <v>647</v>
      </c>
      <c r="G1442" s="3">
        <f>IFERROR(E1442/F1442,0)</f>
        <v/>
      </c>
      <c r="H1442" s="3" t="n">
        <v>116</v>
      </c>
      <c r="I1442" s="2" t="n">
        <v>9</v>
      </c>
      <c r="J1442" s="3">
        <f>IFERROR(E1442/H1442,0)</f>
        <v/>
      </c>
      <c r="K1442" s="10">
        <f>E1442/'По разделам'!$B$21</f>
        <v/>
      </c>
      <c r="L1442" s="4">
        <f>L1441+K1442</f>
        <v/>
      </c>
      <c r="M1442" s="2" t="inlineStr">
        <is>
          <t>06229</t>
        </is>
      </c>
      <c r="N1442" s="2" t="inlineStr">
        <is>
          <t>https://app.redstat.kz/niche/06229?event_date=2026-08-01</t>
        </is>
      </c>
      <c r="O1442" s="2" t="inlineStr">
        <is>
          <t>https://kaspi.kz/shop/c/screws%20and%20bolts/</t>
        </is>
      </c>
    </row>
    <row r="1443">
      <c r="A1443" s="2" t="n">
        <v>1442</v>
      </c>
      <c r="B1443" s="2" t="inlineStr">
        <is>
          <t>Поворотные столы для 3D съемки</t>
        </is>
      </c>
      <c r="C1443" s="2" t="inlineStr">
        <is>
          <t>ТВ, Аудио, Видео</t>
        </is>
      </c>
      <c r="D1443" s="2" t="inlineStr">
        <is>
          <t>ТВ, Аудио, Видео → Фото- и видеокамеры → Поворотные столы для 3D съемки</t>
        </is>
      </c>
      <c r="E1443" s="3" t="n">
        <v>841415</v>
      </c>
      <c r="F1443" s="3" t="n">
        <v>47</v>
      </c>
      <c r="G1443" s="3">
        <f>IFERROR(E1443/F1443,0)</f>
        <v/>
      </c>
      <c r="H1443" s="3" t="n">
        <v>14</v>
      </c>
      <c r="I1443" s="2" t="n">
        <v>4</v>
      </c>
      <c r="J1443" s="3">
        <f>IFERROR(E1443/H1443,0)</f>
        <v/>
      </c>
      <c r="K1443" s="10">
        <f>E1443/'По разделам'!$B$21</f>
        <v/>
      </c>
      <c r="L1443" s="4">
        <f>L1442+K1443</f>
        <v/>
      </c>
      <c r="M1443" s="2" t="inlineStr">
        <is>
          <t>03942</t>
        </is>
      </c>
      <c r="N1443" s="2" t="inlineStr">
        <is>
          <t>https://app.redstat.kz/niche/03942?event_date=2026-08-01</t>
        </is>
      </c>
      <c r="O1443" s="2" t="inlineStr">
        <is>
          <t>https://kaspi.kz/shop/c/rotary%20tables%20for%203d%20shooting/</t>
        </is>
      </c>
    </row>
    <row r="1444">
      <c r="A1444" s="2" t="n">
        <v>1443</v>
      </c>
      <c r="B1444" s="2" t="inlineStr">
        <is>
          <t>Кляймеры</t>
        </is>
      </c>
      <c r="C1444" s="2" t="inlineStr">
        <is>
          <t>Строительство, ремонт</t>
        </is>
      </c>
      <c r="D1444" s="2" t="inlineStr">
        <is>
          <t>Строительство, ремонт → Строительный крепеж → Кляймеры</t>
        </is>
      </c>
      <c r="E1444" s="3" t="n">
        <v>838938</v>
      </c>
      <c r="F1444" s="3" t="n">
        <v>48</v>
      </c>
      <c r="G1444" s="3">
        <f>IFERROR(E1444/F1444,0)</f>
        <v/>
      </c>
      <c r="H1444" s="3" t="n">
        <v>15</v>
      </c>
      <c r="I1444" s="2" t="n">
        <v>7</v>
      </c>
      <c r="J1444" s="3">
        <f>IFERROR(E1444/H1444,0)</f>
        <v/>
      </c>
      <c r="K1444" s="10">
        <f>E1444/'По разделам'!$B$21</f>
        <v/>
      </c>
      <c r="L1444" s="4">
        <f>L1443+K1444</f>
        <v/>
      </c>
      <c r="M1444" s="2" t="inlineStr">
        <is>
          <t>06281</t>
        </is>
      </c>
      <c r="N1444" s="2" t="inlineStr">
        <is>
          <t>https://app.redstat.kz/niche/06281?event_date=2026-08-01</t>
        </is>
      </c>
      <c r="O1444" s="2" t="inlineStr">
        <is>
          <t>https://kaspi.kz/shop/c/kleimers/</t>
        </is>
      </c>
    </row>
    <row r="1445">
      <c r="A1445" s="2" t="n">
        <v>1444</v>
      </c>
      <c r="B1445" s="2" t="inlineStr">
        <is>
          <t>Аксессуары для телескопов</t>
        </is>
      </c>
      <c r="C1445" s="2" t="inlineStr">
        <is>
          <t>Досуг, книги</t>
        </is>
      </c>
      <c r="D1445" s="2" t="inlineStr">
        <is>
          <t>Досуг, книги → Оптические приборы → Аксессуары для телескопов → Аксессуары для телескопов</t>
        </is>
      </c>
      <c r="E1445" s="3" t="n">
        <v>836475</v>
      </c>
      <c r="F1445" s="3" t="n">
        <v>31</v>
      </c>
      <c r="G1445" s="3">
        <f>IFERROR(E1445/F1445,0)</f>
        <v/>
      </c>
      <c r="H1445" s="3" t="n">
        <v>22</v>
      </c>
      <c r="I1445" s="2" t="n">
        <v>6</v>
      </c>
      <c r="J1445" s="3">
        <f>IFERROR(E1445/H1445,0)</f>
        <v/>
      </c>
      <c r="K1445" s="10">
        <f>E1445/'По разделам'!$B$21</f>
        <v/>
      </c>
      <c r="L1445" s="4">
        <f>L1444+K1445</f>
        <v/>
      </c>
      <c r="M1445" s="2" t="inlineStr">
        <is>
          <t>q3d03ef851dc71aa</t>
        </is>
      </c>
      <c r="N1445" s="2" t="inlineStr">
        <is>
          <t>https://app.redstat.kz/niche/q3d03ef851dc71aa?event_date=2026-08-01</t>
        </is>
      </c>
      <c r="O1445" s="2" t="inlineStr"/>
    </row>
    <row r="1446">
      <c r="A1446" s="2" t="n">
        <v>1445</v>
      </c>
      <c r="B1446" s="2" t="inlineStr">
        <is>
          <t>Запчасти для снегоходов</t>
        </is>
      </c>
      <c r="C1446" s="2" t="inlineStr">
        <is>
          <t>Автотовары</t>
        </is>
      </c>
      <c r="D1446" s="2" t="inlineStr">
        <is>
          <t>Автотовары → Спецтехника → Запчасти для снегоходов → Запчасти для снегоходов</t>
        </is>
      </c>
      <c r="E1446" s="3" t="n">
        <v>821100</v>
      </c>
      <c r="F1446" s="3" t="n">
        <v>9</v>
      </c>
      <c r="G1446" s="3">
        <f>IFERROR(E1446/F1446,0)</f>
        <v/>
      </c>
      <c r="H1446" s="3" t="n">
        <v>9</v>
      </c>
      <c r="I1446" s="2" t="n">
        <v>2</v>
      </c>
      <c r="J1446" s="3">
        <f>IFERROR(E1446/H1446,0)</f>
        <v/>
      </c>
      <c r="K1446" s="10">
        <f>E1446/'По разделам'!$B$21</f>
        <v/>
      </c>
      <c r="L1446" s="4">
        <f>L1445+K1446</f>
        <v/>
      </c>
      <c r="M1446" s="2" t="inlineStr">
        <is>
          <t>qdd8420fa36e6af9</t>
        </is>
      </c>
      <c r="N1446" s="2" t="inlineStr">
        <is>
          <t>https://app.redstat.kz/niche/qdd8420fa36e6af9?event_date=2026-08-01</t>
        </is>
      </c>
      <c r="O1446" s="2" t="inlineStr"/>
    </row>
    <row r="1447">
      <c r="A1447" s="2" t="n">
        <v>1446</v>
      </c>
      <c r="B1447" s="2" t="inlineStr">
        <is>
          <t>Чехлы для беспроводных меток</t>
        </is>
      </c>
      <c r="C1447" s="2" t="inlineStr">
        <is>
          <t>Телефоны и гаджеты</t>
        </is>
      </c>
      <c r="D1447" s="2" t="inlineStr">
        <is>
          <t>Телефоны и гаджеты → Гаджеты → Чехлы для беспроводных меток</t>
        </is>
      </c>
      <c r="E1447" s="3" t="n">
        <v>821032</v>
      </c>
      <c r="F1447" s="3" t="n">
        <v>239</v>
      </c>
      <c r="G1447" s="3">
        <f>IFERROR(E1447/F1447,0)</f>
        <v/>
      </c>
      <c r="H1447" s="3" t="n">
        <v>57</v>
      </c>
      <c r="I1447" s="2" t="n">
        <v>5</v>
      </c>
      <c r="J1447" s="3">
        <f>IFERROR(E1447/H1447,0)</f>
        <v/>
      </c>
      <c r="K1447" s="10">
        <f>E1447/'По разделам'!$B$21</f>
        <v/>
      </c>
      <c r="L1447" s="4">
        <f>L1446+K1447</f>
        <v/>
      </c>
      <c r="M1447" s="2" t="inlineStr">
        <is>
          <t>09337</t>
        </is>
      </c>
      <c r="N1447" s="2" t="inlineStr">
        <is>
          <t>https://app.redstat.kz/niche/09337?event_date=2026-08-01</t>
        </is>
      </c>
      <c r="O1447" s="2" t="inlineStr">
        <is>
          <t>https://kaspi.kz/shop/search/?text=%D0%A7%D0%B5%D1%85%D0%BB%D1%8B%20%D0%B4%D0%BB%D1%8F%20%D0%B1%D0%B5%D1%81%D0%BF%D1%80%D0%BE%D0%B2%D0%BE%D0%B4%D0%BD%D1%8B%D1%85%20%D0%BC%D0%B5%D1%82%D0%BE%D0%BA</t>
        </is>
      </c>
    </row>
    <row r="1448">
      <c r="A1448" s="2" t="n">
        <v>1447</v>
      </c>
      <c r="B1448" s="2" t="inlineStr">
        <is>
          <t>Намордники для животных</t>
        </is>
      </c>
      <c r="C1448" s="2" t="inlineStr">
        <is>
          <t>Товары для животных</t>
        </is>
      </c>
      <c r="D1448" s="2" t="inlineStr">
        <is>
          <t>Товары для животных → Аксессуары для животных → Намордники для животных</t>
        </is>
      </c>
      <c r="E1448" s="3" t="n">
        <v>810305</v>
      </c>
      <c r="F1448" s="3" t="n">
        <v>197</v>
      </c>
      <c r="G1448" s="3">
        <f>IFERROR(E1448/F1448,0)</f>
        <v/>
      </c>
      <c r="H1448" s="3" t="n">
        <v>55</v>
      </c>
      <c r="I1448" s="2" t="n">
        <v>14</v>
      </c>
      <c r="J1448" s="3">
        <f>IFERROR(E1448/H1448,0)</f>
        <v/>
      </c>
      <c r="K1448" s="10">
        <f>E1448/'По разделам'!$B$21</f>
        <v/>
      </c>
      <c r="L1448" s="4">
        <f>L1447+K1448</f>
        <v/>
      </c>
      <c r="M1448" s="2" t="inlineStr">
        <is>
          <t>01666</t>
        </is>
      </c>
      <c r="N1448" s="2" t="inlineStr">
        <is>
          <t>https://app.redstat.kz/niche/01666?event_date=2026-08-01</t>
        </is>
      </c>
      <c r="O1448" s="2" t="inlineStr">
        <is>
          <t>https://kaspi.kz/shop/c/dog%20muzzles/</t>
        </is>
      </c>
    </row>
    <row r="1449">
      <c r="A1449" s="2" t="n">
        <v>1448</v>
      </c>
      <c r="B1449" s="2" t="inlineStr">
        <is>
          <t>Дополнительное оборудование для смартфонов</t>
        </is>
      </c>
      <c r="C1449" s="2" t="inlineStr">
        <is>
          <t>Телефоны и гаджеты</t>
        </is>
      </c>
      <c r="D1449" s="2" t="inlineStr">
        <is>
          <t>Телефоны и гаджеты → Аксессуары для телефонов → Дополнительное оборудование для смартфонов</t>
        </is>
      </c>
      <c r="E1449" s="3" t="n">
        <v>803852</v>
      </c>
      <c r="F1449" s="3" t="n">
        <v>151</v>
      </c>
      <c r="G1449" s="3">
        <f>IFERROR(E1449/F1449,0)</f>
        <v/>
      </c>
      <c r="H1449" s="3" t="n">
        <v>25</v>
      </c>
      <c r="I1449" s="2" t="n">
        <v>3</v>
      </c>
      <c r="J1449" s="3">
        <f>IFERROR(E1449/H1449,0)</f>
        <v/>
      </c>
      <c r="K1449" s="10">
        <f>E1449/'По разделам'!$B$21</f>
        <v/>
      </c>
      <c r="L1449" s="4">
        <f>L1448+K1449</f>
        <v/>
      </c>
      <c r="M1449" s="2" t="inlineStr">
        <is>
          <t>09004</t>
        </is>
      </c>
      <c r="N1449" s="2" t="inlineStr">
        <is>
          <t>https://app.redstat.kz/niche/09004?event_date=2026-08-01</t>
        </is>
      </c>
      <c r="O1449" s="2" t="inlineStr">
        <is>
          <t>https://kaspi.kz/shop/c/additional%20equipment%20for%20smartphones/</t>
        </is>
      </c>
    </row>
    <row r="1450">
      <c r="A1450" s="2" t="n">
        <v>1449</v>
      </c>
      <c r="B1450" s="2" t="inlineStr">
        <is>
          <t>Тротуарная плитка, брусчатка, геотекстиль</t>
        </is>
      </c>
      <c r="C1450" s="2" t="inlineStr">
        <is>
          <t>Строительство, ремонт</t>
        </is>
      </c>
      <c r="D1450" s="2" t="inlineStr">
        <is>
          <t>Строительство, ремонт → Кровля, фасад, ворота → Тротуарная плитка, брусчатка, геотекстиль → Тротуарная плитка, брусчатка, геотекстиль</t>
        </is>
      </c>
      <c r="E1450" s="3" t="n">
        <v>800000</v>
      </c>
      <c r="F1450" s="3" t="n">
        <v>1</v>
      </c>
      <c r="G1450" s="3">
        <f>IFERROR(E1450/F1450,0)</f>
        <v/>
      </c>
      <c r="H1450" s="3" t="n">
        <v>1</v>
      </c>
      <c r="I1450" s="2" t="n">
        <v>0</v>
      </c>
      <c r="J1450" s="3">
        <f>IFERROR(E1450/H1450,0)</f>
        <v/>
      </c>
      <c r="K1450" s="10">
        <f>E1450/'По разделам'!$B$21</f>
        <v/>
      </c>
      <c r="L1450" s="4">
        <f>L1449+K1450</f>
        <v/>
      </c>
      <c r="M1450" s="2" t="inlineStr">
        <is>
          <t>q55d156f779df108</t>
        </is>
      </c>
      <c r="N1450" s="2" t="inlineStr">
        <is>
          <t>https://app.redstat.kz/niche/q55d156f779df108?event_date=2026-08-01</t>
        </is>
      </c>
      <c r="O1450" s="2" t="inlineStr"/>
    </row>
    <row r="1451">
      <c r="A1451" s="2" t="n">
        <v>1450</v>
      </c>
      <c r="B1451" s="2" t="inlineStr">
        <is>
          <t>FM-трансмиттеры</t>
        </is>
      </c>
      <c r="C1451" s="2" t="inlineStr">
        <is>
          <t>Автотовары</t>
        </is>
      </c>
      <c r="D1451" s="2" t="inlineStr">
        <is>
          <t>Автотовары → Автоакустика → FM-трансмиттеры</t>
        </is>
      </c>
      <c r="E1451" s="3" t="n">
        <v>787947</v>
      </c>
      <c r="F1451" s="3" t="n">
        <v>219</v>
      </c>
      <c r="G1451" s="3">
        <f>IFERROR(E1451/F1451,0)</f>
        <v/>
      </c>
      <c r="H1451" s="3" t="n">
        <v>36</v>
      </c>
      <c r="I1451" s="2" t="n">
        <v>13</v>
      </c>
      <c r="J1451" s="3">
        <f>IFERROR(E1451/H1451,0)</f>
        <v/>
      </c>
      <c r="K1451" s="10">
        <f>E1451/'По разделам'!$B$21</f>
        <v/>
      </c>
      <c r="L1451" s="4">
        <f>L1450+K1451</f>
        <v/>
      </c>
      <c r="M1451" s="2" t="inlineStr">
        <is>
          <t>01245</t>
        </is>
      </c>
      <c r="N1451" s="2" t="inlineStr">
        <is>
          <t>https://app.redstat.kz/niche/01245?event_date=2026-08-01</t>
        </is>
      </c>
      <c r="O1451" s="2" t="inlineStr">
        <is>
          <t>https://kaspi.kz/shop/c/fm-transmitters/</t>
        </is>
      </c>
    </row>
    <row r="1452">
      <c r="A1452" s="2" t="n">
        <v>1451</v>
      </c>
      <c r="B1452" s="2" t="inlineStr">
        <is>
          <t>Декорации для аквариумов и террариумов</t>
        </is>
      </c>
      <c r="C1452" s="2" t="inlineStr">
        <is>
          <t>Товары для животных</t>
        </is>
      </c>
      <c r="D1452" s="2" t="inlineStr">
        <is>
          <t>Товары для животных → Для рыб и рептилий → Декорации для аквариумов и террариумов</t>
        </is>
      </c>
      <c r="E1452" s="3" t="n">
        <v>780173</v>
      </c>
      <c r="F1452" s="3" t="n">
        <v>282</v>
      </c>
      <c r="G1452" s="3">
        <f>IFERROR(E1452/F1452,0)</f>
        <v/>
      </c>
      <c r="H1452" s="3" t="n">
        <v>97</v>
      </c>
      <c r="I1452" s="2" t="n">
        <v>22</v>
      </c>
      <c r="J1452" s="3">
        <f>IFERROR(E1452/H1452,0)</f>
        <v/>
      </c>
      <c r="K1452" s="10">
        <f>E1452/'По разделам'!$B$21</f>
        <v/>
      </c>
      <c r="L1452" s="4">
        <f>L1451+K1452</f>
        <v/>
      </c>
      <c r="M1452" s="2" t="inlineStr">
        <is>
          <t>04781</t>
        </is>
      </c>
      <c r="N1452" s="2" t="inlineStr">
        <is>
          <t>https://app.redstat.kz/niche/04781?event_date=2026-08-01</t>
        </is>
      </c>
      <c r="O1452" s="2" t="inlineStr">
        <is>
          <t>https://kaspi.kz/shop/c/decor%20for%20aquariums%20and%20terrariums/</t>
        </is>
      </c>
    </row>
    <row r="1453">
      <c r="A1453" s="2" t="n">
        <v>1452</v>
      </c>
      <c r="B1453" s="2" t="inlineStr">
        <is>
          <t>Медиаконвертеры</t>
        </is>
      </c>
      <c r="C1453" s="2" t="inlineStr">
        <is>
          <t>Компьютеры</t>
        </is>
      </c>
      <c r="D1453" s="2" t="inlineStr">
        <is>
          <t>Компьютеры → Сетевое оборудование → Медиаконвертеры</t>
        </is>
      </c>
      <c r="E1453" s="3" t="n">
        <v>779057</v>
      </c>
      <c r="F1453" s="3" t="n">
        <v>51</v>
      </c>
      <c r="G1453" s="3">
        <f>IFERROR(E1453/F1453,0)</f>
        <v/>
      </c>
      <c r="H1453" s="3" t="n">
        <v>14</v>
      </c>
      <c r="I1453" s="2" t="n">
        <v>5</v>
      </c>
      <c r="J1453" s="3">
        <f>IFERROR(E1453/H1453,0)</f>
        <v/>
      </c>
      <c r="K1453" s="10">
        <f>E1453/'По разделам'!$B$21</f>
        <v/>
      </c>
      <c r="L1453" s="4">
        <f>L1452+K1453</f>
        <v/>
      </c>
      <c r="M1453" s="2" t="inlineStr">
        <is>
          <t>03919</t>
        </is>
      </c>
      <c r="N1453" s="2" t="inlineStr">
        <is>
          <t>https://app.redstat.kz/niche/03919?event_date=2026-08-01</t>
        </is>
      </c>
      <c r="O1453" s="2" t="inlineStr">
        <is>
          <t>https://kaspi.kz/shop/c/media%20converters/</t>
        </is>
      </c>
    </row>
    <row r="1454">
      <c r="A1454" s="2" t="n">
        <v>1453</v>
      </c>
      <c r="B1454" s="2" t="inlineStr">
        <is>
          <t>Автокомпрессоры</t>
        </is>
      </c>
      <c r="C1454" s="2" t="inlineStr">
        <is>
          <t>Автотовары</t>
        </is>
      </c>
      <c r="D1454" s="2" t="inlineStr">
        <is>
          <t>Автотовары → Автомобильное оборудование → Аварийное оборудование → Автокомпрессоры</t>
        </is>
      </c>
      <c r="E1454" s="3" t="n">
        <v>778974</v>
      </c>
      <c r="F1454" s="3" t="n">
        <v>50</v>
      </c>
      <c r="G1454" s="3">
        <f>IFERROR(E1454/F1454,0)</f>
        <v/>
      </c>
      <c r="H1454" s="3" t="n">
        <v>28</v>
      </c>
      <c r="I1454" s="2" t="n">
        <v>17</v>
      </c>
      <c r="J1454" s="3">
        <f>IFERROR(E1454/H1454,0)</f>
        <v/>
      </c>
      <c r="K1454" s="10">
        <f>E1454/'По разделам'!$B$21</f>
        <v/>
      </c>
      <c r="L1454" s="4">
        <f>L1453+K1454</f>
        <v/>
      </c>
      <c r="M1454" s="2" t="inlineStr">
        <is>
          <t>01295</t>
        </is>
      </c>
      <c r="N1454" s="2" t="inlineStr">
        <is>
          <t>https://app.redstat.kz/niche/01295?event_date=2026-08-01</t>
        </is>
      </c>
      <c r="O1454" s="2" t="inlineStr">
        <is>
          <t>https://kaspi.kz/shop/c/car%20air%20compressors/</t>
        </is>
      </c>
    </row>
    <row r="1455">
      <c r="A1455" s="2" t="n">
        <v>1454</v>
      </c>
      <c r="B1455" s="2" t="inlineStr">
        <is>
          <t>Аксессуары для солярия</t>
        </is>
      </c>
      <c r="C1455" s="2" t="inlineStr">
        <is>
          <t>Красота и здоровье</t>
        </is>
      </c>
      <c r="D1455" s="2" t="inlineStr">
        <is>
          <t>Красота и здоровье → Аксессуары для красоты → Аксессуары для солярия</t>
        </is>
      </c>
      <c r="E1455" s="3" t="n">
        <v>767816</v>
      </c>
      <c r="F1455" s="3" t="n">
        <v>289</v>
      </c>
      <c r="G1455" s="3">
        <f>IFERROR(E1455/F1455,0)</f>
        <v/>
      </c>
      <c r="H1455" s="3" t="n">
        <v>35</v>
      </c>
      <c r="I1455" s="2" t="n">
        <v>4</v>
      </c>
      <c r="J1455" s="3">
        <f>IFERROR(E1455/H1455,0)</f>
        <v/>
      </c>
      <c r="K1455" s="10">
        <f>E1455/'По разделам'!$B$21</f>
        <v/>
      </c>
      <c r="L1455" s="4">
        <f>L1454+K1455</f>
        <v/>
      </c>
      <c r="M1455" s="2" t="inlineStr">
        <is>
          <t>06415</t>
        </is>
      </c>
      <c r="N1455" s="2" t="inlineStr">
        <is>
          <t>https://app.redstat.kz/niche/06415?event_date=2026-08-01</t>
        </is>
      </c>
      <c r="O1455" s="2" t="inlineStr">
        <is>
          <t>https://kaspi.kz/shop/c/solarium%20accessories/</t>
        </is>
      </c>
    </row>
    <row r="1456">
      <c r="A1456" s="2" t="n">
        <v>1455</v>
      </c>
      <c r="B1456" s="2" t="inlineStr">
        <is>
          <t>Чипы и сканеры для животных</t>
        </is>
      </c>
      <c r="C1456" s="2" t="inlineStr">
        <is>
          <t>Товары для животных</t>
        </is>
      </c>
      <c r="D1456" s="2" t="inlineStr">
        <is>
          <t>Товары для животных → Ветаптека → Чипы и сканеры для животных</t>
        </is>
      </c>
      <c r="E1456" s="3" t="n">
        <v>766593</v>
      </c>
      <c r="F1456" s="3" t="n">
        <v>67</v>
      </c>
      <c r="G1456" s="3">
        <f>IFERROR(E1456/F1456,0)</f>
        <v/>
      </c>
      <c r="H1456" s="3" t="n">
        <v>7</v>
      </c>
      <c r="I1456" s="2" t="n">
        <v>4</v>
      </c>
      <c r="J1456" s="3">
        <f>IFERROR(E1456/H1456,0)</f>
        <v/>
      </c>
      <c r="K1456" s="10">
        <f>E1456/'По разделам'!$B$21</f>
        <v/>
      </c>
      <c r="L1456" s="4">
        <f>L1455+K1456</f>
        <v/>
      </c>
      <c r="M1456" s="2" t="inlineStr">
        <is>
          <t>03706</t>
        </is>
      </c>
      <c r="N1456" s="2" t="inlineStr">
        <is>
          <t>https://app.redstat.kz/niche/03706?event_date=2026-08-01</t>
        </is>
      </c>
      <c r="O1456" s="2" t="inlineStr">
        <is>
          <t>https://kaspi.kz/shop/c/chips%20and%20scanners%20for%20animals/</t>
        </is>
      </c>
    </row>
    <row r="1457">
      <c r="A1457" s="2" t="n">
        <v>1456</v>
      </c>
      <c r="B1457" s="2" t="inlineStr">
        <is>
          <t>Тормозные колодки</t>
        </is>
      </c>
      <c r="C1457" s="2" t="inlineStr">
        <is>
          <t>Автотовары</t>
        </is>
      </c>
      <c r="D1457" s="2" t="inlineStr">
        <is>
          <t>Автотовары → Автозапчасти → Тормозная система → Тормозные колодки</t>
        </is>
      </c>
      <c r="E1457" s="3" t="n">
        <v>764676</v>
      </c>
      <c r="F1457" s="3" t="n">
        <v>39</v>
      </c>
      <c r="G1457" s="3">
        <f>IFERROR(E1457/F1457,0)</f>
        <v/>
      </c>
      <c r="H1457" s="3" t="n">
        <v>27</v>
      </c>
      <c r="I1457" s="2" t="n">
        <v>19</v>
      </c>
      <c r="J1457" s="3">
        <f>IFERROR(E1457/H1457,0)</f>
        <v/>
      </c>
      <c r="K1457" s="10">
        <f>E1457/'По разделам'!$B$21</f>
        <v/>
      </c>
      <c r="L1457" s="4">
        <f>L1456+K1457</f>
        <v/>
      </c>
      <c r="M1457" s="2" t="inlineStr">
        <is>
          <t>03783</t>
        </is>
      </c>
      <c r="N1457" s="2" t="inlineStr">
        <is>
          <t>https://app.redstat.kz/niche/03783?event_date=2026-08-01</t>
        </is>
      </c>
      <c r="O1457" s="2" t="inlineStr">
        <is>
          <t>https://kaspi.kz/shop/c/brake%20pads/</t>
        </is>
      </c>
    </row>
    <row r="1458">
      <c r="A1458" s="2" t="n">
        <v>1457</v>
      </c>
      <c r="B1458" s="2" t="inlineStr">
        <is>
          <t>Запчасти и комплектующие для зажигалок</t>
        </is>
      </c>
      <c r="C1458" s="2" t="inlineStr">
        <is>
          <t>Товары для дома и дачи</t>
        </is>
      </c>
      <c r="D1458" s="2" t="inlineStr">
        <is>
          <t>Товары для дома и дачи → Хозяйственные товары → Запчасти и комплектующие для зажигалок</t>
        </is>
      </c>
      <c r="E1458" s="3" t="n">
        <v>761986</v>
      </c>
      <c r="F1458" s="3" t="n">
        <v>156</v>
      </c>
      <c r="G1458" s="3">
        <f>IFERROR(E1458/F1458,0)</f>
        <v/>
      </c>
      <c r="H1458" s="3" t="n">
        <v>20</v>
      </c>
      <c r="I1458" s="2" t="n">
        <v>7</v>
      </c>
      <c r="J1458" s="3">
        <f>IFERROR(E1458/H1458,0)</f>
        <v/>
      </c>
      <c r="K1458" s="10">
        <f>E1458/'По разделам'!$B$21</f>
        <v/>
      </c>
      <c r="L1458" s="4">
        <f>L1457+K1458</f>
        <v/>
      </c>
      <c r="M1458" s="2" t="inlineStr">
        <is>
          <t>06762</t>
        </is>
      </c>
      <c r="N1458" s="2" t="inlineStr">
        <is>
          <t>https://app.redstat.kz/niche/06762?event_date=2026-08-01</t>
        </is>
      </c>
      <c r="O1458" s="2" t="inlineStr">
        <is>
          <t>https://kaspi.kz/shop/c/spare%20parts%20and%20accessories%20for%20lighters/</t>
        </is>
      </c>
    </row>
    <row r="1459">
      <c r="A1459" s="2" t="n">
        <v>1458</v>
      </c>
      <c r="B1459" s="2" t="inlineStr">
        <is>
          <t>Одежда для верховой езды</t>
        </is>
      </c>
      <c r="C1459" s="2" t="inlineStr">
        <is>
          <t>Спорт, туризм</t>
        </is>
      </c>
      <c r="D1459" s="2" t="inlineStr">
        <is>
          <t>Спорт, туризм → Конный спорт → Одежда для верховой езды</t>
        </is>
      </c>
      <c r="E1459" s="3" t="n">
        <v>757567</v>
      </c>
      <c r="F1459" s="3" t="n">
        <v>44</v>
      </c>
      <c r="G1459" s="3">
        <f>IFERROR(E1459/F1459,0)</f>
        <v/>
      </c>
      <c r="H1459" s="3" t="n">
        <v>22</v>
      </c>
      <c r="I1459" s="2" t="n">
        <v>4</v>
      </c>
      <c r="J1459" s="3">
        <f>IFERROR(E1459/H1459,0)</f>
        <v/>
      </c>
      <c r="K1459" s="10">
        <f>E1459/'По разделам'!$B$21</f>
        <v/>
      </c>
      <c r="L1459" s="4">
        <f>L1458+K1459</f>
        <v/>
      </c>
      <c r="M1459" s="2" t="inlineStr">
        <is>
          <t>06851</t>
        </is>
      </c>
      <c r="N1459" s="2" t="inlineStr">
        <is>
          <t>https://app.redstat.kz/niche/06851?event_date=2026-08-01</t>
        </is>
      </c>
      <c r="O1459" s="2" t="inlineStr">
        <is>
          <t>https://kaspi.kz/shop/c/riding%20clothes/</t>
        </is>
      </c>
    </row>
    <row r="1460">
      <c r="A1460" s="2" t="n">
        <v>1459</v>
      </c>
      <c r="B1460" s="2" t="inlineStr">
        <is>
          <t>Скакалки для художественной гимнастики</t>
        </is>
      </c>
      <c r="C1460" s="2" t="inlineStr">
        <is>
          <t>Спорт, туризм</t>
        </is>
      </c>
      <c r="D1460" s="2" t="inlineStr">
        <is>
          <t>Спорт, туризм → Художественная гимнастика и танцы → Скакалки для художественной гимнастики</t>
        </is>
      </c>
      <c r="E1460" s="3" t="n">
        <v>754344</v>
      </c>
      <c r="F1460" s="3" t="n">
        <v>230</v>
      </c>
      <c r="G1460" s="3">
        <f>IFERROR(E1460/F1460,0)</f>
        <v/>
      </c>
      <c r="H1460" s="3" t="n">
        <v>52</v>
      </c>
      <c r="I1460" s="2" t="n">
        <v>10</v>
      </c>
      <c r="J1460" s="3">
        <f>IFERROR(E1460/H1460,0)</f>
        <v/>
      </c>
      <c r="K1460" s="10">
        <f>E1460/'По разделам'!$B$21</f>
        <v/>
      </c>
      <c r="L1460" s="4">
        <f>L1459+K1460</f>
        <v/>
      </c>
      <c r="M1460" s="2" t="inlineStr">
        <is>
          <t>04399</t>
        </is>
      </c>
      <c r="N1460" s="2" t="inlineStr">
        <is>
          <t>https://app.redstat.kz/niche/04399?event_date=2026-08-01</t>
        </is>
      </c>
      <c r="O1460" s="2" t="inlineStr">
        <is>
          <t>https://kaspi.kz/shop/c/ropes%20for%20rhythmic%20gymnastics/</t>
        </is>
      </c>
    </row>
    <row r="1461">
      <c r="A1461" s="2" t="n">
        <v>1460</v>
      </c>
      <c r="B1461" s="2" t="inlineStr">
        <is>
          <t>Пиджаки для мальчиков</t>
        </is>
      </c>
      <c r="C1461" s="2" t="inlineStr">
        <is>
          <t>Одежда</t>
        </is>
      </c>
      <c r="D1461" s="2" t="inlineStr">
        <is>
          <t>Одежда → Мальчикам → Пиджаки для мальчиков</t>
        </is>
      </c>
      <c r="E1461" s="3" t="n">
        <v>754245</v>
      </c>
      <c r="F1461" s="3" t="n">
        <v>35</v>
      </c>
      <c r="G1461" s="3">
        <f>IFERROR(E1461/F1461,0)</f>
        <v/>
      </c>
      <c r="H1461" s="3" t="n">
        <v>18</v>
      </c>
      <c r="I1461" s="2" t="n">
        <v>4</v>
      </c>
      <c r="J1461" s="3">
        <f>IFERROR(E1461/H1461,0)</f>
        <v/>
      </c>
      <c r="K1461" s="10">
        <f>E1461/'По разделам'!$B$21</f>
        <v/>
      </c>
      <c r="L1461" s="4">
        <f>L1460+K1461</f>
        <v/>
      </c>
      <c r="M1461" s="2" t="inlineStr">
        <is>
          <t>06525</t>
        </is>
      </c>
      <c r="N1461" s="2" t="inlineStr">
        <is>
          <t>https://app.redstat.kz/niche/06525?event_date=2026-08-01</t>
        </is>
      </c>
      <c r="O1461" s="2" t="inlineStr">
        <is>
          <t>https://kaspi.kz/shop/c/boy%20blazers/</t>
        </is>
      </c>
    </row>
    <row r="1462">
      <c r="A1462" s="2" t="n">
        <v>1461</v>
      </c>
      <c r="B1462" s="2" t="inlineStr">
        <is>
          <t>Доски для кайтсерфинга</t>
        </is>
      </c>
      <c r="C1462" s="2" t="inlineStr">
        <is>
          <t>Спорт, туризм</t>
        </is>
      </c>
      <c r="D1462" s="2" t="inlineStr">
        <is>
          <t>Спорт, туризм → Водный спорт → Доски для кайтсерфинга</t>
        </is>
      </c>
      <c r="E1462" s="3" t="n">
        <v>753395</v>
      </c>
      <c r="F1462" s="3" t="n">
        <v>5</v>
      </c>
      <c r="G1462" s="3">
        <f>IFERROR(E1462/F1462,0)</f>
        <v/>
      </c>
      <c r="H1462" s="3" t="n">
        <v>4</v>
      </c>
      <c r="I1462" s="2" t="n">
        <v>1</v>
      </c>
      <c r="J1462" s="3">
        <f>IFERROR(E1462/H1462,0)</f>
        <v/>
      </c>
      <c r="K1462" s="10">
        <f>E1462/'По разделам'!$B$21</f>
        <v/>
      </c>
      <c r="L1462" s="4">
        <f>L1461+K1462</f>
        <v/>
      </c>
      <c r="M1462" s="2" t="inlineStr">
        <is>
          <t>04047</t>
        </is>
      </c>
      <c r="N1462" s="2" t="inlineStr">
        <is>
          <t>https://app.redstat.kz/niche/04047?event_date=2026-08-01</t>
        </is>
      </c>
      <c r="O1462" s="2" t="inlineStr">
        <is>
          <t>https://kaspi.kz/shop/c/kitesurf%20boards/</t>
        </is>
      </c>
    </row>
    <row r="1463">
      <c r="A1463" s="2" t="n">
        <v>1462</v>
      </c>
      <c r="B1463" s="2" t="inlineStr">
        <is>
          <t>Приспособления для стрельбы</t>
        </is>
      </c>
      <c r="C1463" s="2" t="inlineStr">
        <is>
          <t>Спорт, туризм</t>
        </is>
      </c>
      <c r="D1463" s="2" t="inlineStr">
        <is>
          <t>Спорт, туризм → Товары для охоты и стрельбы → Приспособления для стрельбы</t>
        </is>
      </c>
      <c r="E1463" s="3" t="n">
        <v>746041</v>
      </c>
      <c r="F1463" s="3" t="n">
        <v>59</v>
      </c>
      <c r="G1463" s="3">
        <f>IFERROR(E1463/F1463,0)</f>
        <v/>
      </c>
      <c r="H1463" s="3" t="n">
        <v>17</v>
      </c>
      <c r="I1463" s="2" t="n">
        <v>9</v>
      </c>
      <c r="J1463" s="3">
        <f>IFERROR(E1463/H1463,0)</f>
        <v/>
      </c>
      <c r="K1463" s="10">
        <f>E1463/'По разделам'!$B$21</f>
        <v/>
      </c>
      <c r="L1463" s="4">
        <f>L1462+K1463</f>
        <v/>
      </c>
      <c r="M1463" s="2" t="inlineStr">
        <is>
          <t>06859</t>
        </is>
      </c>
      <c r="N1463" s="2" t="inlineStr">
        <is>
          <t>https://app.redstat.kz/niche/06859?event_date=2026-08-01</t>
        </is>
      </c>
      <c r="O1463" s="2" t="inlineStr">
        <is>
          <t>https://kaspi.kz/shop/c/shooting%20goods/</t>
        </is>
      </c>
    </row>
    <row r="1464">
      <c r="A1464" s="2" t="n">
        <v>1463</v>
      </c>
      <c r="B1464" s="2" t="inlineStr">
        <is>
          <t>Фильтросъемники</t>
        </is>
      </c>
      <c r="C1464" s="2" t="inlineStr">
        <is>
          <t>Автотовары</t>
        </is>
      </c>
      <c r="D1464" s="2" t="inlineStr">
        <is>
          <t>Автотовары → Автоинструменты → Фильтросъемники</t>
        </is>
      </c>
      <c r="E1464" s="3" t="n">
        <v>741729</v>
      </c>
      <c r="F1464" s="3" t="n">
        <v>147</v>
      </c>
      <c r="G1464" s="3">
        <f>IFERROR(E1464/F1464,0)</f>
        <v/>
      </c>
      <c r="H1464" s="3" t="n">
        <v>36</v>
      </c>
      <c r="I1464" s="2" t="n">
        <v>19</v>
      </c>
      <c r="J1464" s="3">
        <f>IFERROR(E1464/H1464,0)</f>
        <v/>
      </c>
      <c r="K1464" s="10">
        <f>E1464/'По разделам'!$B$21</f>
        <v/>
      </c>
      <c r="L1464" s="4">
        <f>L1463+K1464</f>
        <v/>
      </c>
      <c r="M1464" s="2" t="inlineStr">
        <is>
          <t>04711</t>
        </is>
      </c>
      <c r="N1464" s="2" t="inlineStr">
        <is>
          <t>https://app.redstat.kz/niche/04711?event_date=2026-08-01</t>
        </is>
      </c>
      <c r="O1464" s="2" t="inlineStr">
        <is>
          <t>https://kaspi.kz/shop/c/filter%20strippers/</t>
        </is>
      </c>
    </row>
    <row r="1465">
      <c r="A1465" s="2" t="n">
        <v>1464</v>
      </c>
      <c r="B1465" s="2" t="inlineStr">
        <is>
          <t>Кулеры для процессоров</t>
        </is>
      </c>
      <c r="C1465" s="2" t="inlineStr">
        <is>
          <t>Компьютеры</t>
        </is>
      </c>
      <c r="D1465" s="2" t="inlineStr">
        <is>
          <t>Компьютеры → Комплектующие → Кулеры и системы охлаждения → Кулеры для процессоров</t>
        </is>
      </c>
      <c r="E1465" s="3" t="n">
        <v>727947</v>
      </c>
      <c r="F1465" s="3" t="n">
        <v>78</v>
      </c>
      <c r="G1465" s="3">
        <f>IFERROR(E1465/F1465,0)</f>
        <v/>
      </c>
      <c r="H1465" s="3" t="n">
        <v>52</v>
      </c>
      <c r="I1465" s="2" t="n">
        <v>23</v>
      </c>
      <c r="J1465" s="3">
        <f>IFERROR(E1465/H1465,0)</f>
        <v/>
      </c>
      <c r="K1465" s="10">
        <f>E1465/'По разделам'!$B$21</f>
        <v/>
      </c>
      <c r="L1465" s="4">
        <f>L1464+K1465</f>
        <v/>
      </c>
      <c r="M1465" s="2" t="inlineStr">
        <is>
          <t>09323</t>
        </is>
      </c>
      <c r="N1465" s="2" t="inlineStr">
        <is>
          <t>https://app.redstat.kz/niche/09323?event_date=2026-08-01</t>
        </is>
      </c>
      <c r="O1465" s="2" t="inlineStr">
        <is>
          <t>https://kaspi.kz/shop/c/cpu%20air%20cooler/</t>
        </is>
      </c>
    </row>
    <row r="1466">
      <c r="A1466" s="2" t="n">
        <v>1465</v>
      </c>
      <c r="B1466" s="2" t="inlineStr">
        <is>
          <t>Пневмопистолеты для накачки шин</t>
        </is>
      </c>
      <c r="C1466" s="2" t="inlineStr">
        <is>
          <t>Автотовары</t>
        </is>
      </c>
      <c r="D1466" s="2" t="inlineStr">
        <is>
          <t>Автотовары → Автоинструменты → Пневмопистолеты для накачки шин</t>
        </is>
      </c>
      <c r="E1466" s="3" t="n">
        <v>719931</v>
      </c>
      <c r="F1466" s="3" t="n">
        <v>125</v>
      </c>
      <c r="G1466" s="3">
        <f>IFERROR(E1466/F1466,0)</f>
        <v/>
      </c>
      <c r="H1466" s="3" t="n">
        <v>27</v>
      </c>
      <c r="I1466" s="2" t="n">
        <v>13</v>
      </c>
      <c r="J1466" s="3">
        <f>IFERROR(E1466/H1466,0)</f>
        <v/>
      </c>
      <c r="K1466" s="10">
        <f>E1466/'По разделам'!$B$21</f>
        <v/>
      </c>
      <c r="L1466" s="4">
        <f>L1465+K1466</f>
        <v/>
      </c>
      <c r="M1466" s="2" t="inlineStr">
        <is>
          <t>04428</t>
        </is>
      </c>
      <c r="N1466" s="2" t="inlineStr">
        <is>
          <t>https://app.redstat.kz/niche/04428?event_date=2026-08-01</t>
        </is>
      </c>
      <c r="O1466" s="2" t="inlineStr">
        <is>
          <t>https://kaspi.kz/shop/c/pneumatic%20tire%20inflator/</t>
        </is>
      </c>
    </row>
    <row r="1467">
      <c r="A1467" s="2" t="n">
        <v>1466</v>
      </c>
      <c r="B1467" s="2" t="inlineStr">
        <is>
          <t>Источники питания для тату машинок</t>
        </is>
      </c>
      <c r="C1467" s="2" t="inlineStr">
        <is>
          <t>Красота и здоровье</t>
        </is>
      </c>
      <c r="D1467" s="2" t="inlineStr">
        <is>
          <t>Красота и здоровье → Товары для тату и перманентного макияжа → Источники питания для тату машинок</t>
        </is>
      </c>
      <c r="E1467" s="3" t="n">
        <v>714118</v>
      </c>
      <c r="F1467" s="3" t="n">
        <v>21</v>
      </c>
      <c r="G1467" s="3">
        <f>IFERROR(E1467/F1467,0)</f>
        <v/>
      </c>
      <c r="H1467" s="3" t="n">
        <v>11</v>
      </c>
      <c r="I1467" s="2" t="n">
        <v>6</v>
      </c>
      <c r="J1467" s="3">
        <f>IFERROR(E1467/H1467,0)</f>
        <v/>
      </c>
      <c r="K1467" s="10">
        <f>E1467/'По разделам'!$B$21</f>
        <v/>
      </c>
      <c r="L1467" s="4">
        <f>L1466+K1467</f>
        <v/>
      </c>
      <c r="M1467" s="2" t="inlineStr">
        <is>
          <t>06158</t>
        </is>
      </c>
      <c r="N1467" s="2" t="inlineStr">
        <is>
          <t>https://app.redstat.kz/niche/06158?event_date=2026-08-01</t>
        </is>
      </c>
      <c r="O1467" s="2" t="inlineStr">
        <is>
          <t>https://kaspi.kz/shop/c/power%20sources%20for%20tattoo%20machines/</t>
        </is>
      </c>
    </row>
    <row r="1468">
      <c r="A1468" s="2" t="n">
        <v>1467</v>
      </c>
      <c r="B1468" s="2" t="inlineStr">
        <is>
          <t>Химические анкеры</t>
        </is>
      </c>
      <c r="C1468" s="2" t="inlineStr">
        <is>
          <t>Строительство, ремонт</t>
        </is>
      </c>
      <c r="D1468" s="2" t="inlineStr">
        <is>
          <t>Строительство, ремонт → Строительный крепеж → Химические анкеры</t>
        </is>
      </c>
      <c r="E1468" s="3" t="n">
        <v>710992</v>
      </c>
      <c r="F1468" s="3" t="n">
        <v>66</v>
      </c>
      <c r="G1468" s="3">
        <f>IFERROR(E1468/F1468,0)</f>
        <v/>
      </c>
      <c r="H1468" s="3" t="n">
        <v>10</v>
      </c>
      <c r="I1468" s="2" t="n">
        <v>6</v>
      </c>
      <c r="J1468" s="3">
        <f>IFERROR(E1468/H1468,0)</f>
        <v/>
      </c>
      <c r="K1468" s="10">
        <f>E1468/'По разделам'!$B$21</f>
        <v/>
      </c>
      <c r="L1468" s="4">
        <f>L1467+K1468</f>
        <v/>
      </c>
      <c r="M1468" s="2" t="inlineStr">
        <is>
          <t>09263</t>
        </is>
      </c>
      <c r="N1468" s="2" t="inlineStr">
        <is>
          <t>https://app.redstat.kz/niche/09263?event_date=2026-08-01</t>
        </is>
      </c>
      <c r="O1468" s="2" t="inlineStr">
        <is>
          <t>https://kaspi.kz/shop/c/chemical%20anchors/</t>
        </is>
      </c>
    </row>
    <row r="1469">
      <c r="A1469" s="2" t="n">
        <v>1468</v>
      </c>
      <c r="B1469" s="2" t="inlineStr">
        <is>
          <t>Детекторы банкнот</t>
        </is>
      </c>
      <c r="C1469" s="2" t="inlineStr">
        <is>
          <t>Компьютеры</t>
        </is>
      </c>
      <c r="D1469" s="2" t="inlineStr">
        <is>
          <t>Компьютеры → Электронное оборудование для торговли → Детекторы банкнот</t>
        </is>
      </c>
      <c r="E1469" s="3" t="n">
        <v>710250</v>
      </c>
      <c r="F1469" s="3" t="n">
        <v>98</v>
      </c>
      <c r="G1469" s="3">
        <f>IFERROR(E1469/F1469,0)</f>
        <v/>
      </c>
      <c r="H1469" s="3" t="n">
        <v>15</v>
      </c>
      <c r="I1469" s="2" t="n">
        <v>4</v>
      </c>
      <c r="J1469" s="3">
        <f>IFERROR(E1469/H1469,0)</f>
        <v/>
      </c>
      <c r="K1469" s="10">
        <f>E1469/'По разделам'!$B$21</f>
        <v/>
      </c>
      <c r="L1469" s="4">
        <f>L1468+K1469</f>
        <v/>
      </c>
      <c r="M1469" s="2" t="inlineStr">
        <is>
          <t>04628</t>
        </is>
      </c>
      <c r="N1469" s="2" t="inlineStr">
        <is>
          <t>https://app.redstat.kz/niche/04628?event_date=2026-08-01</t>
        </is>
      </c>
      <c r="O1469" s="2" t="inlineStr">
        <is>
          <t>https://kaspi.kz/shop/c/banknote%20detectors/</t>
        </is>
      </c>
    </row>
    <row r="1470">
      <c r="A1470" s="2" t="n">
        <v>1469</v>
      </c>
      <c r="B1470" s="2" t="inlineStr">
        <is>
          <t>Зажимы для альпинизма</t>
        </is>
      </c>
      <c r="C1470" s="2" t="inlineStr">
        <is>
          <t>Спорт, туризм</t>
        </is>
      </c>
      <c r="D1470" s="2" t="inlineStr">
        <is>
          <t>Спорт, туризм → Альпинизм и скалолазание → Зажимы для альпинизма</t>
        </is>
      </c>
      <c r="E1470" s="3" t="n">
        <v>710077</v>
      </c>
      <c r="F1470" s="3" t="n">
        <v>35</v>
      </c>
      <c r="G1470" s="3">
        <f>IFERROR(E1470/F1470,0)</f>
        <v/>
      </c>
      <c r="H1470" s="3" t="n">
        <v>15</v>
      </c>
      <c r="I1470" s="2" t="n">
        <v>5</v>
      </c>
      <c r="J1470" s="3">
        <f>IFERROR(E1470/H1470,0)</f>
        <v/>
      </c>
      <c r="K1470" s="10">
        <f>E1470/'По разделам'!$B$21</f>
        <v/>
      </c>
      <c r="L1470" s="4">
        <f>L1469+K1470</f>
        <v/>
      </c>
      <c r="M1470" s="2" t="inlineStr">
        <is>
          <t>03609</t>
        </is>
      </c>
      <c r="N1470" s="2" t="inlineStr">
        <is>
          <t>https://app.redstat.kz/niche/03609?event_date=2026-08-01</t>
        </is>
      </c>
      <c r="O1470" s="2" t="inlineStr">
        <is>
          <t>https://kaspi.kz/shop/c/climbing%20clamps/</t>
        </is>
      </c>
    </row>
    <row r="1471">
      <c r="A1471" s="2" t="n">
        <v>1470</v>
      </c>
      <c r="B1471" s="2" t="inlineStr">
        <is>
          <t>Ловушки и отпугиватели</t>
        </is>
      </c>
      <c r="C1471" s="2" t="inlineStr">
        <is>
          <t>Товары для дома и дачи</t>
        </is>
      </c>
      <c r="D1471" s="2" t="inlineStr">
        <is>
          <t>Товары для дома и дачи → Дача, сад и огород → Средства защиты от грызунов и вредителей → Ловушки и отпугиватели</t>
        </is>
      </c>
      <c r="E1471" s="3" t="n">
        <v>706317</v>
      </c>
      <c r="F1471" s="3" t="n">
        <v>223</v>
      </c>
      <c r="G1471" s="3">
        <f>IFERROR(E1471/F1471,0)</f>
        <v/>
      </c>
      <c r="H1471" s="3" t="n">
        <v>83</v>
      </c>
      <c r="I1471" s="2" t="n">
        <v>30</v>
      </c>
      <c r="J1471" s="3">
        <f>IFERROR(E1471/H1471,0)</f>
        <v/>
      </c>
      <c r="K1471" s="10">
        <f>E1471/'По разделам'!$B$21</f>
        <v/>
      </c>
      <c r="L1471" s="4">
        <f>L1470+K1471</f>
        <v/>
      </c>
      <c r="M1471" s="2" t="inlineStr">
        <is>
          <t>05935</t>
        </is>
      </c>
      <c r="N1471" s="2" t="inlineStr">
        <is>
          <t>https://app.redstat.kz/niche/05935?event_date=2026-08-01</t>
        </is>
      </c>
      <c r="O1471" s="2" t="inlineStr">
        <is>
          <t>https://kaspi.kz/shop/c/bird%20and%20rodent%20repellents/</t>
        </is>
      </c>
    </row>
    <row r="1472">
      <c r="A1472" s="2" t="n">
        <v>1471</v>
      </c>
      <c r="B1472" s="2" t="inlineStr">
        <is>
          <t>Запонки и зажимы бижутерные</t>
        </is>
      </c>
      <c r="C1472" s="2" t="inlineStr">
        <is>
          <t>Украшения</t>
        </is>
      </c>
      <c r="D1472" s="2" t="inlineStr">
        <is>
          <t>Украшения → Запонки и зажимы → Запонки и зажимы бижутерные</t>
        </is>
      </c>
      <c r="E1472" s="3" t="n">
        <v>706098</v>
      </c>
      <c r="F1472" s="3" t="n">
        <v>410</v>
      </c>
      <c r="G1472" s="3">
        <f>IFERROR(E1472/F1472,0)</f>
        <v/>
      </c>
      <c r="H1472" s="3" t="n">
        <v>86</v>
      </c>
      <c r="I1472" s="2" t="n">
        <v>14</v>
      </c>
      <c r="J1472" s="3">
        <f>IFERROR(E1472/H1472,0)</f>
        <v/>
      </c>
      <c r="K1472" s="10">
        <f>E1472/'По разделам'!$B$21</f>
        <v/>
      </c>
      <c r="L1472" s="4">
        <f>L1471+K1472</f>
        <v/>
      </c>
      <c r="M1472" s="2" t="inlineStr">
        <is>
          <t>01773</t>
        </is>
      </c>
      <c r="N1472" s="2" t="inlineStr">
        <is>
          <t>https://app.redstat.kz/niche/01773?event_date=2026-08-01</t>
        </is>
      </c>
      <c r="O1472" s="2" t="inlineStr">
        <is>
          <t>https://kaspi.kz/shop/c/imitation%20cufflinks/</t>
        </is>
      </c>
    </row>
    <row r="1473">
      <c r="A1473" s="2" t="n">
        <v>1472</v>
      </c>
      <c r="B1473" s="2" t="inlineStr">
        <is>
          <t>Аппараты для приготовления коктейлей</t>
        </is>
      </c>
      <c r="C1473" s="2" t="inlineStr">
        <is>
          <t>Бытовая техника</t>
        </is>
      </c>
      <c r="D1473" s="2" t="inlineStr">
        <is>
          <t>Бытовая техника → Мелкая техника для кухни → Аппараты для приготовления коктейлей</t>
        </is>
      </c>
      <c r="E1473" s="3" t="n">
        <v>702984</v>
      </c>
      <c r="F1473" s="3" t="n">
        <v>7</v>
      </c>
      <c r="G1473" s="3">
        <f>IFERROR(E1473/F1473,0)</f>
        <v/>
      </c>
      <c r="H1473" s="3" t="n">
        <v>4</v>
      </c>
      <c r="I1473" s="2" t="n">
        <v>3</v>
      </c>
      <c r="J1473" s="3">
        <f>IFERROR(E1473/H1473,0)</f>
        <v/>
      </c>
      <c r="K1473" s="10">
        <f>E1473/'По разделам'!$B$21</f>
        <v/>
      </c>
      <c r="L1473" s="4">
        <f>L1472+K1473</f>
        <v/>
      </c>
      <c r="M1473" s="2" t="inlineStr">
        <is>
          <t>09010</t>
        </is>
      </c>
      <c r="N1473" s="2" t="inlineStr">
        <is>
          <t>https://app.redstat.kz/niche/09010?event_date=2026-08-01</t>
        </is>
      </c>
      <c r="O1473" s="2" t="inlineStr">
        <is>
          <t>https://kaspi.kz/shop/c/equipment%20for%20preparing%20cocktails/</t>
        </is>
      </c>
    </row>
    <row r="1474">
      <c r="A1474" s="2" t="n">
        <v>1473</v>
      </c>
      <c r="B1474" s="2" t="inlineStr">
        <is>
          <t>Наклейки для телефонов</t>
        </is>
      </c>
      <c r="C1474" s="2" t="inlineStr">
        <is>
          <t>Телефоны и гаджеты</t>
        </is>
      </c>
      <c r="D1474" s="2" t="inlineStr">
        <is>
          <t>Телефоны и гаджеты → Аксессуары для телефонов → Наклейки для телефонов</t>
        </is>
      </c>
      <c r="E1474" s="3" t="n">
        <v>702894</v>
      </c>
      <c r="F1474" s="3" t="n">
        <v>1004</v>
      </c>
      <c r="G1474" s="3">
        <f>IFERROR(E1474/F1474,0)</f>
        <v/>
      </c>
      <c r="H1474" s="3" t="n">
        <v>141</v>
      </c>
      <c r="I1474" s="2" t="n">
        <v>10</v>
      </c>
      <c r="J1474" s="3">
        <f>IFERROR(E1474/H1474,0)</f>
        <v/>
      </c>
      <c r="K1474" s="10">
        <f>E1474/'По разделам'!$B$21</f>
        <v/>
      </c>
      <c r="L1474" s="4">
        <f>L1473+K1474</f>
        <v/>
      </c>
      <c r="M1474" s="2" t="inlineStr">
        <is>
          <t>05077</t>
        </is>
      </c>
      <c r="N1474" s="2" t="inlineStr">
        <is>
          <t>https://app.redstat.kz/niche/05077?event_date=2026-08-01</t>
        </is>
      </c>
      <c r="O1474" s="2" t="inlineStr">
        <is>
          <t>https://kaspi.kz/shop/c/stickers%20for%20phones/</t>
        </is>
      </c>
    </row>
    <row r="1475">
      <c r="A1475" s="2" t="n">
        <v>1474</v>
      </c>
      <c r="B1475" s="2" t="inlineStr">
        <is>
          <t>Лакомства для птиц</t>
        </is>
      </c>
      <c r="C1475" s="2" t="inlineStr">
        <is>
          <t>Товары для животных</t>
        </is>
      </c>
      <c r="D1475" s="2" t="inlineStr">
        <is>
          <t>Товары для животных → Для птиц → Лакомства для птиц</t>
        </is>
      </c>
      <c r="E1475" s="3" t="n">
        <v>687558</v>
      </c>
      <c r="F1475" s="3" t="n">
        <v>430</v>
      </c>
      <c r="G1475" s="3">
        <f>IFERROR(E1475/F1475,0)</f>
        <v/>
      </c>
      <c r="H1475" s="3" t="n">
        <v>66</v>
      </c>
      <c r="I1475" s="2" t="n">
        <v>12</v>
      </c>
      <c r="J1475" s="3">
        <f>IFERROR(E1475/H1475,0)</f>
        <v/>
      </c>
      <c r="K1475" s="10">
        <f>E1475/'По разделам'!$B$21</f>
        <v/>
      </c>
      <c r="L1475" s="4">
        <f>L1474+K1475</f>
        <v/>
      </c>
      <c r="M1475" s="2" t="inlineStr">
        <is>
          <t>03100</t>
        </is>
      </c>
      <c r="N1475" s="2" t="inlineStr">
        <is>
          <t>https://app.redstat.kz/niche/03100?event_date=2026-08-01</t>
        </is>
      </c>
      <c r="O1475" s="2" t="inlineStr">
        <is>
          <t>https://kaspi.kz/shop/c/bird%20snacks/</t>
        </is>
      </c>
    </row>
    <row r="1476">
      <c r="A1476" s="2" t="n">
        <v>1475</v>
      </c>
      <c r="B1476" s="2" t="inlineStr">
        <is>
          <t>Съемники для ходовой</t>
        </is>
      </c>
      <c r="C1476" s="2" t="inlineStr">
        <is>
          <t>Автотовары</t>
        </is>
      </c>
      <c r="D1476" s="2" t="inlineStr">
        <is>
          <t>Автотовары → Автоинструменты → Съемники для ходовой</t>
        </is>
      </c>
      <c r="E1476" s="3" t="n">
        <v>686145</v>
      </c>
      <c r="F1476" s="3" t="n">
        <v>30</v>
      </c>
      <c r="G1476" s="3">
        <f>IFERROR(E1476/F1476,0)</f>
        <v/>
      </c>
      <c r="H1476" s="3" t="n">
        <v>9</v>
      </c>
      <c r="I1476" s="2" t="n">
        <v>6</v>
      </c>
      <c r="J1476" s="3">
        <f>IFERROR(E1476/H1476,0)</f>
        <v/>
      </c>
      <c r="K1476" s="10">
        <f>E1476/'По разделам'!$B$21</f>
        <v/>
      </c>
      <c r="L1476" s="4">
        <f>L1475+K1476</f>
        <v/>
      </c>
      <c r="M1476" s="2" t="inlineStr">
        <is>
          <t>07065</t>
        </is>
      </c>
      <c r="N1476" s="2" t="inlineStr">
        <is>
          <t>https://app.redstat.kz/niche/07065?event_date=2026-08-01</t>
        </is>
      </c>
      <c r="O1476" s="2" t="inlineStr">
        <is>
          <t>https://kaspi.kz/shop/c/undercarriage%20pullers/</t>
        </is>
      </c>
    </row>
    <row r="1477">
      <c r="A1477" s="2" t="n">
        <v>1476</v>
      </c>
      <c r="B1477" s="2" t="inlineStr">
        <is>
          <t>Основания и крепления для тренировочных снарядов</t>
        </is>
      </c>
      <c r="C1477" s="2" t="inlineStr">
        <is>
          <t>Спорт, туризм</t>
        </is>
      </c>
      <c r="D1477" s="2" t="inlineStr">
        <is>
          <t>Спорт, туризм → Единоборства → Основания и крепления для тренировочных снарядов</t>
        </is>
      </c>
      <c r="E1477" s="3" t="n">
        <v>686029</v>
      </c>
      <c r="F1477" s="3" t="n">
        <v>51</v>
      </c>
      <c r="G1477" s="3">
        <f>IFERROR(E1477/F1477,0)</f>
        <v/>
      </c>
      <c r="H1477" s="3" t="n">
        <v>26</v>
      </c>
      <c r="I1477" s="2" t="n">
        <v>8</v>
      </c>
      <c r="J1477" s="3">
        <f>IFERROR(E1477/H1477,0)</f>
        <v/>
      </c>
      <c r="K1477" s="10">
        <f>E1477/'По разделам'!$B$21</f>
        <v/>
      </c>
      <c r="L1477" s="4">
        <f>L1476+K1477</f>
        <v/>
      </c>
      <c r="M1477" s="2" t="inlineStr">
        <is>
          <t>04436</t>
        </is>
      </c>
      <c r="N1477" s="2" t="inlineStr">
        <is>
          <t>https://app.redstat.kz/niche/04436?event_date=2026-08-01</t>
        </is>
      </c>
      <c r="O1477" s="2" t="inlineStr">
        <is>
          <t>https://kaspi.kz/shop/c/bases%20and%20mounts%20for%20training%20equipment/</t>
        </is>
      </c>
    </row>
    <row r="1478">
      <c r="A1478" s="2" t="n">
        <v>1477</v>
      </c>
      <c r="B1478" s="2" t="inlineStr">
        <is>
          <t>Лакомства для грызунов</t>
        </is>
      </c>
      <c r="C1478" s="2" t="inlineStr">
        <is>
          <t>Товары для животных</t>
        </is>
      </c>
      <c r="D1478" s="2" t="inlineStr">
        <is>
          <t>Товары для животных → Для грызунов → Лакомства для грызунов</t>
        </is>
      </c>
      <c r="E1478" s="3" t="n">
        <v>684710</v>
      </c>
      <c r="F1478" s="3" t="n">
        <v>434</v>
      </c>
      <c r="G1478" s="3">
        <f>IFERROR(E1478/F1478,0)</f>
        <v/>
      </c>
      <c r="H1478" s="3" t="n">
        <v>58</v>
      </c>
      <c r="I1478" s="2" t="n">
        <v>14</v>
      </c>
      <c r="J1478" s="3">
        <f>IFERROR(E1478/H1478,0)</f>
        <v/>
      </c>
      <c r="K1478" s="10">
        <f>E1478/'По разделам'!$B$21</f>
        <v/>
      </c>
      <c r="L1478" s="4">
        <f>L1477+K1478</f>
        <v/>
      </c>
      <c r="M1478" s="2" t="inlineStr">
        <is>
          <t>03099</t>
        </is>
      </c>
      <c r="N1478" s="2" t="inlineStr">
        <is>
          <t>https://app.redstat.kz/niche/03099?event_date=2026-08-01</t>
        </is>
      </c>
      <c r="O1478" s="2" t="inlineStr">
        <is>
          <t>https://kaspi.kz/shop/c/rodent%20snacks/</t>
        </is>
      </c>
    </row>
    <row r="1479">
      <c r="A1479" s="2" t="n">
        <v>1478</v>
      </c>
      <c r="B1479" s="2" t="inlineStr">
        <is>
          <t>Маски и очки для сварки</t>
        </is>
      </c>
      <c r="C1479" s="2" t="inlineStr">
        <is>
          <t>Строительство, ремонт</t>
        </is>
      </c>
      <c r="D1479" s="2" t="inlineStr">
        <is>
          <t>Строительство, ремонт → Строительный инвентарь → Средства индивидуальной защиты → Маски и очки для сварки</t>
        </is>
      </c>
      <c r="E1479" s="3" t="n">
        <v>677049</v>
      </c>
      <c r="F1479" s="3" t="n">
        <v>194</v>
      </c>
      <c r="G1479" s="3">
        <f>IFERROR(E1479/F1479,0)</f>
        <v/>
      </c>
      <c r="H1479" s="3" t="n">
        <v>69</v>
      </c>
      <c r="I1479" s="2" t="n">
        <v>31</v>
      </c>
      <c r="J1479" s="3">
        <f>IFERROR(E1479/H1479,0)</f>
        <v/>
      </c>
      <c r="K1479" s="10">
        <f>E1479/'По разделам'!$B$21</f>
        <v/>
      </c>
      <c r="L1479" s="4">
        <f>L1478+K1479</f>
        <v/>
      </c>
      <c r="M1479" s="2" t="inlineStr">
        <is>
          <t>03227</t>
        </is>
      </c>
      <c r="N1479" s="2" t="inlineStr">
        <is>
          <t>https://app.redstat.kz/niche/03227?event_date=2026-08-01</t>
        </is>
      </c>
      <c r="O1479" s="2" t="inlineStr">
        <is>
          <t>https://kaspi.kz/shop/c/welding%20helmets%20and%20glasses/</t>
        </is>
      </c>
    </row>
    <row r="1480">
      <c r="A1480" s="2" t="n">
        <v>1479</v>
      </c>
      <c r="B1480" s="2" t="inlineStr">
        <is>
          <t>Домашняя одежда</t>
        </is>
      </c>
      <c r="C1480" s="2" t="inlineStr">
        <is>
          <t>Одежда</t>
        </is>
      </c>
      <c r="D1480" s="2" t="inlineStr">
        <is>
          <t>Одежда → Одежда для малышей → Домашняя одежда</t>
        </is>
      </c>
      <c r="E1480" s="3" t="n">
        <v>669685</v>
      </c>
      <c r="F1480" s="3" t="n">
        <v>281</v>
      </c>
      <c r="G1480" s="3">
        <f>IFERROR(E1480/F1480,0)</f>
        <v/>
      </c>
      <c r="H1480" s="3" t="n">
        <v>73</v>
      </c>
      <c r="I1480" s="2" t="n">
        <v>8</v>
      </c>
      <c r="J1480" s="3">
        <f>IFERROR(E1480/H1480,0)</f>
        <v/>
      </c>
      <c r="K1480" s="10">
        <f>E1480/'По разделам'!$B$21</f>
        <v/>
      </c>
      <c r="L1480" s="4">
        <f>L1479+K1480</f>
        <v/>
      </c>
      <c r="M1480" s="2" t="inlineStr">
        <is>
          <t>02621</t>
        </is>
      </c>
      <c r="N1480" s="2" t="inlineStr">
        <is>
          <t>https://app.redstat.kz/niche/02621?event_date=2026-08-01</t>
        </is>
      </c>
      <c r="O1480" s="2" t="inlineStr">
        <is>
          <t>https://kaspi.kz/shop/c/childrens%20home%20clothes/</t>
        </is>
      </c>
    </row>
    <row r="1481">
      <c r="A1481" s="2" t="n">
        <v>1480</v>
      </c>
      <c r="B1481" s="2" t="inlineStr">
        <is>
          <t>Съемники для рулевой</t>
        </is>
      </c>
      <c r="C1481" s="2" t="inlineStr">
        <is>
          <t>Автотовары</t>
        </is>
      </c>
      <c r="D1481" s="2" t="inlineStr">
        <is>
          <t>Автотовары → Автоинструменты → Съемники для рулевой</t>
        </is>
      </c>
      <c r="E1481" s="3" t="n">
        <v>667461</v>
      </c>
      <c r="F1481" s="3" t="n">
        <v>113</v>
      </c>
      <c r="G1481" s="3">
        <f>IFERROR(E1481/F1481,0)</f>
        <v/>
      </c>
      <c r="H1481" s="3" t="n">
        <v>17</v>
      </c>
      <c r="I1481" s="2" t="n">
        <v>9</v>
      </c>
      <c r="J1481" s="3">
        <f>IFERROR(E1481/H1481,0)</f>
        <v/>
      </c>
      <c r="K1481" s="10">
        <f>E1481/'По разделам'!$B$21</f>
        <v/>
      </c>
      <c r="L1481" s="4">
        <f>L1480+K1481</f>
        <v/>
      </c>
      <c r="M1481" s="2" t="inlineStr">
        <is>
          <t>05547</t>
        </is>
      </c>
      <c r="N1481" s="2" t="inlineStr">
        <is>
          <t>https://app.redstat.kz/niche/05547?event_date=2026-08-01</t>
        </is>
      </c>
      <c r="O1481" s="2" t="inlineStr">
        <is>
          <t>https://kaspi.kz/shop/c/pullers%20for%20steering/</t>
        </is>
      </c>
    </row>
    <row r="1482">
      <c r="A1482" s="2" t="n">
        <v>1481</v>
      </c>
      <c r="B1482" s="2" t="inlineStr">
        <is>
          <t>Ползунки</t>
        </is>
      </c>
      <c r="C1482" s="2" t="inlineStr">
        <is>
          <t>Одежда</t>
        </is>
      </c>
      <c r="D1482" s="2" t="inlineStr">
        <is>
          <t>Одежда → Одежда для малышей → Ползунки</t>
        </is>
      </c>
      <c r="E1482" s="3" t="n">
        <v>661167</v>
      </c>
      <c r="F1482" s="3" t="n">
        <v>250</v>
      </c>
      <c r="G1482" s="3">
        <f>IFERROR(E1482/F1482,0)</f>
        <v/>
      </c>
      <c r="H1482" s="3" t="n">
        <v>68</v>
      </c>
      <c r="I1482" s="2" t="n">
        <v>11</v>
      </c>
      <c r="J1482" s="3">
        <f>IFERROR(E1482/H1482,0)</f>
        <v/>
      </c>
      <c r="K1482" s="10">
        <f>E1482/'По разделам'!$B$21</f>
        <v/>
      </c>
      <c r="L1482" s="4">
        <f>L1481+K1482</f>
        <v/>
      </c>
      <c r="M1482" s="2" t="inlineStr">
        <is>
          <t>00942</t>
        </is>
      </c>
      <c r="N1482" s="2" t="inlineStr">
        <is>
          <t>https://app.redstat.kz/niche/00942?event_date=2026-08-01</t>
        </is>
      </c>
      <c r="O1482" s="2" t="inlineStr">
        <is>
          <t>https://kaspi.kz/shop/c/footie%20pants/</t>
        </is>
      </c>
    </row>
    <row r="1483">
      <c r="A1483" s="2" t="n">
        <v>1482</v>
      </c>
      <c r="B1483" s="2" t="inlineStr">
        <is>
          <t>Кастрюли, ковши и скороварки</t>
        </is>
      </c>
      <c r="C1483" s="2" t="inlineStr">
        <is>
          <t>Товары для дома и дачи</t>
        </is>
      </c>
      <c r="D1483" s="2" t="inlineStr">
        <is>
          <t>Товары для дома и дачи → Посуда и принадлежности → Посуда для приготовления → Кастрюли, ковши и скороварки</t>
        </is>
      </c>
      <c r="E1483" s="3" t="n">
        <v>659236</v>
      </c>
      <c r="F1483" s="3" t="n">
        <v>20</v>
      </c>
      <c r="G1483" s="3">
        <f>IFERROR(E1483/F1483,0)</f>
        <v/>
      </c>
      <c r="H1483" s="3" t="n">
        <v>16</v>
      </c>
      <c r="I1483" s="2" t="n">
        <v>12</v>
      </c>
      <c r="J1483" s="3">
        <f>IFERROR(E1483/H1483,0)</f>
        <v/>
      </c>
      <c r="K1483" s="10">
        <f>E1483/'По разделам'!$B$21</f>
        <v/>
      </c>
      <c r="L1483" s="4">
        <f>L1482+K1483</f>
        <v/>
      </c>
      <c r="M1483" s="2" t="inlineStr">
        <is>
          <t>03321</t>
        </is>
      </c>
      <c r="N1483" s="2" t="inlineStr">
        <is>
          <t>https://app.redstat.kz/niche/03321?event_date=2026-08-01</t>
        </is>
      </c>
      <c r="O1483" s="2" t="inlineStr">
        <is>
          <t>https://kaspi.kz/shop/c/pots/</t>
        </is>
      </c>
    </row>
    <row r="1484">
      <c r="A1484" s="2" t="n">
        <v>1483</v>
      </c>
      <c r="B1484" s="2" t="inlineStr">
        <is>
          <t>Маркировка животных и птиц</t>
        </is>
      </c>
      <c r="C1484" s="2" t="inlineStr">
        <is>
          <t>Товары для животных</t>
        </is>
      </c>
      <c r="D1484" s="2" t="inlineStr">
        <is>
          <t>Товары для животных → Для сельскохозяйственных животных → Маркировка животных и птиц</t>
        </is>
      </c>
      <c r="E1484" s="3" t="n">
        <v>647411</v>
      </c>
      <c r="F1484" s="3" t="n">
        <v>114</v>
      </c>
      <c r="G1484" s="3">
        <f>IFERROR(E1484/F1484,0)</f>
        <v/>
      </c>
      <c r="H1484" s="3" t="n">
        <v>40</v>
      </c>
      <c r="I1484" s="2" t="n">
        <v>7</v>
      </c>
      <c r="J1484" s="3">
        <f>IFERROR(E1484/H1484,0)</f>
        <v/>
      </c>
      <c r="K1484" s="10">
        <f>E1484/'По разделам'!$B$21</f>
        <v/>
      </c>
      <c r="L1484" s="4">
        <f>L1483+K1484</f>
        <v/>
      </c>
      <c r="M1484" s="2" t="inlineStr">
        <is>
          <t>04949</t>
        </is>
      </c>
      <c r="N1484" s="2" t="inlineStr">
        <is>
          <t>https://app.redstat.kz/niche/04949?event_date=2026-08-01</t>
        </is>
      </c>
      <c r="O1484" s="2" t="inlineStr">
        <is>
          <t>https://kaspi.kz/shop/c/animal%20marking/</t>
        </is>
      </c>
    </row>
    <row r="1485">
      <c r="A1485" s="2" t="n">
        <v>1484</v>
      </c>
      <c r="B1485" s="2" t="inlineStr">
        <is>
          <t>Сварочные выпрямители, инверторы</t>
        </is>
      </c>
      <c r="C1485" s="2" t="inlineStr">
        <is>
          <t>Строительство, ремонт</t>
        </is>
      </c>
      <c r="D1485" s="2" t="inlineStr">
        <is>
          <t>Строительство, ремонт → Инструменты → Сварочное оборудование → Сварочные выпрямители, инверторы</t>
        </is>
      </c>
      <c r="E1485" s="3" t="n">
        <v>644651</v>
      </c>
      <c r="F1485" s="3" t="n">
        <v>68</v>
      </c>
      <c r="G1485" s="3">
        <f>IFERROR(E1485/F1485,0)</f>
        <v/>
      </c>
      <c r="H1485" s="3" t="n">
        <v>33</v>
      </c>
      <c r="I1485" s="2" t="n">
        <v>20</v>
      </c>
      <c r="J1485" s="3">
        <f>IFERROR(E1485/H1485,0)</f>
        <v/>
      </c>
      <c r="K1485" s="10">
        <f>E1485/'По разделам'!$B$21</f>
        <v/>
      </c>
      <c r="L1485" s="4">
        <f>L1484+K1485</f>
        <v/>
      </c>
      <c r="M1485" s="2" t="inlineStr">
        <is>
          <t>03430</t>
        </is>
      </c>
      <c r="N1485" s="2" t="inlineStr">
        <is>
          <t>https://app.redstat.kz/niche/03430?event_date=2026-08-01</t>
        </is>
      </c>
      <c r="O1485" s="2" t="inlineStr">
        <is>
          <t>https://kaspi.kz/shop/c/welding%20machines/</t>
        </is>
      </c>
    </row>
    <row r="1486">
      <c r="A1486" s="2" t="n">
        <v>1485</v>
      </c>
      <c r="B1486" s="2" t="inlineStr">
        <is>
          <t>Антифог для очков и масок</t>
        </is>
      </c>
      <c r="C1486" s="2" t="inlineStr">
        <is>
          <t>Спорт, туризм</t>
        </is>
      </c>
      <c r="D1486" s="2" t="inlineStr">
        <is>
          <t>Спорт, туризм → Зимний спорт → Антифог для очков и масок</t>
        </is>
      </c>
      <c r="E1486" s="3" t="n">
        <v>643177</v>
      </c>
      <c r="F1486" s="3" t="n">
        <v>263</v>
      </c>
      <c r="G1486" s="3">
        <f>IFERROR(E1486/F1486,0)</f>
        <v/>
      </c>
      <c r="H1486" s="3" t="n">
        <v>26</v>
      </c>
      <c r="I1486" s="2" t="n">
        <v>13</v>
      </c>
      <c r="J1486" s="3">
        <f>IFERROR(E1486/H1486,0)</f>
        <v/>
      </c>
      <c r="K1486" s="10">
        <f>E1486/'По разделам'!$B$21</f>
        <v/>
      </c>
      <c r="L1486" s="4">
        <f>L1485+K1486</f>
        <v/>
      </c>
      <c r="M1486" s="2" t="inlineStr">
        <is>
          <t>02082</t>
        </is>
      </c>
      <c r="N1486" s="2" t="inlineStr">
        <is>
          <t>https://app.redstat.kz/niche/02082?event_date=2026-08-01</t>
        </is>
      </c>
      <c r="O1486" s="2" t="inlineStr">
        <is>
          <t>https://kaspi.kz/shop/c/anti-fog%20for%20goggles/</t>
        </is>
      </c>
    </row>
    <row r="1487">
      <c r="A1487" s="2" t="n">
        <v>1486</v>
      </c>
      <c r="B1487" s="2" t="inlineStr">
        <is>
          <t>Микроволновые печи</t>
        </is>
      </c>
      <c r="C1487" s="2" t="inlineStr">
        <is>
          <t>Бытовая техника</t>
        </is>
      </c>
      <c r="D1487" s="2" t="inlineStr">
        <is>
          <t>Бытовая техника → Мелкая техника для кухни → Печи и грили → Микроволновые печи</t>
        </is>
      </c>
      <c r="E1487" s="3" t="n">
        <v>641715</v>
      </c>
      <c r="F1487" s="3" t="n">
        <v>16</v>
      </c>
      <c r="G1487" s="3">
        <f>IFERROR(E1487/F1487,0)</f>
        <v/>
      </c>
      <c r="H1487" s="3" t="n">
        <v>16</v>
      </c>
      <c r="I1487" s="2" t="n">
        <v>13</v>
      </c>
      <c r="J1487" s="3">
        <f>IFERROR(E1487/H1487,0)</f>
        <v/>
      </c>
      <c r="K1487" s="10">
        <f>E1487/'По разделам'!$B$21</f>
        <v/>
      </c>
      <c r="L1487" s="4">
        <f>L1486+K1487</f>
        <v/>
      </c>
      <c r="M1487" s="2" t="inlineStr">
        <is>
          <t>03505</t>
        </is>
      </c>
      <c r="N1487" s="2" t="inlineStr">
        <is>
          <t>https://app.redstat.kz/niche/03505?event_date=2026-08-01</t>
        </is>
      </c>
      <c r="O1487" s="2" t="inlineStr">
        <is>
          <t>https://kaspi.kz/shop/c/microwave%20ovens/</t>
        </is>
      </c>
    </row>
    <row r="1488">
      <c r="A1488" s="2" t="n">
        <v>1487</v>
      </c>
      <c r="B1488" s="2" t="inlineStr">
        <is>
          <t>Пояса для единоборств</t>
        </is>
      </c>
      <c r="C1488" s="2" t="inlineStr">
        <is>
          <t>Спорт, туризм</t>
        </is>
      </c>
      <c r="D1488" s="2" t="inlineStr">
        <is>
          <t>Спорт, туризм → Единоборства → Пояса для единоборств</t>
        </is>
      </c>
      <c r="E1488" s="3" t="n">
        <v>640669</v>
      </c>
      <c r="F1488" s="3" t="n">
        <v>144</v>
      </c>
      <c r="G1488" s="3">
        <f>IFERROR(E1488/F1488,0)</f>
        <v/>
      </c>
      <c r="H1488" s="3" t="n">
        <v>70</v>
      </c>
      <c r="I1488" s="2" t="n">
        <v>14</v>
      </c>
      <c r="J1488" s="3">
        <f>IFERROR(E1488/H1488,0)</f>
        <v/>
      </c>
      <c r="K1488" s="10">
        <f>E1488/'По разделам'!$B$21</f>
        <v/>
      </c>
      <c r="L1488" s="4">
        <f>L1487+K1488</f>
        <v/>
      </c>
      <c r="M1488" s="2" t="inlineStr">
        <is>
          <t>09277</t>
        </is>
      </c>
      <c r="N1488" s="2" t="inlineStr">
        <is>
          <t>https://app.redstat.kz/niche/09277?event_date=2026-08-01</t>
        </is>
      </c>
      <c r="O1488" s="2" t="inlineStr">
        <is>
          <t>https://kaspi.kz/shop/c/martial%20arts%20belts/</t>
        </is>
      </c>
    </row>
    <row r="1489">
      <c r="A1489" s="2" t="n">
        <v>1488</v>
      </c>
      <c r="B1489" s="2" t="inlineStr">
        <is>
          <t>Спортивные напульсники</t>
        </is>
      </c>
      <c r="C1489" s="2" t="inlineStr">
        <is>
          <t>Спорт, туризм</t>
        </is>
      </c>
      <c r="D1489" s="2" t="inlineStr">
        <is>
          <t>Спорт, туризм → Спортивная защита и экипировка → Спортивные напульсники</t>
        </is>
      </c>
      <c r="E1489" s="3" t="n">
        <v>628786</v>
      </c>
      <c r="F1489" s="3" t="n">
        <v>235</v>
      </c>
      <c r="G1489" s="3">
        <f>IFERROR(E1489/F1489,0)</f>
        <v/>
      </c>
      <c r="H1489" s="3" t="n">
        <v>59</v>
      </c>
      <c r="I1489" s="2" t="n">
        <v>19</v>
      </c>
      <c r="J1489" s="3">
        <f>IFERROR(E1489/H1489,0)</f>
        <v/>
      </c>
      <c r="K1489" s="10">
        <f>E1489/'По разделам'!$B$21</f>
        <v/>
      </c>
      <c r="L1489" s="4">
        <f>L1488+K1489</f>
        <v/>
      </c>
      <c r="M1489" s="2" t="inlineStr">
        <is>
          <t>02368</t>
        </is>
      </c>
      <c r="N1489" s="2" t="inlineStr">
        <is>
          <t>https://app.redstat.kz/niche/02368?event_date=2026-08-01</t>
        </is>
      </c>
      <c r="O1489" s="2" t="inlineStr">
        <is>
          <t>https://kaspi.kz/shop/c/sport%20wristbands/</t>
        </is>
      </c>
    </row>
    <row r="1490">
      <c r="A1490" s="2" t="n">
        <v>1489</v>
      </c>
      <c r="B1490" s="2" t="inlineStr">
        <is>
          <t>Подводные скутеры</t>
        </is>
      </c>
      <c r="C1490" s="2" t="inlineStr">
        <is>
          <t>Спорт, туризм</t>
        </is>
      </c>
      <c r="D1490" s="2" t="inlineStr">
        <is>
          <t>Спорт, туризм → Водный спорт → Подводные скутеры</t>
        </is>
      </c>
      <c r="E1490" s="3" t="n">
        <v>625995</v>
      </c>
      <c r="F1490" s="3" t="n">
        <v>3</v>
      </c>
      <c r="G1490" s="3">
        <f>IFERROR(E1490/F1490,0)</f>
        <v/>
      </c>
      <c r="H1490" s="3" t="n">
        <v>1</v>
      </c>
      <c r="I1490" s="2" t="n">
        <v>1</v>
      </c>
      <c r="J1490" s="3">
        <f>IFERROR(E1490/H1490,0)</f>
        <v/>
      </c>
      <c r="K1490" s="10">
        <f>E1490/'По разделам'!$B$21</f>
        <v/>
      </c>
      <c r="L1490" s="4">
        <f>L1489+K1490</f>
        <v/>
      </c>
      <c r="M1490" s="2" t="inlineStr">
        <is>
          <t>07236</t>
        </is>
      </c>
      <c r="N1490" s="2" t="inlineStr">
        <is>
          <t>https://app.redstat.kz/niche/07236?event_date=2026-08-01</t>
        </is>
      </c>
      <c r="O1490" s="2" t="inlineStr">
        <is>
          <t>https://kaspi.kz/shop/c/underwater%20scooters/</t>
        </is>
      </c>
    </row>
    <row r="1491">
      <c r="A1491" s="2" t="n">
        <v>1490</v>
      </c>
      <c r="B1491" s="2" t="inlineStr">
        <is>
          <t>Каменный уголь</t>
        </is>
      </c>
      <c r="C1491" s="2" t="inlineStr">
        <is>
          <t>Строительство, ремонт</t>
        </is>
      </c>
      <c r="D1491" s="2" t="inlineStr">
        <is>
          <t>Строительство, ремонт → Системы отопления → Каменный уголь</t>
        </is>
      </c>
      <c r="E1491" s="3" t="n">
        <v>624893</v>
      </c>
      <c r="F1491" s="3" t="n">
        <v>8</v>
      </c>
      <c r="G1491" s="3">
        <f>IFERROR(E1491/F1491,0)</f>
        <v/>
      </c>
      <c r="H1491" s="3" t="n">
        <v>5</v>
      </c>
      <c r="I1491" s="2" t="n">
        <v>1</v>
      </c>
      <c r="J1491" s="3">
        <f>IFERROR(E1491/H1491,0)</f>
        <v/>
      </c>
      <c r="K1491" s="10">
        <f>E1491/'По разделам'!$B$21</f>
        <v/>
      </c>
      <c r="L1491" s="4">
        <f>L1490+K1491</f>
        <v/>
      </c>
      <c r="M1491" s="2" t="inlineStr">
        <is>
          <t>06310</t>
        </is>
      </c>
      <c r="N1491" s="2" t="inlineStr">
        <is>
          <t>https://app.redstat.kz/niche/06310?event_date=2026-08-01</t>
        </is>
      </c>
      <c r="O1491" s="2" t="inlineStr">
        <is>
          <t>https://kaspi.kz/shop/c/coal%20for%20heating/</t>
        </is>
      </c>
    </row>
    <row r="1492">
      <c r="A1492" s="2" t="n">
        <v>1491</v>
      </c>
      <c r="B1492" s="2" t="inlineStr">
        <is>
          <t>Канцелярские диспенсеры</t>
        </is>
      </c>
      <c r="C1492" s="2" t="inlineStr">
        <is>
          <t>Канцелярские товары</t>
        </is>
      </c>
      <c r="D1492" s="2" t="inlineStr">
        <is>
          <t>Канцелярские товары → Офисные принадлежности → Канцелярские диспенсеры → Канцелярские диспенсеры</t>
        </is>
      </c>
      <c r="E1492" s="3" t="n">
        <v>614631</v>
      </c>
      <c r="F1492" s="3" t="n">
        <v>227</v>
      </c>
      <c r="G1492" s="3">
        <f>IFERROR(E1492/F1492,0)</f>
        <v/>
      </c>
      <c r="H1492" s="3" t="n">
        <v>42</v>
      </c>
      <c r="I1492" s="2" t="n">
        <v>13</v>
      </c>
      <c r="J1492" s="3">
        <f>IFERROR(E1492/H1492,0)</f>
        <v/>
      </c>
      <c r="K1492" s="10">
        <f>E1492/'По разделам'!$B$21</f>
        <v/>
      </c>
      <c r="L1492" s="4">
        <f>L1491+K1492</f>
        <v/>
      </c>
      <c r="M1492" s="2" t="inlineStr">
        <is>
          <t>q362379829d4aa03</t>
        </is>
      </c>
      <c r="N1492" s="2" t="inlineStr">
        <is>
          <t>https://app.redstat.kz/niche/q362379829d4aa03?event_date=2026-08-01</t>
        </is>
      </c>
      <c r="O1492" s="2" t="inlineStr"/>
    </row>
    <row r="1493">
      <c r="A1493" s="2" t="n">
        <v>1492</v>
      </c>
      <c r="B1493" s="2" t="inlineStr">
        <is>
          <t>Аксессуары для художественной гимнастики</t>
        </is>
      </c>
      <c r="C1493" s="2" t="inlineStr">
        <is>
          <t>Спорт, туризм</t>
        </is>
      </c>
      <c r="D1493" s="2" t="inlineStr">
        <is>
          <t>Спорт, туризм → Художественная гимнастика и танцы → Аксессуары для художественной гимнастики</t>
        </is>
      </c>
      <c r="E1493" s="3" t="n">
        <v>614199</v>
      </c>
      <c r="F1493" s="3" t="n">
        <v>85</v>
      </c>
      <c r="G1493" s="3">
        <f>IFERROR(E1493/F1493,0)</f>
        <v/>
      </c>
      <c r="H1493" s="3" t="n">
        <v>48</v>
      </c>
      <c r="I1493" s="2" t="n">
        <v>6</v>
      </c>
      <c r="J1493" s="3">
        <f>IFERROR(E1493/H1493,0)</f>
        <v/>
      </c>
      <c r="K1493" s="10">
        <f>E1493/'По разделам'!$B$21</f>
        <v/>
      </c>
      <c r="L1493" s="4">
        <f>L1492+K1493</f>
        <v/>
      </c>
      <c r="M1493" s="2" t="inlineStr">
        <is>
          <t>05662</t>
        </is>
      </c>
      <c r="N1493" s="2" t="inlineStr">
        <is>
          <t>https://app.redstat.kz/niche/05662?event_date=2026-08-01</t>
        </is>
      </c>
      <c r="O1493" s="2" t="inlineStr">
        <is>
          <t>https://kaspi.kz/shop/c/rhythmic%20gymnastics%20accessories/</t>
        </is>
      </c>
    </row>
    <row r="1494">
      <c r="A1494" s="2" t="n">
        <v>1493</v>
      </c>
      <c r="B1494" s="2" t="inlineStr">
        <is>
          <t>Аксессуары для ручных инструментов</t>
        </is>
      </c>
      <c r="C1494" s="2" t="inlineStr">
        <is>
          <t>Строительство, ремонт</t>
        </is>
      </c>
      <c r="D1494" s="2" t="inlineStr">
        <is>
          <t>Строительство, ремонт → Ручные инструменты → Аксессуары для ручных инструментов → Аксессуары для ручных инструментов</t>
        </is>
      </c>
      <c r="E1494" s="3" t="n">
        <v>609312</v>
      </c>
      <c r="F1494" s="3" t="n">
        <v>41</v>
      </c>
      <c r="G1494" s="3">
        <f>IFERROR(E1494/F1494,0)</f>
        <v/>
      </c>
      <c r="H1494" s="3" t="n">
        <v>14</v>
      </c>
      <c r="I1494" s="2" t="n">
        <v>9</v>
      </c>
      <c r="J1494" s="3">
        <f>IFERROR(E1494/H1494,0)</f>
        <v/>
      </c>
      <c r="K1494" s="10">
        <f>E1494/'По разделам'!$B$21</f>
        <v/>
      </c>
      <c r="L1494" s="4">
        <f>L1493+K1494</f>
        <v/>
      </c>
      <c r="M1494" s="2" t="inlineStr">
        <is>
          <t>q346ef11241d3bd5</t>
        </is>
      </c>
      <c r="N1494" s="2" t="inlineStr">
        <is>
          <t>https://app.redstat.kz/niche/q346ef11241d3bd5?event_date=2026-08-01</t>
        </is>
      </c>
      <c r="O1494" s="2" t="inlineStr"/>
    </row>
    <row r="1495">
      <c r="A1495" s="2" t="n">
        <v>1494</v>
      </c>
      <c r="B1495" s="2" t="inlineStr">
        <is>
          <t>Унитазы</t>
        </is>
      </c>
      <c r="C1495" s="2" t="inlineStr">
        <is>
          <t>Строительство, ремонт</t>
        </is>
      </c>
      <c r="D1495" s="2" t="inlineStr">
        <is>
          <t>Строительство, ремонт → Сантехника → Унитазы, биде и аксессуары → Унитазы</t>
        </is>
      </c>
      <c r="E1495" s="3" t="n">
        <v>607909</v>
      </c>
      <c r="F1495" s="3" t="n">
        <v>65</v>
      </c>
      <c r="G1495" s="3">
        <f>IFERROR(E1495/F1495,0)</f>
        <v/>
      </c>
      <c r="H1495" s="3" t="n">
        <v>27</v>
      </c>
      <c r="I1495" s="2" t="n">
        <v>17</v>
      </c>
      <c r="J1495" s="3">
        <f>IFERROR(E1495/H1495,0)</f>
        <v/>
      </c>
      <c r="K1495" s="10">
        <f>E1495/'По разделам'!$B$21</f>
        <v/>
      </c>
      <c r="L1495" s="4">
        <f>L1494+K1495</f>
        <v/>
      </c>
      <c r="M1495" s="2" t="inlineStr">
        <is>
          <t>05440</t>
        </is>
      </c>
      <c r="N1495" s="2" t="inlineStr">
        <is>
          <t>https://app.redstat.kz/niche/05440?event_date=2026-08-01</t>
        </is>
      </c>
      <c r="O1495" s="2" t="inlineStr">
        <is>
          <t>https://kaspi.kz/shop/c/toilets/</t>
        </is>
      </c>
    </row>
    <row r="1496">
      <c r="A1496" s="2" t="n">
        <v>1495</v>
      </c>
      <c r="B1496" s="2" t="inlineStr">
        <is>
          <t>Тормозные жидкости</t>
        </is>
      </c>
      <c r="C1496" s="2" t="inlineStr">
        <is>
          <t>Автотовары</t>
        </is>
      </c>
      <c r="D1496" s="2" t="inlineStr">
        <is>
          <t>Автотовары → Масла и технические жидкости → Тормозные жидкости</t>
        </is>
      </c>
      <c r="E1496" s="3" t="n">
        <v>606499</v>
      </c>
      <c r="F1496" s="3" t="n">
        <v>147</v>
      </c>
      <c r="G1496" s="3">
        <f>IFERROR(E1496/F1496,0)</f>
        <v/>
      </c>
      <c r="H1496" s="3" t="n">
        <v>20</v>
      </c>
      <c r="I1496" s="2" t="n">
        <v>13</v>
      </c>
      <c r="J1496" s="3">
        <f>IFERROR(E1496/H1496,0)</f>
        <v/>
      </c>
      <c r="K1496" s="10">
        <f>E1496/'По разделам'!$B$21</f>
        <v/>
      </c>
      <c r="L1496" s="4">
        <f>L1495+K1496</f>
        <v/>
      </c>
      <c r="M1496" s="2" t="inlineStr">
        <is>
          <t>01454</t>
        </is>
      </c>
      <c r="N1496" s="2" t="inlineStr">
        <is>
          <t>https://app.redstat.kz/niche/01454?event_date=2026-08-01</t>
        </is>
      </c>
      <c r="O1496" s="2" t="inlineStr">
        <is>
          <t>https://kaspi.kz/shop/c/brake%20fluids/</t>
        </is>
      </c>
    </row>
    <row r="1497">
      <c r="A1497" s="2" t="n">
        <v>1496</v>
      </c>
      <c r="B1497" s="2" t="inlineStr">
        <is>
          <t>Анкерные болты</t>
        </is>
      </c>
      <c r="C1497" s="2" t="inlineStr">
        <is>
          <t>Строительство, ремонт</t>
        </is>
      </c>
      <c r="D1497" s="2" t="inlineStr">
        <is>
          <t>Строительство, ремонт → Строительный крепеж → Анкерные болты</t>
        </is>
      </c>
      <c r="E1497" s="3" t="n">
        <v>593429</v>
      </c>
      <c r="F1497" s="3" t="n">
        <v>85</v>
      </c>
      <c r="G1497" s="3">
        <f>IFERROR(E1497/F1497,0)</f>
        <v/>
      </c>
      <c r="H1497" s="3" t="n">
        <v>33</v>
      </c>
      <c r="I1497" s="2" t="n">
        <v>9</v>
      </c>
      <c r="J1497" s="3">
        <f>IFERROR(E1497/H1497,0)</f>
        <v/>
      </c>
      <c r="K1497" s="10">
        <f>E1497/'По разделам'!$B$21</f>
        <v/>
      </c>
      <c r="L1497" s="4">
        <f>L1496+K1497</f>
        <v/>
      </c>
      <c r="M1497" s="2" t="inlineStr">
        <is>
          <t>04391</t>
        </is>
      </c>
      <c r="N1497" s="2" t="inlineStr">
        <is>
          <t>https://app.redstat.kz/niche/04391?event_date=2026-08-01</t>
        </is>
      </c>
      <c r="O1497" s="2" t="inlineStr">
        <is>
          <t>https://kaspi.kz/shop/c/anchor%20bolts/</t>
        </is>
      </c>
    </row>
    <row r="1498">
      <c r="A1498" s="2" t="n">
        <v>1497</v>
      </c>
      <c r="B1498" s="2" t="inlineStr">
        <is>
          <t>Изолента</t>
        </is>
      </c>
      <c r="C1498" s="2" t="inlineStr">
        <is>
          <t>Строительство, ремонт</t>
        </is>
      </c>
      <c r="D1498" s="2" t="inlineStr">
        <is>
          <t>Строительство, ремонт → Электрика → Изделия для электромонтажных работ → Изолента</t>
        </is>
      </c>
      <c r="E1498" s="3" t="n">
        <v>590043</v>
      </c>
      <c r="F1498" s="3" t="n">
        <v>296</v>
      </c>
      <c r="G1498" s="3">
        <f>IFERROR(E1498/F1498,0)</f>
        <v/>
      </c>
      <c r="H1498" s="3" t="n">
        <v>96</v>
      </c>
      <c r="I1498" s="2" t="n">
        <v>38</v>
      </c>
      <c r="J1498" s="3">
        <f>IFERROR(E1498/H1498,0)</f>
        <v/>
      </c>
      <c r="K1498" s="10">
        <f>E1498/'По разделам'!$B$21</f>
        <v/>
      </c>
      <c r="L1498" s="4">
        <f>L1497+K1498</f>
        <v/>
      </c>
      <c r="M1498" s="2" t="inlineStr">
        <is>
          <t>02769</t>
        </is>
      </c>
      <c r="N1498" s="2" t="inlineStr">
        <is>
          <t>https://app.redstat.kz/niche/02769?event_date=2026-08-01</t>
        </is>
      </c>
      <c r="O1498" s="2" t="inlineStr">
        <is>
          <t>https://kaspi.kz/shop/c/electrical%20tape/</t>
        </is>
      </c>
    </row>
    <row r="1499">
      <c r="A1499" s="2" t="n">
        <v>1498</v>
      </c>
      <c r="B1499" s="2" t="inlineStr">
        <is>
          <t>Биговальные машины</t>
        </is>
      </c>
      <c r="C1499" s="2" t="inlineStr">
        <is>
          <t>Канцелярские товары</t>
        </is>
      </c>
      <c r="D1499" s="2" t="inlineStr">
        <is>
          <t>Канцелярские товары → Постпечатное оборудование → Биговальные машины</t>
        </is>
      </c>
      <c r="E1499" s="3" t="n">
        <v>589278</v>
      </c>
      <c r="F1499" s="3" t="n">
        <v>6</v>
      </c>
      <c r="G1499" s="3">
        <f>IFERROR(E1499/F1499,0)</f>
        <v/>
      </c>
      <c r="H1499" s="3" t="n">
        <v>4</v>
      </c>
      <c r="I1499" s="2" t="n">
        <v>3</v>
      </c>
      <c r="J1499" s="3">
        <f>IFERROR(E1499/H1499,0)</f>
        <v/>
      </c>
      <c r="K1499" s="10">
        <f>E1499/'По разделам'!$B$21</f>
        <v/>
      </c>
      <c r="L1499" s="4">
        <f>L1498+K1499</f>
        <v/>
      </c>
      <c r="M1499" s="2" t="inlineStr">
        <is>
          <t>06388</t>
        </is>
      </c>
      <c r="N1499" s="2" t="inlineStr">
        <is>
          <t>https://app.redstat.kz/niche/06388?event_date=2026-08-01</t>
        </is>
      </c>
      <c r="O1499" s="2" t="inlineStr">
        <is>
          <t>https://kaspi.kz/shop/c/running%20machines/</t>
        </is>
      </c>
    </row>
    <row r="1500">
      <c r="A1500" s="2" t="n">
        <v>1499</v>
      </c>
      <c r="B1500" s="2" t="inlineStr">
        <is>
          <t>Уход за очками</t>
        </is>
      </c>
      <c r="C1500" s="2" t="inlineStr">
        <is>
          <t>Аксессуары</t>
        </is>
      </c>
      <c r="D1500" s="2" t="inlineStr">
        <is>
          <t>Аксессуары → Очки и аксессуары → Уход за очками</t>
        </is>
      </c>
      <c r="E1500" s="3" t="n">
        <v>582709</v>
      </c>
      <c r="F1500" s="3" t="n">
        <v>422</v>
      </c>
      <c r="G1500" s="3">
        <f>IFERROR(E1500/F1500,0)</f>
        <v/>
      </c>
      <c r="H1500" s="3" t="n">
        <v>33</v>
      </c>
      <c r="I1500" s="2" t="n">
        <v>9</v>
      </c>
      <c r="J1500" s="3">
        <f>IFERROR(E1500/H1500,0)</f>
        <v/>
      </c>
      <c r="K1500" s="10">
        <f>E1500/'По разделам'!$B$21</f>
        <v/>
      </c>
      <c r="L1500" s="4">
        <f>L1499+K1500</f>
        <v/>
      </c>
      <c r="M1500" s="2" t="inlineStr">
        <is>
          <t>04673</t>
        </is>
      </c>
      <c r="N1500" s="2" t="inlineStr">
        <is>
          <t>https://app.redstat.kz/niche/04673?event_date=2026-08-01</t>
        </is>
      </c>
      <c r="O1500" s="2" t="inlineStr">
        <is>
          <t>https://kaspi.kz/shop/c/eyeglass%20care%20products/</t>
        </is>
      </c>
    </row>
    <row r="1501">
      <c r="A1501" s="2" t="n">
        <v>1500</v>
      </c>
      <c r="B1501" s="2" t="inlineStr">
        <is>
          <t>Аксессуары для систем нагревания</t>
        </is>
      </c>
      <c r="C1501" s="2" t="inlineStr">
        <is>
          <t>Телефоны и гаджеты</t>
        </is>
      </c>
      <c r="D1501" s="2" t="inlineStr">
        <is>
          <t>Телефоны и гаджеты → Гаджеты → Аксессуары для систем нагревания</t>
        </is>
      </c>
      <c r="E1501" s="3" t="n">
        <v>582513</v>
      </c>
      <c r="F1501" s="3" t="n">
        <v>145</v>
      </c>
      <c r="G1501" s="3">
        <f>IFERROR(E1501/F1501,0)</f>
        <v/>
      </c>
      <c r="H1501" s="3" t="n">
        <v>47</v>
      </c>
      <c r="I1501" s="2" t="n">
        <v>4</v>
      </c>
      <c r="J1501" s="3">
        <f>IFERROR(E1501/H1501,0)</f>
        <v/>
      </c>
      <c r="K1501" s="10">
        <f>E1501/'По разделам'!$B$21</f>
        <v/>
      </c>
      <c r="L1501" s="4">
        <f>L1500+K1501</f>
        <v/>
      </c>
      <c r="M1501" s="2" t="inlineStr">
        <is>
          <t>03346</t>
        </is>
      </c>
      <c r="N1501" s="2" t="inlineStr">
        <is>
          <t>https://app.redstat.kz/niche/03346?event_date=2026-08-01</t>
        </is>
      </c>
      <c r="O1501" s="2" t="inlineStr">
        <is>
          <t>https://kaspi.kz/shop/c/accessories%20for%20tobacco%20heating%20systems/</t>
        </is>
      </c>
    </row>
    <row r="1502">
      <c r="A1502" s="2" t="n">
        <v>1501</v>
      </c>
      <c r="B1502" s="2" t="inlineStr">
        <is>
          <t>Скальные туфли для альпинизма</t>
        </is>
      </c>
      <c r="C1502" s="2" t="inlineStr">
        <is>
          <t>Спорт, туризм</t>
        </is>
      </c>
      <c r="D1502" s="2" t="inlineStr">
        <is>
          <t>Спорт, туризм → Альпинизм и скалолазание → Скальные туфли для альпинизма</t>
        </is>
      </c>
      <c r="E1502" s="3" t="n">
        <v>575100</v>
      </c>
      <c r="F1502" s="3" t="n">
        <v>9</v>
      </c>
      <c r="G1502" s="3">
        <f>IFERROR(E1502/F1502,0)</f>
        <v/>
      </c>
      <c r="H1502" s="3" t="n">
        <v>9</v>
      </c>
      <c r="I1502" s="2" t="n">
        <v>3</v>
      </c>
      <c r="J1502" s="3">
        <f>IFERROR(E1502/H1502,0)</f>
        <v/>
      </c>
      <c r="K1502" s="10">
        <f>E1502/'По разделам'!$B$21</f>
        <v/>
      </c>
      <c r="L1502" s="4">
        <f>L1501+K1502</f>
        <v/>
      </c>
      <c r="M1502" s="2" t="inlineStr">
        <is>
          <t>06136</t>
        </is>
      </c>
      <c r="N1502" s="2" t="inlineStr">
        <is>
          <t>https://app.redstat.kz/niche/06136?event_date=2026-08-01</t>
        </is>
      </c>
      <c r="O1502" s="2" t="inlineStr">
        <is>
          <t>https://kaspi.kz/shop/c/climbing%20rock%20shoes/</t>
        </is>
      </c>
    </row>
    <row r="1503">
      <c r="A1503" s="2" t="n">
        <v>1502</v>
      </c>
      <c r="B1503" s="2" t="inlineStr">
        <is>
          <t>Мясорубки</t>
        </is>
      </c>
      <c r="C1503" s="2" t="inlineStr">
        <is>
          <t>Бытовая техника</t>
        </is>
      </c>
      <c r="D1503" s="2" t="inlineStr">
        <is>
          <t>Бытовая техника → Мелкая техника для кухни → Кухонные комбайны и мясорубки → Мясорубки</t>
        </is>
      </c>
      <c r="E1503" s="3" t="n">
        <v>574780</v>
      </c>
      <c r="F1503" s="3" t="n">
        <v>17</v>
      </c>
      <c r="G1503" s="3">
        <f>IFERROR(E1503/F1503,0)</f>
        <v/>
      </c>
      <c r="H1503" s="3" t="n">
        <v>6</v>
      </c>
      <c r="I1503" s="2" t="n">
        <v>6</v>
      </c>
      <c r="J1503" s="3">
        <f>IFERROR(E1503/H1503,0)</f>
        <v/>
      </c>
      <c r="K1503" s="10">
        <f>E1503/'По разделам'!$B$21</f>
        <v/>
      </c>
      <c r="L1503" s="4">
        <f>L1502+K1503</f>
        <v/>
      </c>
      <c r="M1503" s="2" t="inlineStr">
        <is>
          <t>03514</t>
        </is>
      </c>
      <c r="N1503" s="2" t="inlineStr">
        <is>
          <t>https://app.redstat.kz/niche/03514?event_date=2026-08-01</t>
        </is>
      </c>
      <c r="O1503" s="2" t="inlineStr">
        <is>
          <t>https://kaspi.kz/shop/c/meat%20grinders/</t>
        </is>
      </c>
    </row>
    <row r="1504">
      <c r="A1504" s="2" t="n">
        <v>1503</v>
      </c>
      <c r="B1504" s="2" t="inlineStr">
        <is>
          <t>Термогибочное оборудование</t>
        </is>
      </c>
      <c r="C1504" s="2" t="inlineStr">
        <is>
          <t>Канцелярские товары</t>
        </is>
      </c>
      <c r="D1504" s="2" t="inlineStr">
        <is>
          <t>Канцелярские товары → Постпечатное оборудование → Термогибочное оборудование</t>
        </is>
      </c>
      <c r="E1504" s="3" t="n">
        <v>572646</v>
      </c>
      <c r="F1504" s="3" t="n">
        <v>13</v>
      </c>
      <c r="G1504" s="3">
        <f>IFERROR(E1504/F1504,0)</f>
        <v/>
      </c>
      <c r="H1504" s="3" t="n">
        <v>5</v>
      </c>
      <c r="I1504" s="2" t="n">
        <v>1</v>
      </c>
      <c r="J1504" s="3">
        <f>IFERROR(E1504/H1504,0)</f>
        <v/>
      </c>
      <c r="K1504" s="10">
        <f>E1504/'По разделам'!$B$21</f>
        <v/>
      </c>
      <c r="L1504" s="4">
        <f>L1503+K1504</f>
        <v/>
      </c>
      <c r="M1504" s="2" t="inlineStr">
        <is>
          <t>06790</t>
        </is>
      </c>
      <c r="N1504" s="2" t="inlineStr">
        <is>
          <t>https://app.redstat.kz/niche/06790?event_date=2026-08-01</t>
        </is>
      </c>
      <c r="O1504" s="2" t="inlineStr">
        <is>
          <t>https://kaspi.kz/shop/c/thermoforming%20equipment/</t>
        </is>
      </c>
    </row>
    <row r="1505">
      <c r="A1505" s="2" t="n">
        <v>1504</v>
      </c>
      <c r="B1505" s="2" t="inlineStr">
        <is>
          <t>Грядки, клумбы и ограждения для сада</t>
        </is>
      </c>
      <c r="C1505" s="2" t="inlineStr">
        <is>
          <t>Товары для дома и дачи</t>
        </is>
      </c>
      <c r="D1505" s="2" t="inlineStr">
        <is>
          <t>Товары для дома и дачи → Дача, сад и огород → Садовый декор → Грядки, клумбы и ограждения для сада</t>
        </is>
      </c>
      <c r="E1505" s="3" t="n">
        <v>566048</v>
      </c>
      <c r="F1505" s="3" t="n">
        <v>82</v>
      </c>
      <c r="G1505" s="3">
        <f>IFERROR(E1505/F1505,0)</f>
        <v/>
      </c>
      <c r="H1505" s="3" t="n">
        <v>47</v>
      </c>
      <c r="I1505" s="2" t="n">
        <v>14</v>
      </c>
      <c r="J1505" s="3">
        <f>IFERROR(E1505/H1505,0)</f>
        <v/>
      </c>
      <c r="K1505" s="10">
        <f>E1505/'По разделам'!$B$21</f>
        <v/>
      </c>
      <c r="L1505" s="4">
        <f>L1504+K1505</f>
        <v/>
      </c>
      <c r="M1505" s="2" t="inlineStr">
        <is>
          <t>03449</t>
        </is>
      </c>
      <c r="N1505" s="2" t="inlineStr">
        <is>
          <t>https://app.redstat.kz/niche/03449?event_date=2026-08-01</t>
        </is>
      </c>
      <c r="O1505" s="2" t="inlineStr">
        <is>
          <t>https://kaspi.kz/shop/c/garden%20beds%20and%20fences/</t>
        </is>
      </c>
    </row>
    <row r="1506">
      <c r="A1506" s="2" t="n">
        <v>1505</v>
      </c>
      <c r="B1506" s="2" t="inlineStr">
        <is>
          <t>Фидерные платформы и кресла</t>
        </is>
      </c>
      <c r="C1506" s="2" t="inlineStr">
        <is>
          <t>Спорт, туризм</t>
        </is>
      </c>
      <c r="D1506" s="2" t="inlineStr">
        <is>
          <t>Спорт, туризм → Товары для рыбалки → Фидерные платформы и кресла</t>
        </is>
      </c>
      <c r="E1506" s="3" t="n">
        <v>566046</v>
      </c>
      <c r="F1506" s="3" t="n">
        <v>36</v>
      </c>
      <c r="G1506" s="3">
        <f>IFERROR(E1506/F1506,0)</f>
        <v/>
      </c>
      <c r="H1506" s="3" t="n">
        <v>9</v>
      </c>
      <c r="I1506" s="2" t="n">
        <v>4</v>
      </c>
      <c r="J1506" s="3">
        <f>IFERROR(E1506/H1506,0)</f>
        <v/>
      </c>
      <c r="K1506" s="10">
        <f>E1506/'По разделам'!$B$21</f>
        <v/>
      </c>
      <c r="L1506" s="4">
        <f>L1505+K1506</f>
        <v/>
      </c>
      <c r="M1506" s="2" t="inlineStr">
        <is>
          <t>06516</t>
        </is>
      </c>
      <c r="N1506" s="2" t="inlineStr">
        <is>
          <t>https://app.redstat.kz/niche/06516?event_date=2026-08-01</t>
        </is>
      </c>
      <c r="O1506" s="2" t="inlineStr">
        <is>
          <t>https://kaspi.kz/shop/c/feeder%20platforms%20and%20chairs/</t>
        </is>
      </c>
    </row>
    <row r="1507">
      <c r="A1507" s="2" t="n">
        <v>1506</v>
      </c>
      <c r="B1507" s="2" t="inlineStr">
        <is>
          <t>Полимерные материалы</t>
        </is>
      </c>
      <c r="C1507" s="2" t="inlineStr">
        <is>
          <t>Строительство, ремонт</t>
        </is>
      </c>
      <c r="D1507" s="2" t="inlineStr">
        <is>
          <t>Строительство, ремонт → Строительные материалы → Полимерные материалы → Полимерные материалы</t>
        </is>
      </c>
      <c r="E1507" s="3" t="n">
        <v>566002</v>
      </c>
      <c r="F1507" s="3" t="n">
        <v>23</v>
      </c>
      <c r="G1507" s="3">
        <f>IFERROR(E1507/F1507,0)</f>
        <v/>
      </c>
      <c r="H1507" s="3" t="n">
        <v>14</v>
      </c>
      <c r="I1507" s="2" t="n">
        <v>2</v>
      </c>
      <c r="J1507" s="3">
        <f>IFERROR(E1507/H1507,0)</f>
        <v/>
      </c>
      <c r="K1507" s="10">
        <f>E1507/'По разделам'!$B$21</f>
        <v/>
      </c>
      <c r="L1507" s="4">
        <f>L1506+K1507</f>
        <v/>
      </c>
      <c r="M1507" s="2" t="inlineStr">
        <is>
          <t>qb395bbe672d4b23</t>
        </is>
      </c>
      <c r="N1507" s="2" t="inlineStr">
        <is>
          <t>https://app.redstat.kz/niche/qb395bbe672d4b23?event_date=2026-08-01</t>
        </is>
      </c>
      <c r="O1507" s="2" t="inlineStr"/>
    </row>
    <row r="1508">
      <c r="A1508" s="2" t="n">
        <v>1507</v>
      </c>
      <c r="B1508" s="2" t="inlineStr">
        <is>
          <t>Зубные щетки для животных</t>
        </is>
      </c>
      <c r="C1508" s="2" t="inlineStr">
        <is>
          <t>Товары для животных</t>
        </is>
      </c>
      <c r="D1508" s="2" t="inlineStr">
        <is>
          <t>Товары для животных → Гигиена и уход за животными → Зубные щетки для животных</t>
        </is>
      </c>
      <c r="E1508" s="3" t="n">
        <v>565148</v>
      </c>
      <c r="F1508" s="3" t="n">
        <v>347</v>
      </c>
      <c r="G1508" s="3">
        <f>IFERROR(E1508/F1508,0)</f>
        <v/>
      </c>
      <c r="H1508" s="3" t="n">
        <v>30</v>
      </c>
      <c r="I1508" s="2" t="n">
        <v>13</v>
      </c>
      <c r="J1508" s="3">
        <f>IFERROR(E1508/H1508,0)</f>
        <v/>
      </c>
      <c r="K1508" s="10">
        <f>E1508/'По разделам'!$B$21</f>
        <v/>
      </c>
      <c r="L1508" s="4">
        <f>L1507+K1508</f>
        <v/>
      </c>
      <c r="M1508" s="2" t="inlineStr">
        <is>
          <t>02785</t>
        </is>
      </c>
      <c r="N1508" s="2" t="inlineStr">
        <is>
          <t>https://app.redstat.kz/niche/02785?event_date=2026-08-01</t>
        </is>
      </c>
      <c r="O1508" s="2" t="inlineStr">
        <is>
          <t>https://kaspi.kz/shop/c/pets%20toothbrushes/</t>
        </is>
      </c>
    </row>
    <row r="1509">
      <c r="A1509" s="2" t="n">
        <v>1508</v>
      </c>
      <c r="B1509" s="2" t="inlineStr">
        <is>
          <t>Музыка ветра</t>
        </is>
      </c>
      <c r="C1509" s="2" t="inlineStr">
        <is>
          <t>Досуг, книги</t>
        </is>
      </c>
      <c r="D1509" s="2" t="inlineStr">
        <is>
          <t>Досуг, книги → Гадания и эзотерика → Музыка ветра</t>
        </is>
      </c>
      <c r="E1509" s="3" t="n">
        <v>561828</v>
      </c>
      <c r="F1509" s="3" t="n">
        <v>148</v>
      </c>
      <c r="G1509" s="3">
        <f>IFERROR(E1509/F1509,0)</f>
        <v/>
      </c>
      <c r="H1509" s="3" t="n">
        <v>32</v>
      </c>
      <c r="I1509" s="2" t="n">
        <v>4</v>
      </c>
      <c r="J1509" s="3">
        <f>IFERROR(E1509/H1509,0)</f>
        <v/>
      </c>
      <c r="K1509" s="10">
        <f>E1509/'По разделам'!$B$21</f>
        <v/>
      </c>
      <c r="L1509" s="4">
        <f>L1508+K1509</f>
        <v/>
      </c>
      <c r="M1509" s="2" t="inlineStr">
        <is>
          <t>05559</t>
        </is>
      </c>
      <c r="N1509" s="2" t="inlineStr">
        <is>
          <t>https://app.redstat.kz/niche/05559?event_date=2026-08-01</t>
        </is>
      </c>
      <c r="O1509" s="2" t="inlineStr">
        <is>
          <t>https://kaspi.kz/shop/c/wind%20chimes/</t>
        </is>
      </c>
    </row>
    <row r="1510">
      <c r="A1510" s="2" t="n">
        <v>1509</v>
      </c>
      <c r="B1510" s="2" t="inlineStr">
        <is>
          <t>Оснастки для печатей и штампов, чехлы</t>
        </is>
      </c>
      <c r="C1510" s="2" t="inlineStr">
        <is>
          <t>Канцелярские товары</t>
        </is>
      </c>
      <c r="D1510" s="2" t="inlineStr">
        <is>
          <t>Канцелярские товары → Штемпельные принадлежности → Оснастки для печатей и штампов, чехлы</t>
        </is>
      </c>
      <c r="E1510" s="3" t="n">
        <v>560164</v>
      </c>
      <c r="F1510" s="3" t="n">
        <v>215</v>
      </c>
      <c r="G1510" s="3">
        <f>IFERROR(E1510/F1510,0)</f>
        <v/>
      </c>
      <c r="H1510" s="3" t="n">
        <v>23</v>
      </c>
      <c r="I1510" s="2" t="n">
        <v>5</v>
      </c>
      <c r="J1510" s="3">
        <f>IFERROR(E1510/H1510,0)</f>
        <v/>
      </c>
      <c r="K1510" s="10">
        <f>E1510/'По разделам'!$B$21</f>
        <v/>
      </c>
      <c r="L1510" s="4">
        <f>L1509+K1510</f>
        <v/>
      </c>
      <c r="M1510" s="2" t="inlineStr">
        <is>
          <t>06125</t>
        </is>
      </c>
      <c r="N1510" s="2" t="inlineStr">
        <is>
          <t>https://app.redstat.kz/niche/06125?event_date=2026-08-01</t>
        </is>
      </c>
      <c r="O1510" s="2" t="inlineStr">
        <is>
          <t>https://kaspi.kz/shop/c/essentials%20stamp%20bodies/</t>
        </is>
      </c>
    </row>
    <row r="1511">
      <c r="A1511" s="2" t="n">
        <v>1510</v>
      </c>
      <c r="B1511" s="2" t="inlineStr">
        <is>
          <t>Клеи строительные и хозяйственные</t>
        </is>
      </c>
      <c r="C1511" s="2" t="inlineStr">
        <is>
          <t>Строительство, ремонт</t>
        </is>
      </c>
      <c r="D1511" s="2" t="inlineStr">
        <is>
          <t>Строительство, ремонт → Строительные материалы → Монтажные пены, герметики, клей → Клеи и жидкие гвозди → Клеи строительные и хозяйственные</t>
        </is>
      </c>
      <c r="E1511" s="3" t="n">
        <v>558531</v>
      </c>
      <c r="F1511" s="3" t="n">
        <v>125</v>
      </c>
      <c r="G1511" s="3">
        <f>IFERROR(E1511/F1511,0)</f>
        <v/>
      </c>
      <c r="H1511" s="3" t="n">
        <v>46</v>
      </c>
      <c r="I1511" s="2" t="n">
        <v>32</v>
      </c>
      <c r="J1511" s="3">
        <f>IFERROR(E1511/H1511,0)</f>
        <v/>
      </c>
      <c r="K1511" s="10">
        <f>E1511/'По разделам'!$B$21</f>
        <v/>
      </c>
      <c r="L1511" s="4">
        <f>L1510+K1511</f>
        <v/>
      </c>
      <c r="M1511" s="2" t="inlineStr">
        <is>
          <t>05792</t>
        </is>
      </c>
      <c r="N1511" s="2" t="inlineStr">
        <is>
          <t>https://app.redstat.kz/niche/05792?event_date=2026-08-01</t>
        </is>
      </c>
      <c r="O1511" s="2" t="inlineStr">
        <is>
          <t>https://kaspi.kz/shop/c/household%20adhesives/</t>
        </is>
      </c>
    </row>
    <row r="1512">
      <c r="A1512" s="2" t="n">
        <v>1511</v>
      </c>
      <c r="B1512" s="2" t="inlineStr">
        <is>
          <t>Аксессуары для кукол</t>
        </is>
      </c>
      <c r="C1512" s="2" t="inlineStr">
        <is>
          <t>Детские товары</t>
        </is>
      </c>
      <c r="D1512" s="2" t="inlineStr">
        <is>
          <t>Детские товары → Игрушки → Куклы и аксессуары → Аксессуары для кукол</t>
        </is>
      </c>
      <c r="E1512" s="3" t="n">
        <v>556744</v>
      </c>
      <c r="F1512" s="3" t="n">
        <v>61</v>
      </c>
      <c r="G1512" s="3">
        <f>IFERROR(E1512/F1512,0)</f>
        <v/>
      </c>
      <c r="H1512" s="3" t="n">
        <v>31</v>
      </c>
      <c r="I1512" s="2" t="n">
        <v>15</v>
      </c>
      <c r="J1512" s="3">
        <f>IFERROR(E1512/H1512,0)</f>
        <v/>
      </c>
      <c r="K1512" s="10">
        <f>E1512/'По разделам'!$B$21</f>
        <v/>
      </c>
      <c r="L1512" s="4">
        <f>L1511+K1512</f>
        <v/>
      </c>
      <c r="M1512" s="2" t="inlineStr">
        <is>
          <t>02519</t>
        </is>
      </c>
      <c r="N1512" s="2" t="inlineStr">
        <is>
          <t>https://app.redstat.kz/niche/02519?event_date=2026-08-01</t>
        </is>
      </c>
      <c r="O1512" s="2" t="inlineStr">
        <is>
          <t>https://kaspi.kz/shop/c/doll%20accessories/</t>
        </is>
      </c>
    </row>
    <row r="1513">
      <c r="A1513" s="2" t="n">
        <v>1512</v>
      </c>
      <c r="B1513" s="2" t="inlineStr">
        <is>
          <t>Шайбы</t>
        </is>
      </c>
      <c r="C1513" s="2" t="inlineStr">
        <is>
          <t>Строительство, ремонт</t>
        </is>
      </c>
      <c r="D1513" s="2" t="inlineStr">
        <is>
          <t>Строительство, ремонт → Строительный крепеж → Шайбы</t>
        </is>
      </c>
      <c r="E1513" s="3" t="n">
        <v>555448</v>
      </c>
      <c r="F1513" s="3" t="n">
        <v>181</v>
      </c>
      <c r="G1513" s="3">
        <f>IFERROR(E1513/F1513,0)</f>
        <v/>
      </c>
      <c r="H1513" s="3" t="n">
        <v>56</v>
      </c>
      <c r="I1513" s="2" t="n">
        <v>11</v>
      </c>
      <c r="J1513" s="3">
        <f>IFERROR(E1513/H1513,0)</f>
        <v/>
      </c>
      <c r="K1513" s="10">
        <f>E1513/'По разделам'!$B$21</f>
        <v/>
      </c>
      <c r="L1513" s="4">
        <f>L1512+K1513</f>
        <v/>
      </c>
      <c r="M1513" s="2" t="inlineStr">
        <is>
          <t>04389</t>
        </is>
      </c>
      <c r="N1513" s="2" t="inlineStr">
        <is>
          <t>https://app.redstat.kz/niche/04389?event_date=2026-08-01</t>
        </is>
      </c>
      <c r="O1513" s="2" t="inlineStr">
        <is>
          <t>https://kaspi.kz/shop/c/fastening%20washers/</t>
        </is>
      </c>
    </row>
    <row r="1514">
      <c r="A1514" s="2" t="n">
        <v>1513</v>
      </c>
      <c r="B1514" s="2" t="inlineStr">
        <is>
          <t>Аксессуары и комплектующие для аттракционов</t>
        </is>
      </c>
      <c r="C1514" s="2" t="inlineStr">
        <is>
          <t>Досуг, книги</t>
        </is>
      </c>
      <c r="D1514" s="2" t="inlineStr">
        <is>
          <t>Досуг, книги → Аттракционы для помещений → Аксессуары и комплектующие для аттракционов</t>
        </is>
      </c>
      <c r="E1514" s="3" t="n">
        <v>550765</v>
      </c>
      <c r="F1514" s="3" t="n">
        <v>40</v>
      </c>
      <c r="G1514" s="3">
        <f>IFERROR(E1514/F1514,0)</f>
        <v/>
      </c>
      <c r="H1514" s="3" t="n">
        <v>19</v>
      </c>
      <c r="I1514" s="2" t="n">
        <v>2</v>
      </c>
      <c r="J1514" s="3">
        <f>IFERROR(E1514/H1514,0)</f>
        <v/>
      </c>
      <c r="K1514" s="10">
        <f>E1514/'По разделам'!$B$21</f>
        <v/>
      </c>
      <c r="L1514" s="4">
        <f>L1513+K1514</f>
        <v/>
      </c>
      <c r="M1514" s="2" t="inlineStr">
        <is>
          <t>09322</t>
        </is>
      </c>
      <c r="N1514" s="2" t="inlineStr">
        <is>
          <t>https://app.redstat.kz/niche/09322?event_date=2026-08-01</t>
        </is>
      </c>
      <c r="O1514" s="2" t="inlineStr">
        <is>
          <t>https://kaspi.kz/shop/c/accessories%20and%20components%20for%20amusement%20rides/</t>
        </is>
      </c>
    </row>
    <row r="1515">
      <c r="A1515" s="2" t="n">
        <v>1514</v>
      </c>
      <c r="B1515" s="2" t="inlineStr">
        <is>
          <t>Строительные шпильки, штифты и шплинты</t>
        </is>
      </c>
      <c r="C1515" s="2" t="inlineStr">
        <is>
          <t>Строительство, ремонт</t>
        </is>
      </c>
      <c r="D1515" s="2" t="inlineStr">
        <is>
          <t>Строительство, ремонт → Строительный крепеж → Строительные шпильки, штифты и шплинты</t>
        </is>
      </c>
      <c r="E1515" s="3" t="n">
        <v>546880</v>
      </c>
      <c r="F1515" s="3" t="n">
        <v>58</v>
      </c>
      <c r="G1515" s="3">
        <f>IFERROR(E1515/F1515,0)</f>
        <v/>
      </c>
      <c r="H1515" s="3" t="n">
        <v>22</v>
      </c>
      <c r="I1515" s="2" t="n">
        <v>6</v>
      </c>
      <c r="J1515" s="3">
        <f>IFERROR(E1515/H1515,0)</f>
        <v/>
      </c>
      <c r="K1515" s="10">
        <f>E1515/'По разделам'!$B$21</f>
        <v/>
      </c>
      <c r="L1515" s="4">
        <f>L1514+K1515</f>
        <v/>
      </c>
      <c r="M1515" s="2" t="inlineStr">
        <is>
          <t>06245</t>
        </is>
      </c>
      <c r="N1515" s="2" t="inlineStr">
        <is>
          <t>https://app.redstat.kz/niche/06245?event_date=2026-08-01</t>
        </is>
      </c>
      <c r="O1515" s="2" t="inlineStr">
        <is>
          <t>https://kaspi.kz/shop/c/construction%20studs%20and%20pins/</t>
        </is>
      </c>
    </row>
    <row r="1516">
      <c r="A1516" s="2" t="n">
        <v>1515</v>
      </c>
      <c r="B1516" s="2" t="inlineStr">
        <is>
          <t>Ножницы для стрижки животных</t>
        </is>
      </c>
      <c r="C1516" s="2" t="inlineStr">
        <is>
          <t>Товары для животных</t>
        </is>
      </c>
      <c r="D1516" s="2" t="inlineStr">
        <is>
          <t>Товары для животных → Груминг → Ножницы для стрижки животных</t>
        </is>
      </c>
      <c r="E1516" s="3" t="n">
        <v>543227</v>
      </c>
      <c r="F1516" s="3" t="n">
        <v>102</v>
      </c>
      <c r="G1516" s="3">
        <f>IFERROR(E1516/F1516,0)</f>
        <v/>
      </c>
      <c r="H1516" s="3" t="n">
        <v>34</v>
      </c>
      <c r="I1516" s="2" t="n">
        <v>14</v>
      </c>
      <c r="J1516" s="3">
        <f>IFERROR(E1516/H1516,0)</f>
        <v/>
      </c>
      <c r="K1516" s="10">
        <f>E1516/'По разделам'!$B$21</f>
        <v/>
      </c>
      <c r="L1516" s="4">
        <f>L1515+K1516</f>
        <v/>
      </c>
      <c r="M1516" s="2" t="inlineStr">
        <is>
          <t>03899</t>
        </is>
      </c>
      <c r="N1516" s="2" t="inlineStr">
        <is>
          <t>https://app.redstat.kz/niche/03899?event_date=2026-08-01</t>
        </is>
      </c>
      <c r="O1516" s="2" t="inlineStr">
        <is>
          <t>https://kaspi.kz/shop/c/animal%20shears/</t>
        </is>
      </c>
    </row>
    <row r="1517">
      <c r="A1517" s="2" t="n">
        <v>1516</v>
      </c>
      <c r="B1517" s="2" t="inlineStr">
        <is>
          <t>Фильтры для систем вентиляции</t>
        </is>
      </c>
      <c r="C1517" s="2" t="inlineStr">
        <is>
          <t>Строительство, ремонт</t>
        </is>
      </c>
      <c r="D1517" s="2" t="inlineStr">
        <is>
          <t>Строительство, ремонт → Вентиляция → Фильтры для систем вентиляции</t>
        </is>
      </c>
      <c r="E1517" s="3" t="n">
        <v>542475</v>
      </c>
      <c r="F1517" s="3" t="n">
        <v>16</v>
      </c>
      <c r="G1517" s="3">
        <f>IFERROR(E1517/F1517,0)</f>
        <v/>
      </c>
      <c r="H1517" s="3" t="n">
        <v>12</v>
      </c>
      <c r="I1517" s="2" t="n">
        <v>6</v>
      </c>
      <c r="J1517" s="3">
        <f>IFERROR(E1517/H1517,0)</f>
        <v/>
      </c>
      <c r="K1517" s="10">
        <f>E1517/'По разделам'!$B$21</f>
        <v/>
      </c>
      <c r="L1517" s="4">
        <f>L1516+K1517</f>
        <v/>
      </c>
      <c r="M1517" s="2" t="inlineStr">
        <is>
          <t>07086</t>
        </is>
      </c>
      <c r="N1517" s="2" t="inlineStr">
        <is>
          <t>https://app.redstat.kz/niche/07086?event_date=2026-08-01</t>
        </is>
      </c>
      <c r="O1517" s="2" t="inlineStr">
        <is>
          <t>https://kaspi.kz/shop/c/filters%20for%20ventilation%20systems/</t>
        </is>
      </c>
    </row>
    <row r="1518">
      <c r="A1518" s="2" t="n">
        <v>1517</v>
      </c>
      <c r="B1518" s="2" t="inlineStr">
        <is>
          <t>Заклепки строительные</t>
        </is>
      </c>
      <c r="C1518" s="2" t="inlineStr">
        <is>
          <t>Строительство, ремонт</t>
        </is>
      </c>
      <c r="D1518" s="2" t="inlineStr">
        <is>
          <t>Строительство, ремонт → Строительный крепеж → Заклепки строительные</t>
        </is>
      </c>
      <c r="E1518" s="3" t="n">
        <v>541808</v>
      </c>
      <c r="F1518" s="3" t="n">
        <v>161</v>
      </c>
      <c r="G1518" s="3">
        <f>IFERROR(E1518/F1518,0)</f>
        <v/>
      </c>
      <c r="H1518" s="3" t="n">
        <v>44</v>
      </c>
      <c r="I1518" s="2" t="n">
        <v>12</v>
      </c>
      <c r="J1518" s="3">
        <f>IFERROR(E1518/H1518,0)</f>
        <v/>
      </c>
      <c r="K1518" s="10">
        <f>E1518/'По разделам'!$B$21</f>
        <v/>
      </c>
      <c r="L1518" s="4">
        <f>L1517+K1518</f>
        <v/>
      </c>
      <c r="M1518" s="2" t="inlineStr">
        <is>
          <t>05432</t>
        </is>
      </c>
      <c r="N1518" s="2" t="inlineStr">
        <is>
          <t>https://app.redstat.kz/niche/05432?event_date=2026-08-01</t>
        </is>
      </c>
      <c r="O1518" s="2" t="inlineStr">
        <is>
          <t>https://kaspi.kz/shop/c/construction%20rivets/</t>
        </is>
      </c>
    </row>
    <row r="1519">
      <c r="A1519" s="2" t="n">
        <v>1518</v>
      </c>
      <c r="B1519" s="2" t="inlineStr">
        <is>
          <t>Наборы посуды для готовки</t>
        </is>
      </c>
      <c r="C1519" s="2" t="inlineStr">
        <is>
          <t>Товары для дома и дачи</t>
        </is>
      </c>
      <c r="D1519" s="2" t="inlineStr">
        <is>
          <t>Товары для дома и дачи → Посуда и принадлежности → Посуда для приготовления → Наборы посуды для готовки</t>
        </is>
      </c>
      <c r="E1519" s="3" t="n">
        <v>532170</v>
      </c>
      <c r="F1519" s="3" t="n">
        <v>10</v>
      </c>
      <c r="G1519" s="3">
        <f>IFERROR(E1519/F1519,0)</f>
        <v/>
      </c>
      <c r="H1519" s="3" t="n">
        <v>9</v>
      </c>
      <c r="I1519" s="2" t="n">
        <v>6</v>
      </c>
      <c r="J1519" s="3">
        <f>IFERROR(E1519/H1519,0)</f>
        <v/>
      </c>
      <c r="K1519" s="10">
        <f>E1519/'По разделам'!$B$21</f>
        <v/>
      </c>
      <c r="L1519" s="4">
        <f>L1518+K1519</f>
        <v/>
      </c>
      <c r="M1519" s="2" t="inlineStr">
        <is>
          <t>03323</t>
        </is>
      </c>
      <c r="N1519" s="2" t="inlineStr">
        <is>
          <t>https://app.redstat.kz/niche/03323?event_date=2026-08-01</t>
        </is>
      </c>
      <c r="O1519" s="2" t="inlineStr">
        <is>
          <t>https://kaspi.kz/shop/c/cookware%20sets/</t>
        </is>
      </c>
    </row>
    <row r="1520">
      <c r="A1520" s="2" t="n">
        <v>1519</v>
      </c>
      <c r="B1520" s="2" t="inlineStr">
        <is>
          <t>Подлокотники</t>
        </is>
      </c>
      <c r="C1520" s="2" t="inlineStr">
        <is>
          <t>Автотовары</t>
        </is>
      </c>
      <c r="D1520" s="2" t="inlineStr">
        <is>
          <t>Автотовары → Автозапчасти → Детали салона → Подлокотники</t>
        </is>
      </c>
      <c r="E1520" s="3" t="n">
        <v>530766</v>
      </c>
      <c r="F1520" s="3" t="n">
        <v>92</v>
      </c>
      <c r="G1520" s="3">
        <f>IFERROR(E1520/F1520,0)</f>
        <v/>
      </c>
      <c r="H1520" s="3" t="n">
        <v>42</v>
      </c>
      <c r="I1520" s="2" t="n">
        <v>22</v>
      </c>
      <c r="J1520" s="3">
        <f>IFERROR(E1520/H1520,0)</f>
        <v/>
      </c>
      <c r="K1520" s="10">
        <f>E1520/'По разделам'!$B$21</f>
        <v/>
      </c>
      <c r="L1520" s="4">
        <f>L1519+K1520</f>
        <v/>
      </c>
      <c r="M1520" s="2" t="inlineStr">
        <is>
          <t>05133</t>
        </is>
      </c>
      <c r="N1520" s="2" t="inlineStr">
        <is>
          <t>https://app.redstat.kz/niche/05133?event_date=2026-08-01</t>
        </is>
      </c>
      <c r="O1520" s="2" t="inlineStr">
        <is>
          <t>https://kaspi.kz/shop/c/car%20armrests/</t>
        </is>
      </c>
    </row>
    <row r="1521">
      <c r="A1521" s="2" t="n">
        <v>1520</v>
      </c>
      <c r="B1521" s="2" t="inlineStr">
        <is>
          <t>Зажимы для бумаг</t>
        </is>
      </c>
      <c r="C1521" s="2" t="inlineStr">
        <is>
          <t>Канцелярские товары</t>
        </is>
      </c>
      <c r="D1521" s="2" t="inlineStr">
        <is>
          <t>Канцелярские товары → Мелкоофисные принадлежности → Зажимы для бумаг</t>
        </is>
      </c>
      <c r="E1521" s="3" t="n">
        <v>525509</v>
      </c>
      <c r="F1521" s="3" t="n">
        <v>634</v>
      </c>
      <c r="G1521" s="3">
        <f>IFERROR(E1521/F1521,0)</f>
        <v/>
      </c>
      <c r="H1521" s="3" t="n">
        <v>63</v>
      </c>
      <c r="I1521" s="2" t="n">
        <v>20</v>
      </c>
      <c r="J1521" s="3">
        <f>IFERROR(E1521/H1521,0)</f>
        <v/>
      </c>
      <c r="K1521" s="10">
        <f>E1521/'По разделам'!$B$21</f>
        <v/>
      </c>
      <c r="L1521" s="4">
        <f>L1520+K1521</f>
        <v/>
      </c>
      <c r="M1521" s="2" t="inlineStr">
        <is>
          <t>04259</t>
        </is>
      </c>
      <c r="N1521" s="2" t="inlineStr">
        <is>
          <t>https://app.redstat.kz/niche/04259?event_date=2026-08-01</t>
        </is>
      </c>
      <c r="O1521" s="2" t="inlineStr">
        <is>
          <t>https://kaspi.kz/shop/c/binder%20clips/</t>
        </is>
      </c>
    </row>
    <row r="1522">
      <c r="A1522" s="2" t="n">
        <v>1521</v>
      </c>
      <c r="B1522" s="2" t="inlineStr">
        <is>
          <t>Полотенцесушители</t>
        </is>
      </c>
      <c r="C1522" s="2" t="inlineStr">
        <is>
          <t>Строительство, ремонт</t>
        </is>
      </c>
      <c r="D1522" s="2" t="inlineStr">
        <is>
          <t>Строительство, ремонт → Системы отопления → Полотенцесушители и комплектующие → Полотенцесушители</t>
        </is>
      </c>
      <c r="E1522" s="3" t="n">
        <v>525000</v>
      </c>
      <c r="F1522" s="3" t="n">
        <v>19</v>
      </c>
      <c r="G1522" s="3">
        <f>IFERROR(E1522/F1522,0)</f>
        <v/>
      </c>
      <c r="H1522" s="3" t="n">
        <v>4</v>
      </c>
      <c r="I1522" s="2" t="n">
        <v>2</v>
      </c>
      <c r="J1522" s="3">
        <f>IFERROR(E1522/H1522,0)</f>
        <v/>
      </c>
      <c r="K1522" s="10">
        <f>E1522/'По разделам'!$B$21</f>
        <v/>
      </c>
      <c r="L1522" s="4">
        <f>L1521+K1522</f>
        <v/>
      </c>
      <c r="M1522" s="2" t="inlineStr">
        <is>
          <t>06120</t>
        </is>
      </c>
      <c r="N1522" s="2" t="inlineStr">
        <is>
          <t>https://app.redstat.kz/niche/06120?event_date=2026-08-01</t>
        </is>
      </c>
      <c r="O1522" s="2" t="inlineStr">
        <is>
          <t>https://kaspi.kz/shop/c/heated%20towel%20rails/</t>
        </is>
      </c>
    </row>
    <row r="1523">
      <c r="A1523" s="2" t="n">
        <v>1522</v>
      </c>
      <c r="B1523" s="2" t="inlineStr">
        <is>
          <t>Тюбинги</t>
        </is>
      </c>
      <c r="C1523" s="2" t="inlineStr">
        <is>
          <t>Спорт, туризм</t>
        </is>
      </c>
      <c r="D1523" s="2" t="inlineStr">
        <is>
          <t>Спорт, туризм → Зимний спорт → Тюбинги</t>
        </is>
      </c>
      <c r="E1523" s="3" t="n">
        <v>516608</v>
      </c>
      <c r="F1523" s="3" t="n">
        <v>29</v>
      </c>
      <c r="G1523" s="3">
        <f>IFERROR(E1523/F1523,0)</f>
        <v/>
      </c>
      <c r="H1523" s="3" t="n">
        <v>24</v>
      </c>
      <c r="I1523" s="2" t="n">
        <v>7</v>
      </c>
      <c r="J1523" s="3">
        <f>IFERROR(E1523/H1523,0)</f>
        <v/>
      </c>
      <c r="K1523" s="10">
        <f>E1523/'По разделам'!$B$21</f>
        <v/>
      </c>
      <c r="L1523" s="4">
        <f>L1522+K1523</f>
        <v/>
      </c>
      <c r="M1523" s="2" t="inlineStr">
        <is>
          <t>01140</t>
        </is>
      </c>
      <c r="N1523" s="2" t="inlineStr">
        <is>
          <t>https://app.redstat.kz/niche/01140?event_date=2026-08-01</t>
        </is>
      </c>
      <c r="O1523" s="2" t="inlineStr">
        <is>
          <t>https://kaspi.kz/shop/c/snow%20tubes/</t>
        </is>
      </c>
    </row>
    <row r="1524">
      <c r="A1524" s="2" t="n">
        <v>1523</v>
      </c>
      <c r="B1524" s="2" t="inlineStr">
        <is>
          <t>Костюмы для триатлона</t>
        </is>
      </c>
      <c r="C1524" s="2" t="inlineStr">
        <is>
          <t>Спорт, туризм</t>
        </is>
      </c>
      <c r="D1524" s="2" t="inlineStr">
        <is>
          <t>Спорт, туризм → Велоспорт → Костюмы для триатлона</t>
        </is>
      </c>
      <c r="E1524" s="3" t="n">
        <v>516410</v>
      </c>
      <c r="F1524" s="3" t="n">
        <v>7</v>
      </c>
      <c r="G1524" s="3">
        <f>IFERROR(E1524/F1524,0)</f>
        <v/>
      </c>
      <c r="H1524" s="3" t="n">
        <v>6</v>
      </c>
      <c r="I1524" s="2" t="n">
        <v>2</v>
      </c>
      <c r="J1524" s="3">
        <f>IFERROR(E1524/H1524,0)</f>
        <v/>
      </c>
      <c r="K1524" s="10">
        <f>E1524/'По разделам'!$B$21</f>
        <v/>
      </c>
      <c r="L1524" s="4">
        <f>L1523+K1524</f>
        <v/>
      </c>
      <c r="M1524" s="2" t="inlineStr">
        <is>
          <t>07283</t>
        </is>
      </c>
      <c r="N1524" s="2" t="inlineStr">
        <is>
          <t>https://app.redstat.kz/niche/07283?event_date=2026-08-01</t>
        </is>
      </c>
      <c r="O1524" s="2" t="inlineStr">
        <is>
          <t>https://kaspi.kz/shop/c/triathlon%20suits/</t>
        </is>
      </c>
    </row>
    <row r="1525">
      <c r="A1525" s="2" t="n">
        <v>1524</v>
      </c>
      <c r="B1525" s="2" t="inlineStr">
        <is>
          <t>Сетевые фильтры и удлинители</t>
        </is>
      </c>
      <c r="C1525" s="2" t="inlineStr">
        <is>
          <t>Строительство, ремонт</t>
        </is>
      </c>
      <c r="D1525" s="2" t="inlineStr">
        <is>
          <t>Строительство, ремонт → Электрика → Удлинители и переходники → Сетевые фильтры и удлинители</t>
        </is>
      </c>
      <c r="E1525" s="3" t="n">
        <v>515846</v>
      </c>
      <c r="F1525" s="3" t="n">
        <v>203</v>
      </c>
      <c r="G1525" s="3">
        <f>IFERROR(E1525/F1525,0)</f>
        <v/>
      </c>
      <c r="H1525" s="3" t="n">
        <v>63</v>
      </c>
      <c r="I1525" s="2" t="n">
        <v>29</v>
      </c>
      <c r="J1525" s="3">
        <f>IFERROR(E1525/H1525,0)</f>
        <v/>
      </c>
      <c r="K1525" s="10">
        <f>E1525/'По разделам'!$B$21</f>
        <v/>
      </c>
      <c r="L1525" s="4">
        <f>L1524+K1525</f>
        <v/>
      </c>
      <c r="M1525" s="2" t="inlineStr">
        <is>
          <t>03570</t>
        </is>
      </c>
      <c r="N1525" s="2" t="inlineStr">
        <is>
          <t>https://app.redstat.kz/niche/03570?event_date=2026-08-01</t>
        </is>
      </c>
      <c r="O1525" s="2" t="inlineStr">
        <is>
          <t>https://kaspi.kz/shop/c/surge%20protectors/</t>
        </is>
      </c>
    </row>
    <row r="1526">
      <c r="A1526" s="2" t="n">
        <v>1525</v>
      </c>
      <c r="B1526" s="2" t="inlineStr">
        <is>
          <t>Аксессуары для бритья</t>
        </is>
      </c>
      <c r="C1526" s="2" t="inlineStr">
        <is>
          <t>Красота и здоровье</t>
        </is>
      </c>
      <c r="D1526" s="2" t="inlineStr">
        <is>
          <t>Красота и здоровье → Товары для бритья → Аксессуары для бритья</t>
        </is>
      </c>
      <c r="E1526" s="3" t="n">
        <v>515014</v>
      </c>
      <c r="F1526" s="3" t="n">
        <v>96</v>
      </c>
      <c r="G1526" s="3">
        <f>IFERROR(E1526/F1526,0)</f>
        <v/>
      </c>
      <c r="H1526" s="3" t="n">
        <v>26</v>
      </c>
      <c r="I1526" s="2" t="n">
        <v>11</v>
      </c>
      <c r="J1526" s="3">
        <f>IFERROR(E1526/H1526,0)</f>
        <v/>
      </c>
      <c r="K1526" s="10">
        <f>E1526/'По разделам'!$B$21</f>
        <v/>
      </c>
      <c r="L1526" s="4">
        <f>L1525+K1526</f>
        <v/>
      </c>
      <c r="M1526" s="2" t="inlineStr">
        <is>
          <t>07052</t>
        </is>
      </c>
      <c r="N1526" s="2" t="inlineStr">
        <is>
          <t>https://app.redstat.kz/niche/07052?event_date=2026-08-01</t>
        </is>
      </c>
      <c r="O1526" s="2" t="inlineStr">
        <is>
          <t>https://kaspi.kz/shop/c/shaving%20accessories/</t>
        </is>
      </c>
    </row>
    <row r="1527">
      <c r="A1527" s="2" t="n">
        <v>1526</v>
      </c>
      <c r="B1527" s="2" t="inlineStr">
        <is>
          <t>Ручки</t>
        </is>
      </c>
      <c r="C1527" s="2" t="inlineStr">
        <is>
          <t>Канцелярские товары</t>
        </is>
      </c>
      <c r="D1527" s="2" t="inlineStr">
        <is>
          <t>Канцелярские товары → Письменные принадлежности → Ручки и расходники для ручек → Ручки</t>
        </is>
      </c>
      <c r="E1527" s="3" t="n">
        <v>508199</v>
      </c>
      <c r="F1527" s="3" t="n">
        <v>1125</v>
      </c>
      <c r="G1527" s="3">
        <f>IFERROR(E1527/F1527,0)</f>
        <v/>
      </c>
      <c r="H1527" s="3" t="n">
        <v>145</v>
      </c>
      <c r="I1527" s="2" t="n">
        <v>47</v>
      </c>
      <c r="J1527" s="3">
        <f>IFERROR(E1527/H1527,0)</f>
        <v/>
      </c>
      <c r="K1527" s="10">
        <f>E1527/'По разделам'!$B$21</f>
        <v/>
      </c>
      <c r="L1527" s="4">
        <f>L1526+K1527</f>
        <v/>
      </c>
      <c r="M1527" s="2" t="inlineStr">
        <is>
          <t>04296</t>
        </is>
      </c>
      <c r="N1527" s="2" t="inlineStr">
        <is>
          <t>https://app.redstat.kz/niche/04296?event_date=2026-08-01</t>
        </is>
      </c>
      <c r="O1527" s="2" t="inlineStr">
        <is>
          <t>https://kaspi.kz/shop/c/pens/</t>
        </is>
      </c>
    </row>
    <row r="1528">
      <c r="A1528" s="2" t="n">
        <v>1527</v>
      </c>
      <c r="B1528" s="2" t="inlineStr">
        <is>
          <t>Моющие средства для посуды</t>
        </is>
      </c>
      <c r="C1528" s="2" t="inlineStr">
        <is>
          <t>Товары для дома и дачи</t>
        </is>
      </c>
      <c r="D1528" s="2" t="inlineStr">
        <is>
          <t>Товары для дома и дачи → Бытовая химия → Средства для мытья посуды → Моющие средства для посуды</t>
        </is>
      </c>
      <c r="E1528" s="3" t="n">
        <v>503490</v>
      </c>
      <c r="F1528" s="3" t="n">
        <v>217</v>
      </c>
      <c r="G1528" s="3">
        <f>IFERROR(E1528/F1528,0)</f>
        <v/>
      </c>
      <c r="H1528" s="3" t="n">
        <v>85</v>
      </c>
      <c r="I1528" s="2" t="n">
        <v>58</v>
      </c>
      <c r="J1528" s="3">
        <f>IFERROR(E1528/H1528,0)</f>
        <v/>
      </c>
      <c r="K1528" s="10">
        <f>E1528/'По разделам'!$B$21</f>
        <v/>
      </c>
      <c r="L1528" s="4">
        <f>L1527+K1528</f>
        <v/>
      </c>
      <c r="M1528" s="2" t="inlineStr">
        <is>
          <t>01589</t>
        </is>
      </c>
      <c r="N1528" s="2" t="inlineStr">
        <is>
          <t>https://app.redstat.kz/niche/01589?event_date=2026-08-01</t>
        </is>
      </c>
      <c r="O1528" s="2" t="inlineStr">
        <is>
          <t>https://kaspi.kz/shop/c/dishwashing%20detergents/</t>
        </is>
      </c>
    </row>
    <row r="1529">
      <c r="A1529" s="2" t="n">
        <v>1528</v>
      </c>
      <c r="B1529" s="2" t="inlineStr">
        <is>
          <t>Консервные ножи и открывалки</t>
        </is>
      </c>
      <c r="C1529" s="2" t="inlineStr">
        <is>
          <t>Товары для дома и дачи</t>
        </is>
      </c>
      <c r="D1529" s="2" t="inlineStr">
        <is>
          <t>Товары для дома и дачи → Посуда и принадлежности → Консервирование → Консервные ножи и открывалки</t>
        </is>
      </c>
      <c r="E1529" s="3" t="n">
        <v>501424</v>
      </c>
      <c r="F1529" s="3" t="n">
        <v>113</v>
      </c>
      <c r="G1529" s="3">
        <f>IFERROR(E1529/F1529,0)</f>
        <v/>
      </c>
      <c r="H1529" s="3" t="n">
        <v>48</v>
      </c>
      <c r="I1529" s="2" t="n">
        <v>23</v>
      </c>
      <c r="J1529" s="3">
        <f>IFERROR(E1529/H1529,0)</f>
        <v/>
      </c>
      <c r="K1529" s="10">
        <f>E1529/'По разделам'!$B$21</f>
        <v/>
      </c>
      <c r="L1529" s="4">
        <f>L1528+K1529</f>
        <v/>
      </c>
      <c r="M1529" s="2" t="inlineStr">
        <is>
          <t>09186</t>
        </is>
      </c>
      <c r="N1529" s="2" t="inlineStr">
        <is>
          <t>https://app.redstat.kz/niche/09186?event_date=2026-08-01</t>
        </is>
      </c>
      <c r="O1529" s="2" t="inlineStr">
        <is>
          <t>https://kaspi.kz/shop/c/canning%20knives%20and%20openers/</t>
        </is>
      </c>
    </row>
    <row r="1530">
      <c r="A1530" s="2" t="n">
        <v>1529</v>
      </c>
      <c r="B1530" s="2" t="inlineStr">
        <is>
          <t>Домашняя обувь для девочек</t>
        </is>
      </c>
      <c r="C1530" s="2" t="inlineStr">
        <is>
          <t>Обувь</t>
        </is>
      </c>
      <c r="D1530" s="2" t="inlineStr">
        <is>
          <t>Обувь → Обувь для девочек → Домашняя обувь для девочек</t>
        </is>
      </c>
      <c r="E1530" s="3" t="n">
        <v>500549</v>
      </c>
      <c r="F1530" s="3" t="n">
        <v>209</v>
      </c>
      <c r="G1530" s="3">
        <f>IFERROR(E1530/F1530,0)</f>
        <v/>
      </c>
      <c r="H1530" s="3" t="n">
        <v>54</v>
      </c>
      <c r="I1530" s="2" t="n">
        <v>9</v>
      </c>
      <c r="J1530" s="3">
        <f>IFERROR(E1530/H1530,0)</f>
        <v/>
      </c>
      <c r="K1530" s="10">
        <f>E1530/'По разделам'!$B$21</f>
        <v/>
      </c>
      <c r="L1530" s="4">
        <f>L1529+K1530</f>
        <v/>
      </c>
      <c r="M1530" s="2" t="inlineStr">
        <is>
          <t>01290</t>
        </is>
      </c>
      <c r="N1530" s="2" t="inlineStr">
        <is>
          <t>https://app.redstat.kz/niche/01290?event_date=2026-08-01</t>
        </is>
      </c>
      <c r="O1530" s="2" t="inlineStr">
        <is>
          <t>https://kaspi.kz/shop/c/girl%20fashion%20slippers/</t>
        </is>
      </c>
    </row>
    <row r="1531">
      <c r="A1531" s="2" t="n">
        <v>1530</v>
      </c>
      <c r="B1531" s="2" t="inlineStr">
        <is>
          <t>Туфли и мокасины для малышей</t>
        </is>
      </c>
      <c r="C1531" s="2" t="inlineStr">
        <is>
          <t>Обувь</t>
        </is>
      </c>
      <c r="D1531" s="2" t="inlineStr">
        <is>
          <t>Обувь → Обувь для малышей → Туфли и мокасины для малышей</t>
        </is>
      </c>
      <c r="E1531" s="3" t="n">
        <v>496393</v>
      </c>
      <c r="F1531" s="3" t="n">
        <v>61</v>
      </c>
      <c r="G1531" s="3">
        <f>IFERROR(E1531/F1531,0)</f>
        <v/>
      </c>
      <c r="H1531" s="3" t="n">
        <v>35</v>
      </c>
      <c r="I1531" s="2" t="n">
        <v>13</v>
      </c>
      <c r="J1531" s="3">
        <f>IFERROR(E1531/H1531,0)</f>
        <v/>
      </c>
      <c r="K1531" s="10">
        <f>E1531/'По разделам'!$B$21</f>
        <v/>
      </c>
      <c r="L1531" s="4">
        <f>L1530+K1531</f>
        <v/>
      </c>
      <c r="M1531" s="2" t="inlineStr">
        <is>
          <t>07246</t>
        </is>
      </c>
      <c r="N1531" s="2" t="inlineStr">
        <is>
          <t>https://app.redstat.kz/niche/07246?event_date=2026-08-01</t>
        </is>
      </c>
      <c r="O1531" s="2" t="inlineStr">
        <is>
          <t>https://kaspi.kz/shop/c/dress%20shoes%20and%20moccasins%20for%20babies/</t>
        </is>
      </c>
    </row>
    <row r="1532">
      <c r="A1532" s="2" t="n">
        <v>1531</v>
      </c>
      <c r="B1532" s="2" t="inlineStr">
        <is>
          <t>Гидроцилиндры</t>
        </is>
      </c>
      <c r="C1532" s="2" t="inlineStr">
        <is>
          <t>Автотовары</t>
        </is>
      </c>
      <c r="D1532" s="2" t="inlineStr">
        <is>
          <t>Автотовары → Автосервисное оборудование → Гидроцилиндры</t>
        </is>
      </c>
      <c r="E1532" s="3" t="n">
        <v>496000</v>
      </c>
      <c r="F1532" s="3" t="n">
        <v>7</v>
      </c>
      <c r="G1532" s="3">
        <f>IFERROR(E1532/F1532,0)</f>
        <v/>
      </c>
      <c r="H1532" s="3" t="n">
        <v>3</v>
      </c>
      <c r="I1532" s="2" t="n">
        <v>2</v>
      </c>
      <c r="J1532" s="3">
        <f>IFERROR(E1532/H1532,0)</f>
        <v/>
      </c>
      <c r="K1532" s="10">
        <f>E1532/'По разделам'!$B$21</f>
        <v/>
      </c>
      <c r="L1532" s="4">
        <f>L1531+K1532</f>
        <v/>
      </c>
      <c r="M1532" s="2" t="inlineStr">
        <is>
          <t>05584</t>
        </is>
      </c>
      <c r="N1532" s="2" t="inlineStr">
        <is>
          <t>https://app.redstat.kz/niche/05584?event_date=2026-08-01</t>
        </is>
      </c>
      <c r="O1532" s="2" t="inlineStr">
        <is>
          <t>https://kaspi.kz/shop/c/hydraulic%20cylinders/</t>
        </is>
      </c>
    </row>
    <row r="1533">
      <c r="A1533" s="2" t="n">
        <v>1532</v>
      </c>
      <c r="B1533" s="2" t="inlineStr">
        <is>
          <t>Подсвечники, канделябры и аксессуары для свечей</t>
        </is>
      </c>
      <c r="C1533" s="2" t="inlineStr">
        <is>
          <t>Товары для дома и дачи</t>
        </is>
      </c>
      <c r="D1533" s="2" t="inlineStr">
        <is>
          <t>Товары для дома и дачи → Интерьер → Свечи и подсвечники → Подсвечники, канделябры и аксессуары для свечей</t>
        </is>
      </c>
      <c r="E1533" s="3" t="n">
        <v>495807</v>
      </c>
      <c r="F1533" s="3" t="n">
        <v>159</v>
      </c>
      <c r="G1533" s="3">
        <f>IFERROR(E1533/F1533,0)</f>
        <v/>
      </c>
      <c r="H1533" s="3" t="n">
        <v>96</v>
      </c>
      <c r="I1533" s="2" t="n">
        <v>34</v>
      </c>
      <c r="J1533" s="3">
        <f>IFERROR(E1533/H1533,0)</f>
        <v/>
      </c>
      <c r="K1533" s="10">
        <f>E1533/'По разделам'!$B$21</f>
        <v/>
      </c>
      <c r="L1533" s="4">
        <f>L1532+K1533</f>
        <v/>
      </c>
      <c r="M1533" s="2" t="inlineStr">
        <is>
          <t>02586</t>
        </is>
      </c>
      <c r="N1533" s="2" t="inlineStr">
        <is>
          <t>https://app.redstat.kz/niche/02586?event_date=2026-08-01</t>
        </is>
      </c>
      <c r="O1533" s="2" t="inlineStr">
        <is>
          <t>https://kaspi.kz/shop/c/candleholders/</t>
        </is>
      </c>
    </row>
    <row r="1534">
      <c r="A1534" s="2" t="n">
        <v>1533</v>
      </c>
      <c r="B1534" s="2" t="inlineStr">
        <is>
          <t>Кабели и провода для строительства</t>
        </is>
      </c>
      <c r="C1534" s="2" t="inlineStr">
        <is>
          <t>Строительство, ремонт</t>
        </is>
      </c>
      <c r="D1534" s="2" t="inlineStr">
        <is>
          <t>Строительство, ремонт → Электрика → Кабельная продукция → Кабели и провода для строительства</t>
        </is>
      </c>
      <c r="E1534" s="3" t="n">
        <v>491263</v>
      </c>
      <c r="F1534" s="3" t="n">
        <v>78</v>
      </c>
      <c r="G1534" s="3">
        <f>IFERROR(E1534/F1534,0)</f>
        <v/>
      </c>
      <c r="H1534" s="3" t="n">
        <v>32</v>
      </c>
      <c r="I1534" s="2" t="n">
        <v>16</v>
      </c>
      <c r="J1534" s="3">
        <f>IFERROR(E1534/H1534,0)</f>
        <v/>
      </c>
      <c r="K1534" s="10">
        <f>E1534/'По разделам'!$B$21</f>
        <v/>
      </c>
      <c r="L1534" s="4">
        <f>L1533+K1534</f>
        <v/>
      </c>
      <c r="M1534" s="2" t="inlineStr">
        <is>
          <t>04511</t>
        </is>
      </c>
      <c r="N1534" s="2" t="inlineStr">
        <is>
          <t>https://app.redstat.kz/niche/04511?event_date=2026-08-01</t>
        </is>
      </c>
      <c r="O1534" s="2" t="inlineStr">
        <is>
          <t>https://kaspi.kz/shop/c/building%20cables%20and%20wires/</t>
        </is>
      </c>
    </row>
    <row r="1535">
      <c r="A1535" s="2" t="n">
        <v>1534</v>
      </c>
      <c r="B1535" s="2" t="inlineStr">
        <is>
          <t>Трубогибы</t>
        </is>
      </c>
      <c r="C1535" s="2" t="inlineStr">
        <is>
          <t>Строительство, ремонт</t>
        </is>
      </c>
      <c r="D1535" s="2" t="inlineStr">
        <is>
          <t>Строительство, ремонт → Ручные инструменты → Слесарно-монтажный инструмент → Трубогибы</t>
        </is>
      </c>
      <c r="E1535" s="3" t="n">
        <v>489839</v>
      </c>
      <c r="F1535" s="3" t="n">
        <v>138</v>
      </c>
      <c r="G1535" s="3">
        <f>IFERROR(E1535/F1535,0)</f>
        <v/>
      </c>
      <c r="H1535" s="3" t="n">
        <v>49</v>
      </c>
      <c r="I1535" s="2" t="n">
        <v>26</v>
      </c>
      <c r="J1535" s="3">
        <f>IFERROR(E1535/H1535,0)</f>
        <v/>
      </c>
      <c r="K1535" s="10">
        <f>E1535/'По разделам'!$B$21</f>
        <v/>
      </c>
      <c r="L1535" s="4">
        <f>L1534+K1535</f>
        <v/>
      </c>
      <c r="M1535" s="2" t="inlineStr">
        <is>
          <t>01638</t>
        </is>
      </c>
      <c r="N1535" s="2" t="inlineStr">
        <is>
          <t>https://app.redstat.kz/niche/01638?event_date=2026-08-01</t>
        </is>
      </c>
      <c r="O1535" s="2" t="inlineStr">
        <is>
          <t>https://kaspi.kz/shop/c/tubing%20benders/</t>
        </is>
      </c>
    </row>
    <row r="1536">
      <c r="A1536" s="2" t="n">
        <v>1535</v>
      </c>
      <c r="B1536" s="2" t="inlineStr">
        <is>
          <t>Транспортиры</t>
        </is>
      </c>
      <c r="C1536" s="2" t="inlineStr">
        <is>
          <t>Канцелярские товары</t>
        </is>
      </c>
      <c r="D1536" s="2" t="inlineStr">
        <is>
          <t>Канцелярские товары → Школьные принадлежности → Транспортиры</t>
        </is>
      </c>
      <c r="E1536" s="3" t="n">
        <v>488828</v>
      </c>
      <c r="F1536" s="3" t="n">
        <v>1908</v>
      </c>
      <c r="G1536" s="3">
        <f>IFERROR(E1536/F1536,0)</f>
        <v/>
      </c>
      <c r="H1536" s="3" t="n">
        <v>38</v>
      </c>
      <c r="I1536" s="2" t="n">
        <v>13</v>
      </c>
      <c r="J1536" s="3">
        <f>IFERROR(E1536/H1536,0)</f>
        <v/>
      </c>
      <c r="K1536" s="10">
        <f>E1536/'По разделам'!$B$21</f>
        <v/>
      </c>
      <c r="L1536" s="4">
        <f>L1535+K1536</f>
        <v/>
      </c>
      <c r="M1536" s="2" t="inlineStr">
        <is>
          <t>02078</t>
        </is>
      </c>
      <c r="N1536" s="2" t="inlineStr">
        <is>
          <t>https://app.redstat.kz/niche/02078?event_date=2026-08-01</t>
        </is>
      </c>
      <c r="O1536" s="2" t="inlineStr">
        <is>
          <t>https://kaspi.kz/shop/c/protractors/</t>
        </is>
      </c>
    </row>
    <row r="1537">
      <c r="A1537" s="2" t="n">
        <v>1536</v>
      </c>
      <c r="B1537" s="2" t="inlineStr">
        <is>
          <t>Слипоны для мальчиков</t>
        </is>
      </c>
      <c r="C1537" s="2" t="inlineStr">
        <is>
          <t>Обувь</t>
        </is>
      </c>
      <c r="D1537" s="2" t="inlineStr">
        <is>
          <t>Обувь → Обувь для мальчиков → Слипоны для мальчиков</t>
        </is>
      </c>
      <c r="E1537" s="3" t="n">
        <v>485139</v>
      </c>
      <c r="F1537" s="3" t="n">
        <v>19</v>
      </c>
      <c r="G1537" s="3">
        <f>IFERROR(E1537/F1537,0)</f>
        <v/>
      </c>
      <c r="H1537" s="3" t="n">
        <v>15</v>
      </c>
      <c r="I1537" s="2" t="n">
        <v>6</v>
      </c>
      <c r="J1537" s="3">
        <f>IFERROR(E1537/H1537,0)</f>
        <v/>
      </c>
      <c r="K1537" s="10">
        <f>E1537/'По разделам'!$B$21</f>
        <v/>
      </c>
      <c r="L1537" s="4">
        <f>L1536+K1537</f>
        <v/>
      </c>
      <c r="M1537" s="2" t="inlineStr">
        <is>
          <t>01716</t>
        </is>
      </c>
      <c r="N1537" s="2" t="inlineStr">
        <is>
          <t>https://app.redstat.kz/niche/01716?event_date=2026-08-01</t>
        </is>
      </c>
      <c r="O1537" s="2" t="inlineStr">
        <is>
          <t>https://kaspi.kz/shop/c/boy%20slip-ons/</t>
        </is>
      </c>
    </row>
    <row r="1538">
      <c r="A1538" s="2" t="n">
        <v>1537</v>
      </c>
      <c r="B1538" s="2" t="inlineStr">
        <is>
          <t>Запчасти для тракторов, мотоблоков и культиваторов</t>
        </is>
      </c>
      <c r="C1538" s="2" t="inlineStr">
        <is>
          <t>Товары для дома и дачи</t>
        </is>
      </c>
      <c r="D1538" s="2" t="inlineStr">
        <is>
          <t>Товары для дома и дачи → Дача, сад и огород → Садовая техника → Комплектующие и аксессуары для садовой техники → Запчасти для тракторов, мотоблоков и культиваторов</t>
        </is>
      </c>
      <c r="E1538" s="3" t="n">
        <v>472673</v>
      </c>
      <c r="F1538" s="3" t="n">
        <v>29</v>
      </c>
      <c r="G1538" s="3">
        <f>IFERROR(E1538/F1538,0)</f>
        <v/>
      </c>
      <c r="H1538" s="3" t="n">
        <v>21</v>
      </c>
      <c r="I1538" s="2" t="n">
        <v>4</v>
      </c>
      <c r="J1538" s="3">
        <f>IFERROR(E1538/H1538,0)</f>
        <v/>
      </c>
      <c r="K1538" s="10">
        <f>E1538/'По разделам'!$B$21</f>
        <v/>
      </c>
      <c r="L1538" s="4">
        <f>L1537+K1538</f>
        <v/>
      </c>
      <c r="M1538" s="2" t="inlineStr">
        <is>
          <t>05883</t>
        </is>
      </c>
      <c r="N1538" s="2" t="inlineStr">
        <is>
          <t>https://app.redstat.kz/niche/05883?event_date=2026-08-01</t>
        </is>
      </c>
      <c r="O1538" s="2" t="inlineStr">
        <is>
          <t>https://kaspi.kz/shop/c/spare%20parts%20for%20tractors/</t>
        </is>
      </c>
    </row>
    <row r="1539">
      <c r="A1539" s="2" t="n">
        <v>1538</v>
      </c>
      <c r="B1539" s="2" t="inlineStr">
        <is>
          <t>Другое оборудование для торговли</t>
        </is>
      </c>
      <c r="C1539" s="2" t="inlineStr">
        <is>
          <t>Компьютеры</t>
        </is>
      </c>
      <c r="D1539" s="2" t="inlineStr">
        <is>
          <t>Компьютеры → Электронное оборудование для торговли → Другое оборудование для торговли → Другое оборудование для торговли</t>
        </is>
      </c>
      <c r="E1539" s="3" t="n">
        <v>467903</v>
      </c>
      <c r="F1539" s="3" t="n">
        <v>46</v>
      </c>
      <c r="G1539" s="3">
        <f>IFERROR(E1539/F1539,0)</f>
        <v/>
      </c>
      <c r="H1539" s="3" t="n">
        <v>13</v>
      </c>
      <c r="I1539" s="2" t="n">
        <v>5</v>
      </c>
      <c r="J1539" s="3">
        <f>IFERROR(E1539/H1539,0)</f>
        <v/>
      </c>
      <c r="K1539" s="10">
        <f>E1539/'По разделам'!$B$21</f>
        <v/>
      </c>
      <c r="L1539" s="4">
        <f>L1538+K1539</f>
        <v/>
      </c>
      <c r="M1539" s="2" t="inlineStr">
        <is>
          <t>qe85b41738be4a4b</t>
        </is>
      </c>
      <c r="N1539" s="2" t="inlineStr">
        <is>
          <t>https://app.redstat.kz/niche/qe85b41738be4a4b?event_date=2026-08-01</t>
        </is>
      </c>
      <c r="O1539" s="2" t="inlineStr"/>
    </row>
    <row r="1540">
      <c r="A1540" s="2" t="n">
        <v>1539</v>
      </c>
      <c r="B1540" s="2" t="inlineStr">
        <is>
          <t>Инструменты для тормозной и выхлопной систем</t>
        </is>
      </c>
      <c r="C1540" s="2" t="inlineStr">
        <is>
          <t>Автотовары</t>
        </is>
      </c>
      <c r="D1540" s="2" t="inlineStr">
        <is>
          <t>Автотовары → Автоинструменты → Инструменты для тормозной и выхлопной систем</t>
        </is>
      </c>
      <c r="E1540" s="3" t="n">
        <v>467109</v>
      </c>
      <c r="F1540" s="3" t="n">
        <v>141</v>
      </c>
      <c r="G1540" s="3">
        <f>IFERROR(E1540/F1540,0)</f>
        <v/>
      </c>
      <c r="H1540" s="3" t="n">
        <v>15</v>
      </c>
      <c r="I1540" s="2" t="n">
        <v>12</v>
      </c>
      <c r="J1540" s="3">
        <f>IFERROR(E1540/H1540,0)</f>
        <v/>
      </c>
      <c r="K1540" s="10">
        <f>E1540/'По разделам'!$B$21</f>
        <v/>
      </c>
      <c r="L1540" s="4">
        <f>L1539+K1540</f>
        <v/>
      </c>
      <c r="M1540" s="2" t="inlineStr">
        <is>
          <t>05506</t>
        </is>
      </c>
      <c r="N1540" s="2" t="inlineStr">
        <is>
          <t>https://app.redstat.kz/niche/05506?event_date=2026-08-01</t>
        </is>
      </c>
      <c r="O1540" s="2" t="inlineStr">
        <is>
          <t>https://kaspi.kz/shop/c/brake%20system%20tools/</t>
        </is>
      </c>
    </row>
    <row r="1541">
      <c r="A1541" s="2" t="n">
        <v>1540</v>
      </c>
      <c r="B1541" s="2" t="inlineStr">
        <is>
          <t>Зарядные и пуско-зарядные устройства для аккумуляторов</t>
        </is>
      </c>
      <c r="C1541" s="2" t="inlineStr">
        <is>
          <t>Автотовары</t>
        </is>
      </c>
      <c r="D1541" s="2" t="inlineStr">
        <is>
          <t>Автотовары → Автомобильное оборудование → Зарядные и пуско-зарядные устройства для автомобилей → Зарядные и пуско-зарядные устройства для аккумуляторов</t>
        </is>
      </c>
      <c r="E1541" s="3" t="n">
        <v>467000</v>
      </c>
      <c r="F1541" s="3" t="n">
        <v>23</v>
      </c>
      <c r="G1541" s="3">
        <f>IFERROR(E1541/F1541,0)</f>
        <v/>
      </c>
      <c r="H1541" s="3" t="n">
        <v>6</v>
      </c>
      <c r="I1541" s="2" t="n">
        <v>5</v>
      </c>
      <c r="J1541" s="3">
        <f>IFERROR(E1541/H1541,0)</f>
        <v/>
      </c>
      <c r="K1541" s="10">
        <f>E1541/'По разделам'!$B$21</f>
        <v/>
      </c>
      <c r="L1541" s="4">
        <f>L1540+K1541</f>
        <v/>
      </c>
      <c r="M1541" s="2" t="inlineStr">
        <is>
          <t>01117</t>
        </is>
      </c>
      <c r="N1541" s="2" t="inlineStr">
        <is>
          <t>https://app.redstat.kz/niche/01117?event_date=2026-08-01</t>
        </is>
      </c>
      <c r="O1541" s="2" t="inlineStr">
        <is>
          <t>https://kaspi.kz/shop/c/chargers%20and%20starters%20for%20batteries/</t>
        </is>
      </c>
    </row>
    <row r="1542">
      <c r="A1542" s="2" t="n">
        <v>1541</v>
      </c>
      <c r="B1542" s="2" t="inlineStr">
        <is>
          <t>Сушуары и климазоны</t>
        </is>
      </c>
      <c r="C1542" s="2" t="inlineStr">
        <is>
          <t>Красота и здоровье</t>
        </is>
      </c>
      <c r="D1542" s="2" t="inlineStr">
        <is>
          <t>Красота и здоровье → Инструменты для укладки, ухода и наращивания волос → Сушуары и климазоны</t>
        </is>
      </c>
      <c r="E1542" s="3" t="n">
        <v>460000</v>
      </c>
      <c r="F1542" s="3" t="n">
        <v>4</v>
      </c>
      <c r="G1542" s="3">
        <f>IFERROR(E1542/F1542,0)</f>
        <v/>
      </c>
      <c r="H1542" s="3" t="n">
        <v>3</v>
      </c>
      <c r="I1542" s="2" t="n">
        <v>1</v>
      </c>
      <c r="J1542" s="3">
        <f>IFERROR(E1542/H1542,0)</f>
        <v/>
      </c>
      <c r="K1542" s="10">
        <f>E1542/'По разделам'!$B$21</f>
        <v/>
      </c>
      <c r="L1542" s="4">
        <f>L1541+K1542</f>
        <v/>
      </c>
      <c r="M1542" s="2" t="inlineStr">
        <is>
          <t>05878</t>
        </is>
      </c>
      <c r="N1542" s="2" t="inlineStr">
        <is>
          <t>https://app.redstat.kz/niche/05878?event_date=2026-08-01</t>
        </is>
      </c>
      <c r="O1542" s="2" t="inlineStr">
        <is>
          <t>https://kaspi.kz/shop/c/dryers%20and%20climazones/</t>
        </is>
      </c>
    </row>
    <row r="1543">
      <c r="A1543" s="2" t="n">
        <v>1542</v>
      </c>
      <c r="B1543" s="2" t="inlineStr">
        <is>
          <t>Аксессуары для смарт-колец</t>
        </is>
      </c>
      <c r="C1543" s="2" t="inlineStr">
        <is>
          <t>Телефоны и гаджеты</t>
        </is>
      </c>
      <c r="D1543" s="2" t="inlineStr">
        <is>
          <t>Телефоны и гаджеты → Гаджеты → Аксессуары для смарт-колец</t>
        </is>
      </c>
      <c r="E1543" s="3" t="n">
        <v>459148</v>
      </c>
      <c r="F1543" s="3" t="n">
        <v>94</v>
      </c>
      <c r="G1543" s="3">
        <f>IFERROR(E1543/F1543,0)</f>
        <v/>
      </c>
      <c r="H1543" s="3" t="n">
        <v>6</v>
      </c>
      <c r="I1543" s="2" t="n">
        <v>3</v>
      </c>
      <c r="J1543" s="3">
        <f>IFERROR(E1543/H1543,0)</f>
        <v/>
      </c>
      <c r="K1543" s="10">
        <f>E1543/'По разделам'!$B$21</f>
        <v/>
      </c>
      <c r="L1543" s="4">
        <f>L1542+K1543</f>
        <v/>
      </c>
      <c r="M1543" s="2" t="inlineStr">
        <is>
          <t>09303</t>
        </is>
      </c>
      <c r="N1543" s="2" t="inlineStr">
        <is>
          <t>https://app.redstat.kz/niche/09303?event_date=2026-08-01</t>
        </is>
      </c>
      <c r="O1543" s="2" t="inlineStr">
        <is>
          <t>https://kaspi.kz/shop/c/accessories%20for%20smart%20rings/</t>
        </is>
      </c>
    </row>
    <row r="1544">
      <c r="A1544" s="2" t="n">
        <v>1543</v>
      </c>
      <c r="B1544" s="2" t="inlineStr">
        <is>
          <t>Блокноты для флипчартов</t>
        </is>
      </c>
      <c r="C1544" s="2" t="inlineStr">
        <is>
          <t>Канцелярские товары</t>
        </is>
      </c>
      <c r="D1544" s="2" t="inlineStr">
        <is>
          <t>Канцелярские товары → Бумага и бумажная продукция → Блокноты для флипчартов</t>
        </is>
      </c>
      <c r="E1544" s="3" t="n">
        <v>458354</v>
      </c>
      <c r="F1544" s="3" t="n">
        <v>74</v>
      </c>
      <c r="G1544" s="3">
        <f>IFERROR(E1544/F1544,0)</f>
        <v/>
      </c>
      <c r="H1544" s="3" t="n">
        <v>12</v>
      </c>
      <c r="I1544" s="2" t="n">
        <v>4</v>
      </c>
      <c r="J1544" s="3">
        <f>IFERROR(E1544/H1544,0)</f>
        <v/>
      </c>
      <c r="K1544" s="10">
        <f>E1544/'По разделам'!$B$21</f>
        <v/>
      </c>
      <c r="L1544" s="4">
        <f>L1543+K1544</f>
        <v/>
      </c>
      <c r="M1544" s="2" t="inlineStr">
        <is>
          <t>04245</t>
        </is>
      </c>
      <c r="N1544" s="2" t="inlineStr">
        <is>
          <t>https://app.redstat.kz/niche/04245?event_date=2026-08-01</t>
        </is>
      </c>
      <c r="O1544" s="2" t="inlineStr">
        <is>
          <t>https://kaspi.kz/shop/c/flipchart%20pads/</t>
        </is>
      </c>
    </row>
    <row r="1545">
      <c r="A1545" s="2" t="n">
        <v>1544</v>
      </c>
      <c r="B1545" s="2" t="inlineStr">
        <is>
          <t>Уличные велопарковки</t>
        </is>
      </c>
      <c r="C1545" s="2" t="inlineStr">
        <is>
          <t>Спорт, туризм</t>
        </is>
      </c>
      <c r="D1545" s="2" t="inlineStr">
        <is>
          <t>Спорт, туризм → Велоспорт → Уличные велопарковки</t>
        </is>
      </c>
      <c r="E1545" s="3" t="n">
        <v>456962</v>
      </c>
      <c r="F1545" s="3" t="n">
        <v>9</v>
      </c>
      <c r="G1545" s="3">
        <f>IFERROR(E1545/F1545,0)</f>
        <v/>
      </c>
      <c r="H1545" s="3" t="n">
        <v>7</v>
      </c>
      <c r="I1545" s="2" t="n">
        <v>0</v>
      </c>
      <c r="J1545" s="3">
        <f>IFERROR(E1545/H1545,0)</f>
        <v/>
      </c>
      <c r="K1545" s="10">
        <f>E1545/'По разделам'!$B$21</f>
        <v/>
      </c>
      <c r="L1545" s="4">
        <f>L1544+K1545</f>
        <v/>
      </c>
      <c r="M1545" s="2" t="inlineStr">
        <is>
          <t>09028</t>
        </is>
      </c>
      <c r="N1545" s="2" t="inlineStr">
        <is>
          <t>https://app.redstat.kz/niche/09028?event_date=2026-08-01</t>
        </is>
      </c>
      <c r="O1545" s="2" t="inlineStr">
        <is>
          <t>https://kaspi.kz/shop/c/street%20bike%20parking/</t>
        </is>
      </c>
    </row>
    <row r="1546">
      <c r="A1546" s="2" t="n">
        <v>1545</v>
      </c>
      <c r="B1546" s="2" t="inlineStr">
        <is>
          <t>Аксессуары для зажигалок</t>
        </is>
      </c>
      <c r="C1546" s="2" t="inlineStr">
        <is>
          <t>Товары для дома и дачи</t>
        </is>
      </c>
      <c r="D1546" s="2" t="inlineStr">
        <is>
          <t>Товары для дома и дачи → Хозяйственные товары → Аксессуары для зажигалок</t>
        </is>
      </c>
      <c r="E1546" s="3" t="n">
        <v>456873</v>
      </c>
      <c r="F1546" s="3" t="n">
        <v>127</v>
      </c>
      <c r="G1546" s="3">
        <f>IFERROR(E1546/F1546,0)</f>
        <v/>
      </c>
      <c r="H1546" s="3" t="n">
        <v>20</v>
      </c>
      <c r="I1546" s="2" t="n">
        <v>7</v>
      </c>
      <c r="J1546" s="3">
        <f>IFERROR(E1546/H1546,0)</f>
        <v/>
      </c>
      <c r="K1546" s="10">
        <f>E1546/'По разделам'!$B$21</f>
        <v/>
      </c>
      <c r="L1546" s="4">
        <f>L1545+K1546</f>
        <v/>
      </c>
      <c r="M1546" s="2" t="inlineStr">
        <is>
          <t>09008</t>
        </is>
      </c>
      <c r="N1546" s="2" t="inlineStr">
        <is>
          <t>https://app.redstat.kz/niche/09008?event_date=2026-08-01</t>
        </is>
      </c>
      <c r="O1546" s="2" t="inlineStr">
        <is>
          <t>https://kaspi.kz/shop/c/accessories%20for%20lighters/</t>
        </is>
      </c>
    </row>
    <row r="1547">
      <c r="A1547" s="2" t="n">
        <v>1546</v>
      </c>
      <c r="B1547" s="2" t="inlineStr">
        <is>
          <t>Обмотка для гимнастических обручей и булав</t>
        </is>
      </c>
      <c r="C1547" s="2" t="inlineStr">
        <is>
          <t>Спорт, туризм</t>
        </is>
      </c>
      <c r="D1547" s="2" t="inlineStr">
        <is>
          <t>Спорт, туризм → Художественная гимнастика и танцы → Обмотка для гимнастических обручей и булав</t>
        </is>
      </c>
      <c r="E1547" s="3" t="n">
        <v>452915</v>
      </c>
      <c r="F1547" s="3" t="n">
        <v>94</v>
      </c>
      <c r="G1547" s="3">
        <f>IFERROR(E1547/F1547,0)</f>
        <v/>
      </c>
      <c r="H1547" s="3" t="n">
        <v>48</v>
      </c>
      <c r="I1547" s="2" t="n">
        <v>6</v>
      </c>
      <c r="J1547" s="3">
        <f>IFERROR(E1547/H1547,0)</f>
        <v/>
      </c>
      <c r="K1547" s="10">
        <f>E1547/'По разделам'!$B$21</f>
        <v/>
      </c>
      <c r="L1547" s="4">
        <f>L1546+K1547</f>
        <v/>
      </c>
      <c r="M1547" s="2" t="inlineStr">
        <is>
          <t>05777</t>
        </is>
      </c>
      <c r="N1547" s="2" t="inlineStr">
        <is>
          <t>https://app.redstat.kz/niche/05777?event_date=2026-08-01</t>
        </is>
      </c>
      <c r="O1547" s="2" t="inlineStr">
        <is>
          <t>https://kaspi.kz/shop/c/winding%20for%20rhythmic%20gymnastics/</t>
        </is>
      </c>
    </row>
    <row r="1548">
      <c r="A1548" s="2" t="n">
        <v>1547</v>
      </c>
      <c r="B1548" s="2" t="inlineStr">
        <is>
          <t>Кофеварки и кофемашины</t>
        </is>
      </c>
      <c r="C1548" s="2" t="inlineStr">
        <is>
          <t>Бытовая техника</t>
        </is>
      </c>
      <c r="D1548" s="2" t="inlineStr">
        <is>
          <t>Бытовая техника → Мелкая техника для кухни → Кофемашины и кофеварки → Кофеварки и кофемашины</t>
        </is>
      </c>
      <c r="E1548" s="3" t="n">
        <v>452458</v>
      </c>
      <c r="F1548" s="3" t="n">
        <v>222</v>
      </c>
      <c r="G1548" s="3">
        <f>IFERROR(E1548/F1548,0)</f>
        <v/>
      </c>
      <c r="H1548" s="3" t="n">
        <v>17</v>
      </c>
      <c r="I1548" s="2" t="n">
        <v>12</v>
      </c>
      <c r="J1548" s="3">
        <f>IFERROR(E1548/H1548,0)</f>
        <v/>
      </c>
      <c r="K1548" s="10">
        <f>E1548/'По разделам'!$B$21</f>
        <v/>
      </c>
      <c r="L1548" s="4">
        <f>L1547+K1548</f>
        <v/>
      </c>
      <c r="M1548" s="2" t="inlineStr">
        <is>
          <t>03493</t>
        </is>
      </c>
      <c r="N1548" s="2" t="inlineStr">
        <is>
          <t>https://app.redstat.kz/niche/03493?event_date=2026-08-01</t>
        </is>
      </c>
      <c r="O1548" s="2" t="inlineStr">
        <is>
          <t>https://kaspi.kz/shop/c/coffee%20machines/</t>
        </is>
      </c>
    </row>
    <row r="1549">
      <c r="A1549" s="2" t="n">
        <v>1548</v>
      </c>
      <c r="B1549" s="2" t="inlineStr">
        <is>
          <t>Электронные замки</t>
        </is>
      </c>
      <c r="C1549" s="2" t="inlineStr">
        <is>
          <t>Строительство, ремонт</t>
        </is>
      </c>
      <c r="D1549" s="2" t="inlineStr">
        <is>
          <t>Строительство, ремонт → Системы безопасности → Системы контроля и управления доступом → Электронные замки</t>
        </is>
      </c>
      <c r="E1549" s="3" t="n">
        <v>451917</v>
      </c>
      <c r="F1549" s="3" t="n">
        <v>54</v>
      </c>
      <c r="G1549" s="3">
        <f>IFERROR(E1549/F1549,0)</f>
        <v/>
      </c>
      <c r="H1549" s="3" t="n">
        <v>17</v>
      </c>
      <c r="I1549" s="2" t="n">
        <v>11</v>
      </c>
      <c r="J1549" s="3">
        <f>IFERROR(E1549/H1549,0)</f>
        <v/>
      </c>
      <c r="K1549" s="10">
        <f>E1549/'По разделам'!$B$21</f>
        <v/>
      </c>
      <c r="L1549" s="4">
        <f>L1548+K1549</f>
        <v/>
      </c>
      <c r="M1549" s="2" t="inlineStr">
        <is>
          <t>02035</t>
        </is>
      </c>
      <c r="N1549" s="2" t="inlineStr">
        <is>
          <t>https://app.redstat.kz/niche/02035?event_date=2026-08-01</t>
        </is>
      </c>
      <c r="O1549" s="2" t="inlineStr">
        <is>
          <t>https://kaspi.kz/shop/c/electronic%20door%20locks/</t>
        </is>
      </c>
    </row>
    <row r="1550">
      <c r="A1550" s="2" t="n">
        <v>1549</v>
      </c>
      <c r="B1550" s="2" t="inlineStr">
        <is>
          <t>Автомобильные пепельницы</t>
        </is>
      </c>
      <c r="C1550" s="2" t="inlineStr">
        <is>
          <t>Автотовары</t>
        </is>
      </c>
      <c r="D1550" s="2" t="inlineStr">
        <is>
          <t>Автотовары → Автоаксессуары → Автомобильные пепельницы</t>
        </is>
      </c>
      <c r="E1550" s="3" t="n">
        <v>450990</v>
      </c>
      <c r="F1550" s="3" t="n">
        <v>273</v>
      </c>
      <c r="G1550" s="3">
        <f>IFERROR(E1550/F1550,0)</f>
        <v/>
      </c>
      <c r="H1550" s="3" t="n">
        <v>28</v>
      </c>
      <c r="I1550" s="2" t="n">
        <v>8</v>
      </c>
      <c r="J1550" s="3">
        <f>IFERROR(E1550/H1550,0)</f>
        <v/>
      </c>
      <c r="K1550" s="10">
        <f>E1550/'По разделам'!$B$21</f>
        <v/>
      </c>
      <c r="L1550" s="4">
        <f>L1549+K1550</f>
        <v/>
      </c>
      <c r="M1550" s="2" t="inlineStr">
        <is>
          <t>04611</t>
        </is>
      </c>
      <c r="N1550" s="2" t="inlineStr">
        <is>
          <t>https://app.redstat.kz/niche/04611?event_date=2026-08-01</t>
        </is>
      </c>
      <c r="O1550" s="2" t="inlineStr">
        <is>
          <t>https://kaspi.kz/shop/c/car%20ashtrays/</t>
        </is>
      </c>
    </row>
    <row r="1551">
      <c r="A1551" s="2" t="n">
        <v>1550</v>
      </c>
      <c r="B1551" s="2" t="inlineStr">
        <is>
          <t>Защитные пленки и стекла для смарт-часов, фитнес-браслетов</t>
        </is>
      </c>
      <c r="C1551" s="2" t="inlineStr">
        <is>
          <t>Телефоны и гаджеты</t>
        </is>
      </c>
      <c r="D1551" s="2" t="inlineStr">
        <is>
          <t>Телефоны и гаджеты → Аксессуары для смарт-часов и фитнесс браслетов → Защитные пленки и стекла для смарт-часов, фитнес-браслетов</t>
        </is>
      </c>
      <c r="E1551" s="3" t="n">
        <v>443732</v>
      </c>
      <c r="F1551" s="3" t="n">
        <v>233</v>
      </c>
      <c r="G1551" s="3">
        <f>IFERROR(E1551/F1551,0)</f>
        <v/>
      </c>
      <c r="H1551" s="3" t="n">
        <v>83</v>
      </c>
      <c r="I1551" s="2" t="n">
        <v>12</v>
      </c>
      <c r="J1551" s="3">
        <f>IFERROR(E1551/H1551,0)</f>
        <v/>
      </c>
      <c r="K1551" s="10">
        <f>E1551/'По разделам'!$B$21</f>
        <v/>
      </c>
      <c r="L1551" s="4">
        <f>L1550+K1551</f>
        <v/>
      </c>
      <c r="M1551" s="2" t="inlineStr">
        <is>
          <t>06572</t>
        </is>
      </c>
      <c r="N1551" s="2" t="inlineStr">
        <is>
          <t>https://app.redstat.kz/niche/06572?event_date=2026-08-01</t>
        </is>
      </c>
      <c r="O1551" s="2" t="inlineStr">
        <is>
          <t>https://kaspi.kz/shop/c/protective%20films%20for%20smart%20watches%20and%20fitness%20bracelets/</t>
        </is>
      </c>
    </row>
    <row r="1552">
      <c r="A1552" s="2" t="n">
        <v>1551</v>
      </c>
      <c r="B1552" s="2" t="inlineStr">
        <is>
          <t>Настольные электропечи</t>
        </is>
      </c>
      <c r="C1552" s="2" t="inlineStr">
        <is>
          <t>Бытовая техника</t>
        </is>
      </c>
      <c r="D1552" s="2" t="inlineStr">
        <is>
          <t>Бытовая техника → Мелкая техника для кухни → Печи и грили → Настольные электропечи</t>
        </is>
      </c>
      <c r="E1552" s="3" t="n">
        <v>442859</v>
      </c>
      <c r="F1552" s="3" t="n">
        <v>14</v>
      </c>
      <c r="G1552" s="3">
        <f>IFERROR(E1552/F1552,0)</f>
        <v/>
      </c>
      <c r="H1552" s="3" t="n">
        <v>9</v>
      </c>
      <c r="I1552" s="2" t="n">
        <v>6</v>
      </c>
      <c r="J1552" s="3">
        <f>IFERROR(E1552/H1552,0)</f>
        <v/>
      </c>
      <c r="K1552" s="10">
        <f>E1552/'По разделам'!$B$21</f>
        <v/>
      </c>
      <c r="L1552" s="4">
        <f>L1551+K1552</f>
        <v/>
      </c>
      <c r="M1552" s="2" t="inlineStr">
        <is>
          <t>03700</t>
        </is>
      </c>
      <c r="N1552" s="2" t="inlineStr">
        <is>
          <t>https://app.redstat.kz/niche/03700?event_date=2026-08-01</t>
        </is>
      </c>
      <c r="O1552" s="2" t="inlineStr">
        <is>
          <t>https://kaspi.kz/shop/c/tabletop%20electric%20ovens/</t>
        </is>
      </c>
    </row>
    <row r="1553">
      <c r="A1553" s="2" t="n">
        <v>1552</v>
      </c>
      <c r="B1553" s="2" t="inlineStr">
        <is>
          <t>Комплекты умного дома</t>
        </is>
      </c>
      <c r="C1553" s="2" t="inlineStr">
        <is>
          <t>Товары для дома и дачи</t>
        </is>
      </c>
      <c r="D1553" s="2" t="inlineStr">
        <is>
          <t>Товары для дома и дачи → Умный дом → Комплекты умного дома</t>
        </is>
      </c>
      <c r="E1553" s="3" t="n">
        <v>436676</v>
      </c>
      <c r="F1553" s="3" t="n">
        <v>51</v>
      </c>
      <c r="G1553" s="3">
        <f>IFERROR(E1553/F1553,0)</f>
        <v/>
      </c>
      <c r="H1553" s="3" t="n">
        <v>15</v>
      </c>
      <c r="I1553" s="2" t="n">
        <v>2</v>
      </c>
      <c r="J1553" s="3">
        <f>IFERROR(E1553/H1553,0)</f>
        <v/>
      </c>
      <c r="K1553" s="10">
        <f>E1553/'По разделам'!$B$21</f>
        <v/>
      </c>
      <c r="L1553" s="4">
        <f>L1552+K1553</f>
        <v/>
      </c>
      <c r="M1553" s="2" t="inlineStr">
        <is>
          <t>02306</t>
        </is>
      </c>
      <c r="N1553" s="2" t="inlineStr">
        <is>
          <t>https://app.redstat.kz/niche/02306?event_date=2026-08-01</t>
        </is>
      </c>
      <c r="O1553" s="2" t="inlineStr">
        <is>
          <t>https://kaspi.kz/shop/c/smart%20home%20kits/</t>
        </is>
      </c>
    </row>
    <row r="1554">
      <c r="A1554" s="2" t="n">
        <v>1553</v>
      </c>
      <c r="B1554" s="2" t="inlineStr">
        <is>
          <t>Автоткань</t>
        </is>
      </c>
      <c r="C1554" s="2" t="inlineStr">
        <is>
          <t>Автотовары</t>
        </is>
      </c>
      <c r="D1554" s="2" t="inlineStr">
        <is>
          <t>Автотовары → Автоаксессуары → Автоткань</t>
        </is>
      </c>
      <c r="E1554" s="3" t="n">
        <v>435401</v>
      </c>
      <c r="F1554" s="3" t="n">
        <v>40</v>
      </c>
      <c r="G1554" s="3">
        <f>IFERROR(E1554/F1554,0)</f>
        <v/>
      </c>
      <c r="H1554" s="3" t="n">
        <v>12</v>
      </c>
      <c r="I1554" s="2" t="n">
        <v>2</v>
      </c>
      <c r="J1554" s="3">
        <f>IFERROR(E1554/H1554,0)</f>
        <v/>
      </c>
      <c r="K1554" s="10">
        <f>E1554/'По разделам'!$B$21</f>
        <v/>
      </c>
      <c r="L1554" s="4">
        <f>L1553+K1554</f>
        <v/>
      </c>
      <c r="M1554" s="2" t="inlineStr">
        <is>
          <t>07145</t>
        </is>
      </c>
      <c r="N1554" s="2" t="inlineStr">
        <is>
          <t>https://app.redstat.kz/niche/07145?event_date=2026-08-01</t>
        </is>
      </c>
      <c r="O1554" s="2" t="inlineStr">
        <is>
          <t>https://kaspi.kz/shop/c/automotive%20fabric/</t>
        </is>
      </c>
    </row>
    <row r="1555">
      <c r="A1555" s="2" t="n">
        <v>1554</v>
      </c>
      <c r="B1555" s="2" t="inlineStr">
        <is>
          <t>Инструменты для ремонта автостекол</t>
        </is>
      </c>
      <c r="C1555" s="2" t="inlineStr">
        <is>
          <t>Автотовары</t>
        </is>
      </c>
      <c r="D1555" s="2" t="inlineStr">
        <is>
          <t>Автотовары → Автоинструменты → Инструменты для ремонта автостекол</t>
        </is>
      </c>
      <c r="E1555" s="3" t="n">
        <v>434025</v>
      </c>
      <c r="F1555" s="3" t="n">
        <v>26</v>
      </c>
      <c r="G1555" s="3">
        <f>IFERROR(E1555/F1555,0)</f>
        <v/>
      </c>
      <c r="H1555" s="3" t="n">
        <v>10</v>
      </c>
      <c r="I1555" s="2" t="n">
        <v>5</v>
      </c>
      <c r="J1555" s="3">
        <f>IFERROR(E1555/H1555,0)</f>
        <v/>
      </c>
      <c r="K1555" s="10">
        <f>E1555/'По разделам'!$B$21</f>
        <v/>
      </c>
      <c r="L1555" s="4">
        <f>L1554+K1555</f>
        <v/>
      </c>
      <c r="M1555" s="2" t="inlineStr">
        <is>
          <t>06841</t>
        </is>
      </c>
      <c r="N1555" s="2" t="inlineStr">
        <is>
          <t>https://app.redstat.kz/niche/06841?event_date=2026-08-01</t>
        </is>
      </c>
      <c r="O1555" s="2" t="inlineStr">
        <is>
          <t>https://kaspi.kz/shop/c/auto%20glass%20repair%20tools/</t>
        </is>
      </c>
    </row>
    <row r="1556">
      <c r="A1556" s="2" t="n">
        <v>1555</v>
      </c>
      <c r="B1556" s="2" t="inlineStr">
        <is>
          <t>Уплотнители резьбовых соединений</t>
        </is>
      </c>
      <c r="C1556" s="2" t="inlineStr">
        <is>
          <t>Строительство, ремонт</t>
        </is>
      </c>
      <c r="D1556" s="2" t="inlineStr">
        <is>
          <t>Строительство, ремонт → Водоснабжение → Трубы и фитинги → Уплотнители резьбовых соединений</t>
        </is>
      </c>
      <c r="E1556" s="3" t="n">
        <v>432811</v>
      </c>
      <c r="F1556" s="3" t="n">
        <v>313</v>
      </c>
      <c r="G1556" s="3">
        <f>IFERROR(E1556/F1556,0)</f>
        <v/>
      </c>
      <c r="H1556" s="3" t="n">
        <v>123</v>
      </c>
      <c r="I1556" s="2" t="n">
        <v>30</v>
      </c>
      <c r="J1556" s="3">
        <f>IFERROR(E1556/H1556,0)</f>
        <v/>
      </c>
      <c r="K1556" s="10">
        <f>E1556/'По разделам'!$B$21</f>
        <v/>
      </c>
      <c r="L1556" s="4">
        <f>L1555+K1556</f>
        <v/>
      </c>
      <c r="M1556" s="2" t="inlineStr">
        <is>
          <t>05932</t>
        </is>
      </c>
      <c r="N1556" s="2" t="inlineStr">
        <is>
          <t>https://app.redstat.kz/niche/05932?event_date=2026-08-01</t>
        </is>
      </c>
      <c r="O1556" s="2" t="inlineStr">
        <is>
          <t>https://kaspi.kz/shop/c/threaded%20seals/</t>
        </is>
      </c>
    </row>
    <row r="1557">
      <c r="A1557" s="2" t="n">
        <v>1556</v>
      </c>
      <c r="B1557" s="2" t="inlineStr">
        <is>
          <t>Аксессуары и запчасти для скейтбордов</t>
        </is>
      </c>
      <c r="C1557" s="2" t="inlineStr">
        <is>
          <t>Спорт, туризм</t>
        </is>
      </c>
      <c r="D1557" s="2" t="inlineStr">
        <is>
          <t>Спорт, туризм → Самокаты, гироскутеры, моноколеса → Аксессуары и запчасти для скейтбордов → Аксессуары и запчасти для скейтбордов</t>
        </is>
      </c>
      <c r="E1557" s="3" t="n">
        <v>432092</v>
      </c>
      <c r="F1557" s="3" t="n">
        <v>46</v>
      </c>
      <c r="G1557" s="3">
        <f>IFERROR(E1557/F1557,0)</f>
        <v/>
      </c>
      <c r="H1557" s="3" t="n">
        <v>21</v>
      </c>
      <c r="I1557" s="2" t="n">
        <v>11</v>
      </c>
      <c r="J1557" s="3">
        <f>IFERROR(E1557/H1557,0)</f>
        <v/>
      </c>
      <c r="K1557" s="10">
        <f>E1557/'По разделам'!$B$21</f>
        <v/>
      </c>
      <c r="L1557" s="4">
        <f>L1556+K1557</f>
        <v/>
      </c>
      <c r="M1557" s="2" t="inlineStr">
        <is>
          <t>q009fec7a20d294f</t>
        </is>
      </c>
      <c r="N1557" s="2" t="inlineStr">
        <is>
          <t>https://app.redstat.kz/niche/q009fec7a20d294f?event_date=2026-08-01</t>
        </is>
      </c>
      <c r="O1557" s="2" t="inlineStr"/>
    </row>
    <row r="1558">
      <c r="A1558" s="2" t="n">
        <v>1557</v>
      </c>
      <c r="B1558" s="2" t="inlineStr">
        <is>
          <t>Ювелирные четки</t>
        </is>
      </c>
      <c r="C1558" s="2" t="inlineStr">
        <is>
          <t>Украшения</t>
        </is>
      </c>
      <c r="D1558" s="2" t="inlineStr">
        <is>
          <t>Украшения → Четки → Ювелирные четки</t>
        </is>
      </c>
      <c r="E1558" s="3" t="n">
        <v>428710</v>
      </c>
      <c r="F1558" s="3" t="n">
        <v>5</v>
      </c>
      <c r="G1558" s="3">
        <f>IFERROR(E1558/F1558,0)</f>
        <v/>
      </c>
      <c r="H1558" s="3" t="n">
        <v>4</v>
      </c>
      <c r="I1558" s="2" t="n">
        <v>3</v>
      </c>
      <c r="J1558" s="3">
        <f>IFERROR(E1558/H1558,0)</f>
        <v/>
      </c>
      <c r="K1558" s="10">
        <f>E1558/'По разделам'!$B$21</f>
        <v/>
      </c>
      <c r="L1558" s="4">
        <f>L1557+K1558</f>
        <v/>
      </c>
      <c r="M1558" s="2" t="inlineStr">
        <is>
          <t>07123</t>
        </is>
      </c>
      <c r="N1558" s="2" t="inlineStr">
        <is>
          <t>https://app.redstat.kz/niche/07123?event_date=2026-08-01</t>
        </is>
      </c>
      <c r="O1558" s="2" t="inlineStr">
        <is>
          <t>https://kaspi.kz/shop/c/jewelry%20rosary/</t>
        </is>
      </c>
    </row>
    <row r="1559">
      <c r="A1559" s="2" t="n">
        <v>1558</v>
      </c>
      <c r="B1559" s="2" t="inlineStr">
        <is>
          <t>Инвентарь для обслуживания аквариумов и террариумов</t>
        </is>
      </c>
      <c r="C1559" s="2" t="inlineStr">
        <is>
          <t>Товары для животных</t>
        </is>
      </c>
      <c r="D1559" s="2" t="inlineStr">
        <is>
          <t>Товары для животных → Для рыб и рептилий → Инвентарь для обслуживания аквариумов и террариумов → Инвентарь для обслуживания аквариумов и террариумов</t>
        </is>
      </c>
      <c r="E1559" s="3" t="n">
        <v>425440</v>
      </c>
      <c r="F1559" s="3" t="n">
        <v>151</v>
      </c>
      <c r="G1559" s="3">
        <f>IFERROR(E1559/F1559,0)</f>
        <v/>
      </c>
      <c r="H1559" s="3" t="n">
        <v>56</v>
      </c>
      <c r="I1559" s="2" t="n">
        <v>16</v>
      </c>
      <c r="J1559" s="3">
        <f>IFERROR(E1559/H1559,0)</f>
        <v/>
      </c>
      <c r="K1559" s="10">
        <f>E1559/'По разделам'!$B$21</f>
        <v/>
      </c>
      <c r="L1559" s="4">
        <f>L1558+K1559</f>
        <v/>
      </c>
      <c r="M1559" s="2" t="inlineStr">
        <is>
          <t>qdefa75c3677d52f</t>
        </is>
      </c>
      <c r="N1559" s="2" t="inlineStr">
        <is>
          <t>https://app.redstat.kz/niche/qdefa75c3677d52f?event_date=2026-08-01</t>
        </is>
      </c>
      <c r="O1559" s="2" t="inlineStr"/>
    </row>
    <row r="1560">
      <c r="A1560" s="2" t="n">
        <v>1559</v>
      </c>
      <c r="B1560" s="2" t="inlineStr">
        <is>
          <t>Чехлы для пультов</t>
        </is>
      </c>
      <c r="C1560" s="2" t="inlineStr">
        <is>
          <t>ТВ, Аудио, Видео</t>
        </is>
      </c>
      <c r="D1560" s="2" t="inlineStr">
        <is>
          <t>ТВ, Аудио, Видео → Видеотехника → Чехлы для пультов</t>
        </is>
      </c>
      <c r="E1560" s="3" t="n">
        <v>423566</v>
      </c>
      <c r="F1560" s="3" t="n">
        <v>200</v>
      </c>
      <c r="G1560" s="3">
        <f>IFERROR(E1560/F1560,0)</f>
        <v/>
      </c>
      <c r="H1560" s="3" t="n">
        <v>41</v>
      </c>
      <c r="I1560" s="2" t="n">
        <v>2</v>
      </c>
      <c r="J1560" s="3">
        <f>IFERROR(E1560/H1560,0)</f>
        <v/>
      </c>
      <c r="K1560" s="10">
        <f>E1560/'По разделам'!$B$21</f>
        <v/>
      </c>
      <c r="L1560" s="4">
        <f>L1559+K1560</f>
        <v/>
      </c>
      <c r="M1560" s="2" t="inlineStr">
        <is>
          <t>06688</t>
        </is>
      </c>
      <c r="N1560" s="2" t="inlineStr">
        <is>
          <t>https://app.redstat.kz/niche/06688?event_date=2026-08-01</t>
        </is>
      </c>
      <c r="O1560" s="2" t="inlineStr">
        <is>
          <t>https://kaspi.kz/shop/c/remote%20control%20cases/</t>
        </is>
      </c>
    </row>
    <row r="1561">
      <c r="A1561" s="2" t="n">
        <v>1560</v>
      </c>
      <c r="B1561" s="2" t="inlineStr">
        <is>
          <t>Системы охлаждения для фотокамер</t>
        </is>
      </c>
      <c r="C1561" s="2" t="inlineStr">
        <is>
          <t>ТВ, Аудио, Видео</t>
        </is>
      </c>
      <c r="D1561" s="2" t="inlineStr">
        <is>
          <t>ТВ, Аудио, Видео → Фото- и видеокамеры → Системы охлаждения для фотокамер</t>
        </is>
      </c>
      <c r="E1561" s="3" t="n">
        <v>420080</v>
      </c>
      <c r="F1561" s="3" t="n">
        <v>23</v>
      </c>
      <c r="G1561" s="3">
        <f>IFERROR(E1561/F1561,0)</f>
        <v/>
      </c>
      <c r="H1561" s="3" t="n">
        <v>5</v>
      </c>
      <c r="I1561" s="2" t="n">
        <v>1</v>
      </c>
      <c r="J1561" s="3">
        <f>IFERROR(E1561/H1561,0)</f>
        <v/>
      </c>
      <c r="K1561" s="10">
        <f>E1561/'По разделам'!$B$21</f>
        <v/>
      </c>
      <c r="L1561" s="4">
        <f>L1560+K1561</f>
        <v/>
      </c>
      <c r="M1561" s="2" t="inlineStr">
        <is>
          <t>07159</t>
        </is>
      </c>
      <c r="N1561" s="2" t="inlineStr">
        <is>
          <t>https://app.redstat.kz/niche/07159?event_date=2026-08-01</t>
        </is>
      </c>
      <c r="O1561" s="2" t="inlineStr">
        <is>
          <t>https://kaspi.kz/shop/c/cooling%20systems%20for%20cameras/</t>
        </is>
      </c>
    </row>
    <row r="1562">
      <c r="A1562" s="2" t="n">
        <v>1561</v>
      </c>
      <c r="B1562" s="2" t="inlineStr">
        <is>
          <t>Шкатулки для автоподзавода</t>
        </is>
      </c>
      <c r="C1562" s="2" t="inlineStr">
        <is>
          <t>Аксессуары</t>
        </is>
      </c>
      <c r="D1562" s="2" t="inlineStr">
        <is>
          <t>Аксессуары → Часы → Шкатулки для автоподзавода</t>
        </is>
      </c>
      <c r="E1562" s="3" t="n">
        <v>418795</v>
      </c>
      <c r="F1562" s="3" t="n">
        <v>5</v>
      </c>
      <c r="G1562" s="3">
        <f>IFERROR(E1562/F1562,0)</f>
        <v/>
      </c>
      <c r="H1562" s="3" t="n">
        <v>3</v>
      </c>
      <c r="I1562" s="2" t="n">
        <v>1</v>
      </c>
      <c r="J1562" s="3">
        <f>IFERROR(E1562/H1562,0)</f>
        <v/>
      </c>
      <c r="K1562" s="10">
        <f>E1562/'По разделам'!$B$21</f>
        <v/>
      </c>
      <c r="L1562" s="4">
        <f>L1561+K1562</f>
        <v/>
      </c>
      <c r="M1562" s="2" t="inlineStr">
        <is>
          <t>09023</t>
        </is>
      </c>
      <c r="N1562" s="2" t="inlineStr">
        <is>
          <t>https://app.redstat.kz/niche/09023?event_date=2026-08-01</t>
        </is>
      </c>
      <c r="O1562" s="2" t="inlineStr">
        <is>
          <t>https://kaspi.kz/shop/c/watch%20winders/</t>
        </is>
      </c>
    </row>
    <row r="1563">
      <c r="A1563" s="2" t="n">
        <v>1562</v>
      </c>
      <c r="B1563" s="2" t="inlineStr">
        <is>
          <t>Заготовки для значков</t>
        </is>
      </c>
      <c r="C1563" s="2" t="inlineStr">
        <is>
          <t>Канцелярские товары</t>
        </is>
      </c>
      <c r="D1563" s="2" t="inlineStr">
        <is>
          <t>Канцелярские товары → Торговые и рекламные принадлежности → Заготовки для значков</t>
        </is>
      </c>
      <c r="E1563" s="3" t="n">
        <v>412423</v>
      </c>
      <c r="F1563" s="3" t="n">
        <v>26</v>
      </c>
      <c r="G1563" s="3">
        <f>IFERROR(E1563/F1563,0)</f>
        <v/>
      </c>
      <c r="H1563" s="3" t="n">
        <v>7</v>
      </c>
      <c r="I1563" s="2" t="n">
        <v>0</v>
      </c>
      <c r="J1563" s="3">
        <f>IFERROR(E1563/H1563,0)</f>
        <v/>
      </c>
      <c r="K1563" s="10">
        <f>E1563/'По разделам'!$B$21</f>
        <v/>
      </c>
      <c r="L1563" s="4">
        <f>L1562+K1563</f>
        <v/>
      </c>
      <c r="M1563" s="2" t="inlineStr">
        <is>
          <t>07191</t>
        </is>
      </c>
      <c r="N1563" s="2" t="inlineStr">
        <is>
          <t>https://app.redstat.kz/niche/07191?event_date=2026-08-01</t>
        </is>
      </c>
      <c r="O1563" s="2" t="inlineStr">
        <is>
          <t>https://kaspi.kz/shop/c/blanks%20for%20badges/</t>
        </is>
      </c>
    </row>
    <row r="1564">
      <c r="A1564" s="2" t="n">
        <v>1563</v>
      </c>
      <c r="B1564" s="2" t="inlineStr">
        <is>
          <t>Совки для лотка</t>
        </is>
      </c>
      <c r="C1564" s="2" t="inlineStr">
        <is>
          <t>Товары для животных</t>
        </is>
      </c>
      <c r="D1564" s="2" t="inlineStr">
        <is>
          <t>Товары для животных → Аксессуары для животных → Совки для лотка</t>
        </is>
      </c>
      <c r="E1564" s="3" t="n">
        <v>411430</v>
      </c>
      <c r="F1564" s="3" t="n">
        <v>447</v>
      </c>
      <c r="G1564" s="3">
        <f>IFERROR(E1564/F1564,0)</f>
        <v/>
      </c>
      <c r="H1564" s="3" t="n">
        <v>47</v>
      </c>
      <c r="I1564" s="2" t="n">
        <v>14</v>
      </c>
      <c r="J1564" s="3">
        <f>IFERROR(E1564/H1564,0)</f>
        <v/>
      </c>
      <c r="K1564" s="10">
        <f>E1564/'По разделам'!$B$21</f>
        <v/>
      </c>
      <c r="L1564" s="4">
        <f>L1563+K1564</f>
        <v/>
      </c>
      <c r="M1564" s="2" t="inlineStr">
        <is>
          <t>03101</t>
        </is>
      </c>
      <c r="N1564" s="2" t="inlineStr">
        <is>
          <t>https://app.redstat.kz/niche/03101?event_date=2026-08-01</t>
        </is>
      </c>
      <c r="O1564" s="2" t="inlineStr">
        <is>
          <t>https://kaspi.kz/shop/c/cat%20litter%20scoops/</t>
        </is>
      </c>
    </row>
    <row r="1565">
      <c r="A1565" s="2" t="n">
        <v>1564</v>
      </c>
      <c r="B1565" s="2" t="inlineStr">
        <is>
          <t>Гамаши для туризма и альпинизма</t>
        </is>
      </c>
      <c r="C1565" s="2" t="inlineStr">
        <is>
          <t>Спорт, туризм</t>
        </is>
      </c>
      <c r="D1565" s="2" t="inlineStr">
        <is>
          <t>Спорт, туризм → Альпинизм и скалолазание → Гамаши для туризма и альпинизма</t>
        </is>
      </c>
      <c r="E1565" s="3" t="n">
        <v>407294</v>
      </c>
      <c r="F1565" s="3" t="n">
        <v>53</v>
      </c>
      <c r="G1565" s="3">
        <f>IFERROR(E1565/F1565,0)</f>
        <v/>
      </c>
      <c r="H1565" s="3" t="n">
        <v>20</v>
      </c>
      <c r="I1565" s="2" t="n">
        <v>7</v>
      </c>
      <c r="J1565" s="3">
        <f>IFERROR(E1565/H1565,0)</f>
        <v/>
      </c>
      <c r="K1565" s="10">
        <f>E1565/'По разделам'!$B$21</f>
        <v/>
      </c>
      <c r="L1565" s="4">
        <f>L1564+K1565</f>
        <v/>
      </c>
      <c r="M1565" s="2" t="inlineStr">
        <is>
          <t>06211</t>
        </is>
      </c>
      <c r="N1565" s="2" t="inlineStr">
        <is>
          <t>https://app.redstat.kz/niche/06211?event_date=2026-08-01</t>
        </is>
      </c>
      <c r="O1565" s="2" t="inlineStr">
        <is>
          <t>https://kaspi.kz/shop/c/gaiters%20for%20tourism/</t>
        </is>
      </c>
    </row>
    <row r="1566">
      <c r="A1566" s="2" t="n">
        <v>1565</v>
      </c>
      <c r="B1566" s="2" t="inlineStr">
        <is>
          <t>Блюда, миски и салатники</t>
        </is>
      </c>
      <c r="C1566" s="2" t="inlineStr">
        <is>
          <t>Товары для дома и дачи</t>
        </is>
      </c>
      <c r="D1566" s="2" t="inlineStr">
        <is>
          <t>Товары для дома и дачи → Посуда и принадлежности → Столовая посуда → Блюда, миски и салатники</t>
        </is>
      </c>
      <c r="E1566" s="3" t="n">
        <v>406227</v>
      </c>
      <c r="F1566" s="3" t="n">
        <v>75</v>
      </c>
      <c r="G1566" s="3">
        <f>IFERROR(E1566/F1566,0)</f>
        <v/>
      </c>
      <c r="H1566" s="3" t="n">
        <v>31</v>
      </c>
      <c r="I1566" s="2" t="n">
        <v>20</v>
      </c>
      <c r="J1566" s="3">
        <f>IFERROR(E1566/H1566,0)</f>
        <v/>
      </c>
      <c r="K1566" s="10">
        <f>E1566/'По разделам'!$B$21</f>
        <v/>
      </c>
      <c r="L1566" s="4">
        <f>L1565+K1566</f>
        <v/>
      </c>
      <c r="M1566" s="2" t="inlineStr">
        <is>
          <t>03329</t>
        </is>
      </c>
      <c r="N1566" s="2" t="inlineStr">
        <is>
          <t>https://app.redstat.kz/niche/03329?event_date=2026-08-01</t>
        </is>
      </c>
      <c r="O1566" s="2" t="inlineStr">
        <is>
          <t>https://kaspi.kz/shop/c/serving%20bowls/</t>
        </is>
      </c>
    </row>
    <row r="1567">
      <c r="A1567" s="2" t="n">
        <v>1566</v>
      </c>
      <c r="B1567" s="2" t="inlineStr">
        <is>
          <t>Игрушки для птиц</t>
        </is>
      </c>
      <c r="C1567" s="2" t="inlineStr">
        <is>
          <t>Товары для животных</t>
        </is>
      </c>
      <c r="D1567" s="2" t="inlineStr">
        <is>
          <t>Товары для животных → Для птиц → Игрушки для птиц</t>
        </is>
      </c>
      <c r="E1567" s="3" t="n">
        <v>403924</v>
      </c>
      <c r="F1567" s="3" t="n">
        <v>109</v>
      </c>
      <c r="G1567" s="3">
        <f>IFERROR(E1567/F1567,0)</f>
        <v/>
      </c>
      <c r="H1567" s="3" t="n">
        <v>19</v>
      </c>
      <c r="I1567" s="2" t="n">
        <v>6</v>
      </c>
      <c r="J1567" s="3">
        <f>IFERROR(E1567/H1567,0)</f>
        <v/>
      </c>
      <c r="K1567" s="10">
        <f>E1567/'По разделам'!$B$21</f>
        <v/>
      </c>
      <c r="L1567" s="4">
        <f>L1566+K1567</f>
        <v/>
      </c>
      <c r="M1567" s="2" t="inlineStr">
        <is>
          <t>03737</t>
        </is>
      </c>
      <c r="N1567" s="2" t="inlineStr">
        <is>
          <t>https://app.redstat.kz/niche/03737?event_date=2026-08-01</t>
        </is>
      </c>
      <c r="O1567" s="2" t="inlineStr">
        <is>
          <t>https://kaspi.kz/shop/c/toys%20for%20birds/</t>
        </is>
      </c>
    </row>
    <row r="1568">
      <c r="A1568" s="2" t="n">
        <v>1567</v>
      </c>
      <c r="B1568" s="2" t="inlineStr">
        <is>
          <t>Аксессуары для клеток</t>
        </is>
      </c>
      <c r="C1568" s="2" t="inlineStr">
        <is>
          <t>Товары для животных</t>
        </is>
      </c>
      <c r="D1568" s="2" t="inlineStr">
        <is>
          <t>Товары для животных → Для птиц → Аксессуары для клеток</t>
        </is>
      </c>
      <c r="E1568" s="3" t="n">
        <v>403413</v>
      </c>
      <c r="F1568" s="3" t="n">
        <v>146</v>
      </c>
      <c r="G1568" s="3">
        <f>IFERROR(E1568/F1568,0)</f>
        <v/>
      </c>
      <c r="H1568" s="3" t="n">
        <v>35</v>
      </c>
      <c r="I1568" s="2" t="n">
        <v>8</v>
      </c>
      <c r="J1568" s="3">
        <f>IFERROR(E1568/H1568,0)</f>
        <v/>
      </c>
      <c r="K1568" s="10">
        <f>E1568/'По разделам'!$B$21</f>
        <v/>
      </c>
      <c r="L1568" s="4">
        <f>L1567+K1568</f>
        <v/>
      </c>
      <c r="M1568" s="2" t="inlineStr">
        <is>
          <t>02030</t>
        </is>
      </c>
      <c r="N1568" s="2" t="inlineStr">
        <is>
          <t>https://app.redstat.kz/niche/02030?event_date=2026-08-01</t>
        </is>
      </c>
      <c r="O1568" s="2" t="inlineStr">
        <is>
          <t>https://kaspi.kz/shop/c/pet%20cage%20accessories/</t>
        </is>
      </c>
    </row>
    <row r="1569">
      <c r="A1569" s="2" t="n">
        <v>1568</v>
      </c>
      <c r="B1569" s="2" t="inlineStr">
        <is>
          <t>Секретные болты и гайки</t>
        </is>
      </c>
      <c r="C1569" s="2" t="inlineStr">
        <is>
          <t>Автотовары</t>
        </is>
      </c>
      <c r="D1569" s="2" t="inlineStr">
        <is>
          <t>Автотовары → Автоаксессуары → Секретные болты и гайки</t>
        </is>
      </c>
      <c r="E1569" s="3" t="n">
        <v>401760</v>
      </c>
      <c r="F1569" s="3" t="n">
        <v>80</v>
      </c>
      <c r="G1569" s="3">
        <f>IFERROR(E1569/F1569,0)</f>
        <v/>
      </c>
      <c r="H1569" s="3" t="n">
        <v>21</v>
      </c>
      <c r="I1569" s="2" t="n">
        <v>9</v>
      </c>
      <c r="J1569" s="3">
        <f>IFERROR(E1569/H1569,0)</f>
        <v/>
      </c>
      <c r="K1569" s="10">
        <f>E1569/'По разделам'!$B$21</f>
        <v/>
      </c>
      <c r="L1569" s="4">
        <f>L1568+K1569</f>
        <v/>
      </c>
      <c r="M1569" s="2" t="inlineStr">
        <is>
          <t>02246</t>
        </is>
      </c>
      <c r="N1569" s="2" t="inlineStr">
        <is>
          <t>https://app.redstat.kz/niche/02246?event_date=2026-08-01</t>
        </is>
      </c>
      <c r="O1569" s="2" t="inlineStr">
        <is>
          <t>https://kaspi.kz/shop/c/security%20bolts%20and%20nuts/</t>
        </is>
      </c>
    </row>
    <row r="1570">
      <c r="A1570" s="2" t="n">
        <v>1569</v>
      </c>
      <c r="B1570" s="2" t="inlineStr">
        <is>
          <t>Ванны</t>
        </is>
      </c>
      <c r="C1570" s="2" t="inlineStr">
        <is>
          <t>Строительство, ремонт</t>
        </is>
      </c>
      <c r="D1570" s="2" t="inlineStr">
        <is>
          <t>Строительство, ремонт → Сантехника → Ванны и комплектующие → Ванны</t>
        </is>
      </c>
      <c r="E1570" s="3" t="n">
        <v>398568</v>
      </c>
      <c r="F1570" s="3" t="n">
        <v>16</v>
      </c>
      <c r="G1570" s="3">
        <f>IFERROR(E1570/F1570,0)</f>
        <v/>
      </c>
      <c r="H1570" s="3" t="n">
        <v>9</v>
      </c>
      <c r="I1570" s="2" t="n">
        <v>5</v>
      </c>
      <c r="J1570" s="3">
        <f>IFERROR(E1570/H1570,0)</f>
        <v/>
      </c>
      <c r="K1570" s="10">
        <f>E1570/'По разделам'!$B$21</f>
        <v/>
      </c>
      <c r="L1570" s="4">
        <f>L1569+K1570</f>
        <v/>
      </c>
      <c r="M1570" s="2" t="inlineStr">
        <is>
          <t>00255</t>
        </is>
      </c>
      <c r="N1570" s="2" t="inlineStr">
        <is>
          <t>https://app.redstat.kz/niche/00255?event_date=2026-08-01</t>
        </is>
      </c>
      <c r="O1570" s="2" t="inlineStr">
        <is>
          <t>https://kaspi.kz/shop/c/bathtubs/</t>
        </is>
      </c>
    </row>
    <row r="1571">
      <c r="A1571" s="2" t="n">
        <v>1570</v>
      </c>
      <c r="B1571" s="2" t="inlineStr">
        <is>
          <t>Одежда для пауэрлифтинга</t>
        </is>
      </c>
      <c r="C1571" s="2" t="inlineStr">
        <is>
          <t>Спорт, туризм</t>
        </is>
      </c>
      <c r="D1571" s="2" t="inlineStr">
        <is>
          <t>Спорт, туризм → Пауэрлифтинг → Одежда для пауэрлифтинга</t>
        </is>
      </c>
      <c r="E1571" s="3" t="n">
        <v>392713</v>
      </c>
      <c r="F1571" s="3" t="n">
        <v>10</v>
      </c>
      <c r="G1571" s="3">
        <f>IFERROR(E1571/F1571,0)</f>
        <v/>
      </c>
      <c r="H1571" s="3" t="n">
        <v>9</v>
      </c>
      <c r="I1571" s="2" t="n">
        <v>2</v>
      </c>
      <c r="J1571" s="3">
        <f>IFERROR(E1571/H1571,0)</f>
        <v/>
      </c>
      <c r="K1571" s="10">
        <f>E1571/'По разделам'!$B$21</f>
        <v/>
      </c>
      <c r="L1571" s="4">
        <f>L1570+K1571</f>
        <v/>
      </c>
      <c r="M1571" s="2" t="inlineStr">
        <is>
          <t>07287</t>
        </is>
      </c>
      <c r="N1571" s="2" t="inlineStr">
        <is>
          <t>https://app.redstat.kz/niche/07287?event_date=2026-08-01</t>
        </is>
      </c>
      <c r="O1571" s="2" t="inlineStr">
        <is>
          <t>https://kaspi.kz/shop/c/powerlifting%20clothing/</t>
        </is>
      </c>
    </row>
    <row r="1572">
      <c r="A1572" s="2" t="n">
        <v>1571</v>
      </c>
      <c r="B1572" s="2" t="inlineStr">
        <is>
          <t>Патроны для лампочек и ламподержатели</t>
        </is>
      </c>
      <c r="C1572" s="2" t="inlineStr">
        <is>
          <t>Товары для дома и дачи</t>
        </is>
      </c>
      <c r="D1572" s="2" t="inlineStr">
        <is>
          <t>Товары для дома и дачи → Освещение → Комплектующие и аксессуары для освещения → Патроны для лампочек и ламподержатели</t>
        </is>
      </c>
      <c r="E1572" s="3" t="n">
        <v>389126</v>
      </c>
      <c r="F1572" s="3" t="n">
        <v>139</v>
      </c>
      <c r="G1572" s="3">
        <f>IFERROR(E1572/F1572,0)</f>
        <v/>
      </c>
      <c r="H1572" s="3" t="n">
        <v>62</v>
      </c>
      <c r="I1572" s="2" t="n">
        <v>37</v>
      </c>
      <c r="J1572" s="3">
        <f>IFERROR(E1572/H1572,0)</f>
        <v/>
      </c>
      <c r="K1572" s="10">
        <f>E1572/'По разделам'!$B$21</f>
        <v/>
      </c>
      <c r="L1572" s="4">
        <f>L1571+K1572</f>
        <v/>
      </c>
      <c r="M1572" s="2" t="inlineStr">
        <is>
          <t>05264</t>
        </is>
      </c>
      <c r="N1572" s="2" t="inlineStr">
        <is>
          <t>https://app.redstat.kz/niche/05264?event_date=2026-08-01</t>
        </is>
      </c>
      <c r="O1572" s="2" t="inlineStr">
        <is>
          <t>https://kaspi.kz/shop/c/bulb%20holders/</t>
        </is>
      </c>
    </row>
    <row r="1573">
      <c r="A1573" s="2" t="n">
        <v>1572</v>
      </c>
      <c r="B1573" s="2" t="inlineStr">
        <is>
          <t>Инструменты для обслуживания смартфонов</t>
        </is>
      </c>
      <c r="C1573" s="2" t="inlineStr">
        <is>
          <t>Телефоны и гаджеты</t>
        </is>
      </c>
      <c r="D1573" s="2" t="inlineStr">
        <is>
          <t>Телефоны и гаджеты → Аксессуары для телефонов → Инструменты для обслуживания смартфонов</t>
        </is>
      </c>
      <c r="E1573" s="3" t="n">
        <v>376396</v>
      </c>
      <c r="F1573" s="3" t="n">
        <v>134</v>
      </c>
      <c r="G1573" s="3">
        <f>IFERROR(E1573/F1573,0)</f>
        <v/>
      </c>
      <c r="H1573" s="3" t="n">
        <v>40</v>
      </c>
      <c r="I1573" s="2" t="n">
        <v>15</v>
      </c>
      <c r="J1573" s="3">
        <f>IFERROR(E1573/H1573,0)</f>
        <v/>
      </c>
      <c r="K1573" s="10">
        <f>E1573/'По разделам'!$B$21</f>
        <v/>
      </c>
      <c r="L1573" s="4">
        <f>L1572+K1573</f>
        <v/>
      </c>
      <c r="M1573" s="2" t="inlineStr">
        <is>
          <t>07151</t>
        </is>
      </c>
      <c r="N1573" s="2" t="inlineStr">
        <is>
          <t>https://app.redstat.kz/niche/07151?event_date=2026-08-01</t>
        </is>
      </c>
      <c r="O1573" s="2" t="inlineStr">
        <is>
          <t>https://kaspi.kz/shop/c/smartphone%20maintenance%20tools/</t>
        </is>
      </c>
    </row>
    <row r="1574">
      <c r="A1574" s="2" t="n">
        <v>1573</v>
      </c>
      <c r="B1574" s="2" t="inlineStr">
        <is>
          <t>Учебное оборудование</t>
        </is>
      </c>
      <c r="C1574" s="2" t="inlineStr">
        <is>
          <t>Канцелярские товары</t>
        </is>
      </c>
      <c r="D1574" s="2" t="inlineStr">
        <is>
          <t>Канцелярские товары → Учебное оборудование и приборы → Учебное оборудование</t>
        </is>
      </c>
      <c r="E1574" s="3" t="n">
        <v>370591</v>
      </c>
      <c r="F1574" s="3" t="n">
        <v>40</v>
      </c>
      <c r="G1574" s="3">
        <f>IFERROR(E1574/F1574,0)</f>
        <v/>
      </c>
      <c r="H1574" s="3" t="n">
        <v>17</v>
      </c>
      <c r="I1574" s="2" t="n">
        <v>1</v>
      </c>
      <c r="J1574" s="3">
        <f>IFERROR(E1574/H1574,0)</f>
        <v/>
      </c>
      <c r="K1574" s="10">
        <f>E1574/'По разделам'!$B$21</f>
        <v/>
      </c>
      <c r="L1574" s="4">
        <f>L1573+K1574</f>
        <v/>
      </c>
      <c r="M1574" s="2" t="inlineStr">
        <is>
          <t>09298</t>
        </is>
      </c>
      <c r="N1574" s="2" t="inlineStr">
        <is>
          <t>https://app.redstat.kz/niche/09298?event_date=2026-08-01</t>
        </is>
      </c>
      <c r="O1574" s="2" t="inlineStr">
        <is>
          <t>https://kaspi.kz/shop/c/educational%20equipment/</t>
        </is>
      </c>
    </row>
    <row r="1575">
      <c r="A1575" s="2" t="n">
        <v>1574</v>
      </c>
      <c r="B1575" s="2" t="inlineStr">
        <is>
          <t>Кнопки канцелярские, шило</t>
        </is>
      </c>
      <c r="C1575" s="2" t="inlineStr">
        <is>
          <t>Канцелярские товары</t>
        </is>
      </c>
      <c r="D1575" s="2" t="inlineStr">
        <is>
          <t>Канцелярские товары → Мелкоофисные принадлежности → Кнопки канцелярские, шило</t>
        </is>
      </c>
      <c r="E1575" s="3" t="n">
        <v>370556</v>
      </c>
      <c r="F1575" s="3" t="n">
        <v>1417</v>
      </c>
      <c r="G1575" s="3">
        <f>IFERROR(E1575/F1575,0)</f>
        <v/>
      </c>
      <c r="H1575" s="3" t="n">
        <v>58</v>
      </c>
      <c r="I1575" s="2" t="n">
        <v>17</v>
      </c>
      <c r="J1575" s="3">
        <f>IFERROR(E1575/H1575,0)</f>
        <v/>
      </c>
      <c r="K1575" s="10">
        <f>E1575/'По разделам'!$B$21</f>
        <v/>
      </c>
      <c r="L1575" s="4">
        <f>L1574+K1575</f>
        <v/>
      </c>
      <c r="M1575" s="2" t="inlineStr">
        <is>
          <t>04267</t>
        </is>
      </c>
      <c r="N1575" s="2" t="inlineStr">
        <is>
          <t>https://app.redstat.kz/niche/04267?event_date=2026-08-01</t>
        </is>
      </c>
      <c r="O1575" s="2" t="inlineStr">
        <is>
          <t>https://kaspi.kz/shop/c/push%20pins%20office%20tacks/</t>
        </is>
      </c>
    </row>
    <row r="1576">
      <c r="A1576" s="2" t="n">
        <v>1575</v>
      </c>
      <c r="B1576" s="2" t="inlineStr">
        <is>
          <t>Декор для дизайна ногтей</t>
        </is>
      </c>
      <c r="C1576" s="2" t="inlineStr">
        <is>
          <t>Красота и здоровье</t>
        </is>
      </c>
      <c r="D1576" s="2" t="inlineStr">
        <is>
          <t>Красота и здоровье → Для маникюра и педикюра → Дизайн ногтей → Декор для дизайна ногтей</t>
        </is>
      </c>
      <c r="E1576" s="3" t="n">
        <v>366342</v>
      </c>
      <c r="F1576" s="3" t="n">
        <v>434</v>
      </c>
      <c r="G1576" s="3">
        <f>IFERROR(E1576/F1576,0)</f>
        <v/>
      </c>
      <c r="H1576" s="3" t="n">
        <v>125</v>
      </c>
      <c r="I1576" s="2" t="n">
        <v>39</v>
      </c>
      <c r="J1576" s="3">
        <f>IFERROR(E1576/H1576,0)</f>
        <v/>
      </c>
      <c r="K1576" s="10">
        <f>E1576/'По разделам'!$B$21</f>
        <v/>
      </c>
      <c r="L1576" s="4">
        <f>L1575+K1576</f>
        <v/>
      </c>
      <c r="M1576" s="2" t="inlineStr">
        <is>
          <t>06655</t>
        </is>
      </c>
      <c r="N1576" s="2" t="inlineStr">
        <is>
          <t>https://app.redstat.kz/niche/06655?event_date=2026-08-01</t>
        </is>
      </c>
      <c r="O1576" s="2" t="inlineStr">
        <is>
          <t>https://kaspi.kz/shop/c/decor%20design/</t>
        </is>
      </c>
    </row>
    <row r="1577">
      <c r="A1577" s="2" t="n">
        <v>1576</v>
      </c>
      <c r="B1577" s="2" t="inlineStr">
        <is>
          <t>Товары для стемпинга</t>
        </is>
      </c>
      <c r="C1577" s="2" t="inlineStr">
        <is>
          <t>Красота и здоровье</t>
        </is>
      </c>
      <c r="D1577" s="2" t="inlineStr">
        <is>
          <t>Красота и здоровье → Для маникюра и педикюра → Товары для стемпинга → Товары для стемпинга</t>
        </is>
      </c>
      <c r="E1577" s="3" t="n">
        <v>365048</v>
      </c>
      <c r="F1577" s="3" t="n">
        <v>174</v>
      </c>
      <c r="G1577" s="3">
        <f>IFERROR(E1577/F1577,0)</f>
        <v/>
      </c>
      <c r="H1577" s="3" t="n">
        <v>45</v>
      </c>
      <c r="I1577" s="2" t="n">
        <v>14</v>
      </c>
      <c r="J1577" s="3">
        <f>IFERROR(E1577/H1577,0)</f>
        <v/>
      </c>
      <c r="K1577" s="10">
        <f>E1577/'По разделам'!$B$21</f>
        <v/>
      </c>
      <c r="L1577" s="4">
        <f>L1576+K1577</f>
        <v/>
      </c>
      <c r="M1577" s="2" t="inlineStr">
        <is>
          <t>qe9d318658c7ec49</t>
        </is>
      </c>
      <c r="N1577" s="2" t="inlineStr">
        <is>
          <t>https://app.redstat.kz/niche/qe9d318658c7ec49?event_date=2026-08-01</t>
        </is>
      </c>
      <c r="O1577" s="2" t="inlineStr"/>
    </row>
    <row r="1578">
      <c r="A1578" s="2" t="n">
        <v>1577</v>
      </c>
      <c r="B1578" s="2" t="inlineStr">
        <is>
          <t>Звуковые карты</t>
        </is>
      </c>
      <c r="C1578" s="2" t="inlineStr">
        <is>
          <t>Компьютеры</t>
        </is>
      </c>
      <c r="D1578" s="2" t="inlineStr">
        <is>
          <t>Компьютеры → Комплектующие → Другие комплектующие → Звуковые карты</t>
        </is>
      </c>
      <c r="E1578" s="3" t="n">
        <v>362316</v>
      </c>
      <c r="F1578" s="3" t="n">
        <v>60</v>
      </c>
      <c r="G1578" s="3">
        <f>IFERROR(E1578/F1578,0)</f>
        <v/>
      </c>
      <c r="H1578" s="3" t="n">
        <v>38</v>
      </c>
      <c r="I1578" s="2" t="n">
        <v>21</v>
      </c>
      <c r="J1578" s="3">
        <f>IFERROR(E1578/H1578,0)</f>
        <v/>
      </c>
      <c r="K1578" s="10">
        <f>E1578/'По разделам'!$B$21</f>
        <v/>
      </c>
      <c r="L1578" s="4">
        <f>L1577+K1578</f>
        <v/>
      </c>
      <c r="M1578" s="2" t="inlineStr">
        <is>
          <t>01443</t>
        </is>
      </c>
      <c r="N1578" s="2" t="inlineStr">
        <is>
          <t>https://app.redstat.kz/niche/01443?event_date=2026-08-01</t>
        </is>
      </c>
      <c r="O1578" s="2" t="inlineStr">
        <is>
          <t>https://kaspi.kz/shop/c/sound%20cards/</t>
        </is>
      </c>
    </row>
    <row r="1579">
      <c r="A1579" s="2" t="n">
        <v>1578</v>
      </c>
      <c r="B1579" s="2" t="inlineStr">
        <is>
          <t>Измерительные приборы для подводного плавания</t>
        </is>
      </c>
      <c r="C1579" s="2" t="inlineStr">
        <is>
          <t>Спорт, туризм</t>
        </is>
      </c>
      <c r="D1579" s="2" t="inlineStr">
        <is>
          <t>Спорт, туризм → Водный спорт → Измерительные приборы для подводного плавания</t>
        </is>
      </c>
      <c r="E1579" s="3" t="n">
        <v>359900</v>
      </c>
      <c r="F1579" s="3" t="n">
        <v>1</v>
      </c>
      <c r="G1579" s="3">
        <f>IFERROR(E1579/F1579,0)</f>
        <v/>
      </c>
      <c r="H1579" s="3" t="n">
        <v>1</v>
      </c>
      <c r="I1579" s="2" t="n">
        <v>1</v>
      </c>
      <c r="J1579" s="3">
        <f>IFERROR(E1579/H1579,0)</f>
        <v/>
      </c>
      <c r="K1579" s="10">
        <f>E1579/'По разделам'!$B$21</f>
        <v/>
      </c>
      <c r="L1579" s="4">
        <f>L1578+K1579</f>
        <v/>
      </c>
      <c r="M1579" s="2" t="inlineStr">
        <is>
          <t>01600</t>
        </is>
      </c>
      <c r="N1579" s="2" t="inlineStr">
        <is>
          <t>https://app.redstat.kz/niche/01600?event_date=2026-08-01</t>
        </is>
      </c>
      <c r="O1579" s="2" t="inlineStr">
        <is>
          <t>https://kaspi.kz/shop/c/diving%20gauge%20accessories/</t>
        </is>
      </c>
    </row>
    <row r="1580">
      <c r="A1580" s="2" t="n">
        <v>1579</v>
      </c>
      <c r="B1580" s="2" t="inlineStr">
        <is>
          <t>Игральные кости</t>
        </is>
      </c>
      <c r="C1580" s="2" t="inlineStr">
        <is>
          <t>Досуг, книги</t>
        </is>
      </c>
      <c r="D1580" s="2" t="inlineStr">
        <is>
          <t>Досуг, книги → Игры для компаний → Игральные кости</t>
        </is>
      </c>
      <c r="E1580" s="3" t="n">
        <v>357420</v>
      </c>
      <c r="F1580" s="3" t="n">
        <v>201</v>
      </c>
      <c r="G1580" s="3">
        <f>IFERROR(E1580/F1580,0)</f>
        <v/>
      </c>
      <c r="H1580" s="3" t="n">
        <v>50</v>
      </c>
      <c r="I1580" s="2" t="n">
        <v>5</v>
      </c>
      <c r="J1580" s="3">
        <f>IFERROR(E1580/H1580,0)</f>
        <v/>
      </c>
      <c r="K1580" s="10">
        <f>E1580/'По разделам'!$B$21</f>
        <v/>
      </c>
      <c r="L1580" s="4">
        <f>L1579+K1580</f>
        <v/>
      </c>
      <c r="M1580" s="2" t="inlineStr">
        <is>
          <t>03312</t>
        </is>
      </c>
      <c r="N1580" s="2" t="inlineStr">
        <is>
          <t>https://app.redstat.kz/niche/03312?event_date=2026-08-01</t>
        </is>
      </c>
      <c r="O1580" s="2" t="inlineStr">
        <is>
          <t>https://kaspi.kz/shop/c/dice/</t>
        </is>
      </c>
    </row>
    <row r="1581">
      <c r="A1581" s="2" t="n">
        <v>1580</v>
      </c>
      <c r="B1581" s="2" t="inlineStr">
        <is>
          <t>Сковороды</t>
        </is>
      </c>
      <c r="C1581" s="2" t="inlineStr">
        <is>
          <t>Товары для дома и дачи</t>
        </is>
      </c>
      <c r="D1581" s="2" t="inlineStr">
        <is>
          <t>Товары для дома и дачи → Посуда и принадлежности → Посуда для приготовления → Сковороды</t>
        </is>
      </c>
      <c r="E1581" s="3" t="n">
        <v>356575</v>
      </c>
      <c r="F1581" s="3" t="n">
        <v>29</v>
      </c>
      <c r="G1581" s="3">
        <f>IFERROR(E1581/F1581,0)</f>
        <v/>
      </c>
      <c r="H1581" s="3" t="n">
        <v>17</v>
      </c>
      <c r="I1581" s="2" t="n">
        <v>11</v>
      </c>
      <c r="J1581" s="3">
        <f>IFERROR(E1581/H1581,0)</f>
        <v/>
      </c>
      <c r="K1581" s="10">
        <f>E1581/'По разделам'!$B$21</f>
        <v/>
      </c>
      <c r="L1581" s="4">
        <f>L1580+K1581</f>
        <v/>
      </c>
      <c r="M1581" s="2" t="inlineStr">
        <is>
          <t>03320</t>
        </is>
      </c>
      <c r="N1581" s="2" t="inlineStr">
        <is>
          <t>https://app.redstat.kz/niche/03320?event_date=2026-08-01</t>
        </is>
      </c>
      <c r="O1581" s="2" t="inlineStr">
        <is>
          <t>https://kaspi.kz/shop/c/pans/</t>
        </is>
      </c>
    </row>
    <row r="1582">
      <c r="A1582" s="2" t="n">
        <v>1581</v>
      </c>
      <c r="B1582" s="2" t="inlineStr">
        <is>
          <t>Слипоны для малышей</t>
        </is>
      </c>
      <c r="C1582" s="2" t="inlineStr">
        <is>
          <t>Обувь</t>
        </is>
      </c>
      <c r="D1582" s="2" t="inlineStr">
        <is>
          <t>Обувь → Обувь для малышей → Слипоны для малышей</t>
        </is>
      </c>
      <c r="E1582" s="3" t="n">
        <v>350644</v>
      </c>
      <c r="F1582" s="3" t="n">
        <v>21</v>
      </c>
      <c r="G1582" s="3">
        <f>IFERROR(E1582/F1582,0)</f>
        <v/>
      </c>
      <c r="H1582" s="3" t="n">
        <v>16</v>
      </c>
      <c r="I1582" s="2" t="n">
        <v>3</v>
      </c>
      <c r="J1582" s="3">
        <f>IFERROR(E1582/H1582,0)</f>
        <v/>
      </c>
      <c r="K1582" s="10">
        <f>E1582/'По разделам'!$B$21</f>
        <v/>
      </c>
      <c r="L1582" s="4">
        <f>L1581+K1582</f>
        <v/>
      </c>
      <c r="M1582" s="2" t="inlineStr">
        <is>
          <t>07249</t>
        </is>
      </c>
      <c r="N1582" s="2" t="inlineStr">
        <is>
          <t>https://app.redstat.kz/niche/07249?event_date=2026-08-01</t>
        </is>
      </c>
      <c r="O1582" s="2" t="inlineStr">
        <is>
          <t>https://kaspi.kz/shop/c/slip-ons%20for%20babies/</t>
        </is>
      </c>
    </row>
    <row r="1583">
      <c r="A1583" s="2" t="n">
        <v>1582</v>
      </c>
      <c r="B1583" s="2" t="inlineStr">
        <is>
          <t>Радиодетали</t>
        </is>
      </c>
      <c r="C1583" s="2" t="inlineStr">
        <is>
          <t>Строительство, ремонт</t>
        </is>
      </c>
      <c r="D1583" s="2" t="inlineStr">
        <is>
          <t>Строительство, ремонт → Инструменты → Радиодетали → Радиодетали</t>
        </is>
      </c>
      <c r="E1583" s="3" t="n">
        <v>350014</v>
      </c>
      <c r="F1583" s="3" t="n">
        <v>159</v>
      </c>
      <c r="G1583" s="3">
        <f>IFERROR(E1583/F1583,0)</f>
        <v/>
      </c>
      <c r="H1583" s="3" t="n">
        <v>59</v>
      </c>
      <c r="I1583" s="2" t="n">
        <v>5</v>
      </c>
      <c r="J1583" s="3">
        <f>IFERROR(E1583/H1583,0)</f>
        <v/>
      </c>
      <c r="K1583" s="10">
        <f>E1583/'По разделам'!$B$21</f>
        <v/>
      </c>
      <c r="L1583" s="4">
        <f>L1582+K1583</f>
        <v/>
      </c>
      <c r="M1583" s="2" t="inlineStr">
        <is>
          <t>q4eceeefe757e3fe</t>
        </is>
      </c>
      <c r="N1583" s="2" t="inlineStr">
        <is>
          <t>https://app.redstat.kz/niche/q4eceeefe757e3fe?event_date=2026-08-01</t>
        </is>
      </c>
      <c r="O1583" s="2" t="inlineStr"/>
    </row>
    <row r="1584">
      <c r="A1584" s="2" t="n">
        <v>1583</v>
      </c>
      <c r="B1584" s="2" t="inlineStr">
        <is>
          <t>Кормушки для рыб и рептилий</t>
        </is>
      </c>
      <c r="C1584" s="2" t="inlineStr">
        <is>
          <t>Товары для животных</t>
        </is>
      </c>
      <c r="D1584" s="2" t="inlineStr">
        <is>
          <t>Товары для животных → Для рыб и рептилий → Кормушки для рыб и рептилий</t>
        </is>
      </c>
      <c r="E1584" s="3" t="n">
        <v>349235</v>
      </c>
      <c r="F1584" s="3" t="n">
        <v>48</v>
      </c>
      <c r="G1584" s="3">
        <f>IFERROR(E1584/F1584,0)</f>
        <v/>
      </c>
      <c r="H1584" s="3" t="n">
        <v>17</v>
      </c>
      <c r="I1584" s="2" t="n">
        <v>11</v>
      </c>
      <c r="J1584" s="3">
        <f>IFERROR(E1584/H1584,0)</f>
        <v/>
      </c>
      <c r="K1584" s="10">
        <f>E1584/'По разделам'!$B$21</f>
        <v/>
      </c>
      <c r="L1584" s="4">
        <f>L1583+K1584</f>
        <v/>
      </c>
      <c r="M1584" s="2" t="inlineStr">
        <is>
          <t>01556</t>
        </is>
      </c>
      <c r="N1584" s="2" t="inlineStr">
        <is>
          <t>https://app.redstat.kz/niche/01556?event_date=2026-08-01</t>
        </is>
      </c>
      <c r="O1584" s="2" t="inlineStr">
        <is>
          <t>https://kaspi.kz/shop/c/fish%20feeders/</t>
        </is>
      </c>
    </row>
    <row r="1585">
      <c r="A1585" s="2" t="n">
        <v>1584</v>
      </c>
      <c r="B1585" s="2" t="inlineStr">
        <is>
          <t>KVM-оборудование</t>
        </is>
      </c>
      <c r="C1585" s="2" t="inlineStr">
        <is>
          <t>Компьютеры</t>
        </is>
      </c>
      <c r="D1585" s="2" t="inlineStr">
        <is>
          <t>Компьютеры → Периферия → KVM-оборудование</t>
        </is>
      </c>
      <c r="E1585" s="3" t="n">
        <v>346889</v>
      </c>
      <c r="F1585" s="3" t="n">
        <v>100</v>
      </c>
      <c r="G1585" s="3">
        <f>IFERROR(E1585/F1585,0)</f>
        <v/>
      </c>
      <c r="H1585" s="3" t="n">
        <v>20</v>
      </c>
      <c r="I1585" s="2" t="n">
        <v>7</v>
      </c>
      <c r="J1585" s="3">
        <f>IFERROR(E1585/H1585,0)</f>
        <v/>
      </c>
      <c r="K1585" s="10">
        <f>E1585/'По разделам'!$B$21</f>
        <v/>
      </c>
      <c r="L1585" s="4">
        <f>L1584+K1585</f>
        <v/>
      </c>
      <c r="M1585" s="2" t="inlineStr">
        <is>
          <t>qc7f602684c6555d</t>
        </is>
      </c>
      <c r="N1585" s="2" t="inlineStr">
        <is>
          <t>https://app.redstat.kz/niche/qc7f602684c6555d?event_date=2026-08-01</t>
        </is>
      </c>
      <c r="O1585" s="2" t="inlineStr"/>
    </row>
    <row r="1586">
      <c r="A1586" s="2" t="n">
        <v>1585</v>
      </c>
      <c r="B1586" s="2" t="inlineStr">
        <is>
          <t>Инспекционные зеркала для досмотра автомобиля</t>
        </is>
      </c>
      <c r="C1586" s="2" t="inlineStr">
        <is>
          <t>Автотовары</t>
        </is>
      </c>
      <c r="D1586" s="2" t="inlineStr">
        <is>
          <t>Автотовары → Автоинструменты → Инспекционные зеркала для досмотра автомобиля</t>
        </is>
      </c>
      <c r="E1586" s="3" t="n">
        <v>346768</v>
      </c>
      <c r="F1586" s="3" t="n">
        <v>20</v>
      </c>
      <c r="G1586" s="3">
        <f>IFERROR(E1586/F1586,0)</f>
        <v/>
      </c>
      <c r="H1586" s="3" t="n">
        <v>6</v>
      </c>
      <c r="I1586" s="2" t="n">
        <v>5</v>
      </c>
      <c r="J1586" s="3">
        <f>IFERROR(E1586/H1586,0)</f>
        <v/>
      </c>
      <c r="K1586" s="10">
        <f>E1586/'По разделам'!$B$21</f>
        <v/>
      </c>
      <c r="L1586" s="4">
        <f>L1585+K1586</f>
        <v/>
      </c>
      <c r="M1586" s="2" t="inlineStr">
        <is>
          <t>05566</t>
        </is>
      </c>
      <c r="N1586" s="2" t="inlineStr">
        <is>
          <t>https://app.redstat.kz/niche/05566?event_date=2026-08-01</t>
        </is>
      </c>
      <c r="O1586" s="2" t="inlineStr">
        <is>
          <t>https://kaspi.kz/shop/c/car%20inspection%20mirrors/</t>
        </is>
      </c>
    </row>
    <row r="1587">
      <c r="A1587" s="2" t="n">
        <v>1586</v>
      </c>
      <c r="B1587" s="2" t="inlineStr">
        <is>
          <t>Заварочные чайники</t>
        </is>
      </c>
      <c r="C1587" s="2" t="inlineStr">
        <is>
          <t>Товары для дома и дачи</t>
        </is>
      </c>
      <c r="D1587" s="2" t="inlineStr">
        <is>
          <t>Товары для дома и дачи → Посуда и принадлежности → Чайники, кофейники и самовары → Заварочные чайники</t>
        </is>
      </c>
      <c r="E1587" s="3" t="n">
        <v>344952</v>
      </c>
      <c r="F1587" s="3" t="n">
        <v>25</v>
      </c>
      <c r="G1587" s="3">
        <f>IFERROR(E1587/F1587,0)</f>
        <v/>
      </c>
      <c r="H1587" s="3" t="n">
        <v>12</v>
      </c>
      <c r="I1587" s="2" t="n">
        <v>7</v>
      </c>
      <c r="J1587" s="3">
        <f>IFERROR(E1587/H1587,0)</f>
        <v/>
      </c>
      <c r="K1587" s="10">
        <f>E1587/'По разделам'!$B$21</f>
        <v/>
      </c>
      <c r="L1587" s="4">
        <f>L1586+K1587</f>
        <v/>
      </c>
      <c r="M1587" s="2" t="inlineStr">
        <is>
          <t>05450</t>
        </is>
      </c>
      <c r="N1587" s="2" t="inlineStr">
        <is>
          <t>https://app.redstat.kz/niche/05450?event_date=2026-08-01</t>
        </is>
      </c>
      <c r="O1587" s="2" t="inlineStr">
        <is>
          <t>https://kaspi.kz/shop/c/teapots/</t>
        </is>
      </c>
    </row>
    <row r="1588">
      <c r="A1588" s="2" t="n">
        <v>1587</v>
      </c>
      <c r="B1588" s="2" t="inlineStr">
        <is>
          <t>Комплектующие к домкратам</t>
        </is>
      </c>
      <c r="C1588" s="2" t="inlineStr">
        <is>
          <t>Автотовары</t>
        </is>
      </c>
      <c r="D1588" s="2" t="inlineStr">
        <is>
          <t>Автотовары → Автоинструменты → Комплектующие к домкратам</t>
        </is>
      </c>
      <c r="E1588" s="3" t="n">
        <v>344019</v>
      </c>
      <c r="F1588" s="3" t="n">
        <v>36</v>
      </c>
      <c r="G1588" s="3">
        <f>IFERROR(E1588/F1588,0)</f>
        <v/>
      </c>
      <c r="H1588" s="3" t="n">
        <v>9</v>
      </c>
      <c r="I1588" s="2" t="n">
        <v>5</v>
      </c>
      <c r="J1588" s="3">
        <f>IFERROR(E1588/H1588,0)</f>
        <v/>
      </c>
      <c r="K1588" s="10">
        <f>E1588/'По разделам'!$B$21</f>
        <v/>
      </c>
      <c r="L1588" s="4">
        <f>L1587+K1588</f>
        <v/>
      </c>
      <c r="M1588" s="2" t="inlineStr">
        <is>
          <t>05251</t>
        </is>
      </c>
      <c r="N1588" s="2" t="inlineStr">
        <is>
          <t>https://app.redstat.kz/niche/05251?event_date=2026-08-01</t>
        </is>
      </c>
      <c r="O1588" s="2" t="inlineStr">
        <is>
          <t>https://kaspi.kz/shop/c/accessories%20for%20jacks/</t>
        </is>
      </c>
    </row>
    <row r="1589">
      <c r="A1589" s="2" t="n">
        <v>1588</v>
      </c>
      <c r="B1589" s="2" t="inlineStr">
        <is>
          <t>Игрушки для грызунов</t>
        </is>
      </c>
      <c r="C1589" s="2" t="inlineStr">
        <is>
          <t>Товары для животных</t>
        </is>
      </c>
      <c r="D1589" s="2" t="inlineStr">
        <is>
          <t>Товары для животных → Для грызунов → Игрушки для грызунов</t>
        </is>
      </c>
      <c r="E1589" s="3" t="n">
        <v>344010</v>
      </c>
      <c r="F1589" s="3" t="n">
        <v>118</v>
      </c>
      <c r="G1589" s="3">
        <f>IFERROR(E1589/F1589,0)</f>
        <v/>
      </c>
      <c r="H1589" s="3" t="n">
        <v>23</v>
      </c>
      <c r="I1589" s="2" t="n">
        <v>7</v>
      </c>
      <c r="J1589" s="3">
        <f>IFERROR(E1589/H1589,0)</f>
        <v/>
      </c>
      <c r="K1589" s="10">
        <f>E1589/'По разделам'!$B$21</f>
        <v/>
      </c>
      <c r="L1589" s="4">
        <f>L1588+K1589</f>
        <v/>
      </c>
      <c r="M1589" s="2" t="inlineStr">
        <is>
          <t>03741</t>
        </is>
      </c>
      <c r="N1589" s="2" t="inlineStr">
        <is>
          <t>https://app.redstat.kz/niche/03741?event_date=2026-08-01</t>
        </is>
      </c>
      <c r="O1589" s="2" t="inlineStr">
        <is>
          <t>https://kaspi.kz/shop/c/rodent%20toys/</t>
        </is>
      </c>
    </row>
    <row r="1590">
      <c r="A1590" s="2" t="n">
        <v>1589</v>
      </c>
      <c r="B1590" s="2" t="inlineStr">
        <is>
          <t>Деки и шкурки для самокатов</t>
        </is>
      </c>
      <c r="C1590" s="2" t="inlineStr">
        <is>
          <t>Спорт, туризм</t>
        </is>
      </c>
      <c r="D1590" s="2" t="inlineStr">
        <is>
          <t>Спорт, туризм → Самокаты, гироскутеры, моноколеса → Деки и шкурки для самокатов</t>
        </is>
      </c>
      <c r="E1590" s="3" t="n">
        <v>343505</v>
      </c>
      <c r="F1590" s="3" t="n">
        <v>45</v>
      </c>
      <c r="G1590" s="3">
        <f>IFERROR(E1590/F1590,0)</f>
        <v/>
      </c>
      <c r="H1590" s="3" t="n">
        <v>26</v>
      </c>
      <c r="I1590" s="2" t="n">
        <v>9</v>
      </c>
      <c r="J1590" s="3">
        <f>IFERROR(E1590/H1590,0)</f>
        <v/>
      </c>
      <c r="K1590" s="10">
        <f>E1590/'По разделам'!$B$21</f>
        <v/>
      </c>
      <c r="L1590" s="4">
        <f>L1589+K1590</f>
        <v/>
      </c>
      <c r="M1590" s="2" t="inlineStr">
        <is>
          <t>04087</t>
        </is>
      </c>
      <c r="N1590" s="2" t="inlineStr">
        <is>
          <t>https://app.redstat.kz/niche/04087?event_date=2026-08-01</t>
        </is>
      </c>
      <c r="O1590" s="2" t="inlineStr">
        <is>
          <t>https://kaspi.kz/shop/c/scooter%20decks%20and%20skins/</t>
        </is>
      </c>
    </row>
    <row r="1591">
      <c r="A1591" s="2" t="n">
        <v>1590</v>
      </c>
      <c r="B1591" s="2" t="inlineStr">
        <is>
          <t>Малярные кисти</t>
        </is>
      </c>
      <c r="C1591" s="2" t="inlineStr">
        <is>
          <t>Строительство, ремонт</t>
        </is>
      </c>
      <c r="D1591" s="2" t="inlineStr">
        <is>
          <t>Строительство, ремонт → Ручные инструменты → Штукатурные и малярные инструменты → Малярные кисти</t>
        </is>
      </c>
      <c r="E1591" s="3" t="n">
        <v>335960</v>
      </c>
      <c r="F1591" s="3" t="n">
        <v>295</v>
      </c>
      <c r="G1591" s="3">
        <f>IFERROR(E1591/F1591,0)</f>
        <v/>
      </c>
      <c r="H1591" s="3" t="n">
        <v>101</v>
      </c>
      <c r="I1591" s="2" t="n">
        <v>32</v>
      </c>
      <c r="J1591" s="3">
        <f>IFERROR(E1591/H1591,0)</f>
        <v/>
      </c>
      <c r="K1591" s="10">
        <f>E1591/'По разделам'!$B$21</f>
        <v/>
      </c>
      <c r="L1591" s="4">
        <f>L1590+K1591</f>
        <v/>
      </c>
      <c r="M1591" s="2" t="inlineStr">
        <is>
          <t>05023</t>
        </is>
      </c>
      <c r="N1591" s="2" t="inlineStr">
        <is>
          <t>https://app.redstat.kz/niche/05023?event_date=2026-08-01</t>
        </is>
      </c>
      <c r="O1591" s="2" t="inlineStr">
        <is>
          <t>https://kaspi.kz/shop/c/construction%20paint%20brushes/</t>
        </is>
      </c>
    </row>
    <row r="1592">
      <c r="A1592" s="2" t="n">
        <v>1591</v>
      </c>
      <c r="B1592" s="2" t="inlineStr">
        <is>
          <t>Обувь для животных</t>
        </is>
      </c>
      <c r="C1592" s="2" t="inlineStr">
        <is>
          <t>Товары для животных</t>
        </is>
      </c>
      <c r="D1592" s="2" t="inlineStr">
        <is>
          <t>Товары для животных → Аксессуары для животных → Обувь для животных</t>
        </is>
      </c>
      <c r="E1592" s="3" t="n">
        <v>331903</v>
      </c>
      <c r="F1592" s="3" t="n">
        <v>59</v>
      </c>
      <c r="G1592" s="3">
        <f>IFERROR(E1592/F1592,0)</f>
        <v/>
      </c>
      <c r="H1592" s="3" t="n">
        <v>38</v>
      </c>
      <c r="I1592" s="2" t="n">
        <v>6</v>
      </c>
      <c r="J1592" s="3">
        <f>IFERROR(E1592/H1592,0)</f>
        <v/>
      </c>
      <c r="K1592" s="10">
        <f>E1592/'По разделам'!$B$21</f>
        <v/>
      </c>
      <c r="L1592" s="4">
        <f>L1591+K1592</f>
        <v/>
      </c>
      <c r="M1592" s="2" t="inlineStr">
        <is>
          <t>04810</t>
        </is>
      </c>
      <c r="N1592" s="2" t="inlineStr">
        <is>
          <t>https://app.redstat.kz/niche/04810?event_date=2026-08-01</t>
        </is>
      </c>
      <c r="O1592" s="2" t="inlineStr">
        <is>
          <t>https://kaspi.kz/shop/c/shoes%20for%20animals/</t>
        </is>
      </c>
    </row>
    <row r="1593">
      <c r="A1593" s="2" t="n">
        <v>1592</v>
      </c>
      <c r="B1593" s="2" t="inlineStr">
        <is>
          <t>Элементы двигателя</t>
        </is>
      </c>
      <c r="C1593" s="2" t="inlineStr">
        <is>
          <t>Автотовары</t>
        </is>
      </c>
      <c r="D1593" s="2" t="inlineStr">
        <is>
          <t>Автотовары → Автозапчасти → Двигатель → Элементы двигателя</t>
        </is>
      </c>
      <c r="E1593" s="3" t="n">
        <v>331380</v>
      </c>
      <c r="F1593" s="3" t="n">
        <v>17</v>
      </c>
      <c r="G1593" s="3">
        <f>IFERROR(E1593/F1593,0)</f>
        <v/>
      </c>
      <c r="H1593" s="3" t="n">
        <v>12</v>
      </c>
      <c r="I1593" s="2" t="n">
        <v>11</v>
      </c>
      <c r="J1593" s="3">
        <f>IFERROR(E1593/H1593,0)</f>
        <v/>
      </c>
      <c r="K1593" s="10">
        <f>E1593/'По разделам'!$B$21</f>
        <v/>
      </c>
      <c r="L1593" s="4">
        <f>L1592+K1593</f>
        <v/>
      </c>
      <c r="M1593" s="2" t="inlineStr">
        <is>
          <t>02214</t>
        </is>
      </c>
      <c r="N1593" s="2" t="inlineStr">
        <is>
          <t>https://app.redstat.kz/niche/02214?event_date=2026-08-01</t>
        </is>
      </c>
      <c r="O1593" s="2" t="inlineStr">
        <is>
          <t>https://kaspi.kz/shop/c/engines%20and%20engine%20parts/</t>
        </is>
      </c>
    </row>
    <row r="1594">
      <c r="A1594" s="2" t="n">
        <v>1593</v>
      </c>
      <c r="B1594" s="2" t="inlineStr">
        <is>
          <t>Строительные ленты, скотч</t>
        </is>
      </c>
      <c r="C1594" s="2" t="inlineStr">
        <is>
          <t>Строительство, ремонт</t>
        </is>
      </c>
      <c r="D1594" s="2" t="inlineStr">
        <is>
          <t>Строительство, ремонт → Строительные материалы → Ленты и сетки строительные → Строительные ленты, скотч</t>
        </is>
      </c>
      <c r="E1594" s="3" t="n">
        <v>330746</v>
      </c>
      <c r="F1594" s="3" t="n">
        <v>287</v>
      </c>
      <c r="G1594" s="3">
        <f>IFERROR(E1594/F1594,0)</f>
        <v/>
      </c>
      <c r="H1594" s="3" t="n">
        <v>76</v>
      </c>
      <c r="I1594" s="2" t="n">
        <v>30</v>
      </c>
      <c r="J1594" s="3">
        <f>IFERROR(E1594/H1594,0)</f>
        <v/>
      </c>
      <c r="K1594" s="10">
        <f>E1594/'По разделам'!$B$21</f>
        <v/>
      </c>
      <c r="L1594" s="4">
        <f>L1593+K1594</f>
        <v/>
      </c>
      <c r="M1594" s="2" t="inlineStr">
        <is>
          <t>03973</t>
        </is>
      </c>
      <c r="N1594" s="2" t="inlineStr">
        <is>
          <t>https://app.redstat.kz/niche/03973?event_date=2026-08-01</t>
        </is>
      </c>
      <c r="O1594" s="2" t="inlineStr">
        <is>
          <t>https://kaspi.kz/shop/c/construction%20tape/</t>
        </is>
      </c>
    </row>
    <row r="1595">
      <c r="A1595" s="2" t="n">
        <v>1594</v>
      </c>
      <c r="B1595" s="2" t="inlineStr">
        <is>
          <t>Конвертеры для объективов</t>
        </is>
      </c>
      <c r="C1595" s="2" t="inlineStr">
        <is>
          <t>ТВ, Аудио, Видео</t>
        </is>
      </c>
      <c r="D1595" s="2" t="inlineStr">
        <is>
          <t>ТВ, Аудио, Видео → Фото- и видеокамеры → Конвертеры для объективов</t>
        </is>
      </c>
      <c r="E1595" s="3" t="n">
        <v>328990</v>
      </c>
      <c r="F1595" s="3" t="n">
        <v>1</v>
      </c>
      <c r="G1595" s="3">
        <f>IFERROR(E1595/F1595,0)</f>
        <v/>
      </c>
      <c r="H1595" s="3" t="n">
        <v>1</v>
      </c>
      <c r="I1595" s="2" t="n">
        <v>1</v>
      </c>
      <c r="J1595" s="3">
        <f>IFERROR(E1595/H1595,0)</f>
        <v/>
      </c>
      <c r="K1595" s="10">
        <f>E1595/'По разделам'!$B$21</f>
        <v/>
      </c>
      <c r="L1595" s="4">
        <f>L1594+K1595</f>
        <v/>
      </c>
      <c r="M1595" s="2" t="inlineStr">
        <is>
          <t>03606</t>
        </is>
      </c>
      <c r="N1595" s="2" t="inlineStr">
        <is>
          <t>https://app.redstat.kz/niche/03606?event_date=2026-08-01</t>
        </is>
      </c>
      <c r="O1595" s="2" t="inlineStr">
        <is>
          <t>https://kaspi.kz/shop/c/lens%20converters/</t>
        </is>
      </c>
    </row>
    <row r="1596">
      <c r="A1596" s="2" t="n">
        <v>1595</v>
      </c>
      <c r="B1596" s="2" t="inlineStr">
        <is>
          <t>Тубусы для чертежей</t>
        </is>
      </c>
      <c r="C1596" s="2" t="inlineStr">
        <is>
          <t>Канцелярские товары</t>
        </is>
      </c>
      <c r="D1596" s="2" t="inlineStr">
        <is>
          <t>Канцелярские товары → Чертежные принадлежности → Тубусы для чертежей</t>
        </is>
      </c>
      <c r="E1596" s="3" t="n">
        <v>327399</v>
      </c>
      <c r="F1596" s="3" t="n">
        <v>77</v>
      </c>
      <c r="G1596" s="3">
        <f>IFERROR(E1596/F1596,0)</f>
        <v/>
      </c>
      <c r="H1596" s="3" t="n">
        <v>21</v>
      </c>
      <c r="I1596" s="2" t="n">
        <v>6</v>
      </c>
      <c r="J1596" s="3">
        <f>IFERROR(E1596/H1596,0)</f>
        <v/>
      </c>
      <c r="K1596" s="10">
        <f>E1596/'По разделам'!$B$21</f>
        <v/>
      </c>
      <c r="L1596" s="4">
        <f>L1595+K1596</f>
        <v/>
      </c>
      <c r="M1596" s="2" t="inlineStr">
        <is>
          <t>04312</t>
        </is>
      </c>
      <c r="N1596" s="2" t="inlineStr">
        <is>
          <t>https://app.redstat.kz/niche/04312?event_date=2026-08-01</t>
        </is>
      </c>
      <c r="O1596" s="2" t="inlineStr">
        <is>
          <t>https://kaspi.kz/shop/c/drawing%20tubes/</t>
        </is>
      </c>
    </row>
    <row r="1597">
      <c r="A1597" s="2" t="n">
        <v>1596</v>
      </c>
      <c r="B1597" s="2" t="inlineStr">
        <is>
          <t>Парктроники</t>
        </is>
      </c>
      <c r="C1597" s="2" t="inlineStr">
        <is>
          <t>Автотовары</t>
        </is>
      </c>
      <c r="D1597" s="2" t="inlineStr">
        <is>
          <t>Автотовары → Автоэлектроника → Парктроники</t>
        </is>
      </c>
      <c r="E1597" s="3" t="n">
        <v>323902</v>
      </c>
      <c r="F1597" s="3" t="n">
        <v>52</v>
      </c>
      <c r="G1597" s="3">
        <f>IFERROR(E1597/F1597,0)</f>
        <v/>
      </c>
      <c r="H1597" s="3" t="n">
        <v>18</v>
      </c>
      <c r="I1597" s="2" t="n">
        <v>8</v>
      </c>
      <c r="J1597" s="3">
        <f>IFERROR(E1597/H1597,0)</f>
        <v/>
      </c>
      <c r="K1597" s="10">
        <f>E1597/'По разделам'!$B$21</f>
        <v/>
      </c>
      <c r="L1597" s="4">
        <f>L1596+K1597</f>
        <v/>
      </c>
      <c r="M1597" s="2" t="inlineStr">
        <is>
          <t>00594</t>
        </is>
      </c>
      <c r="N1597" s="2" t="inlineStr">
        <is>
          <t>https://app.redstat.kz/niche/00594?event_date=2026-08-01</t>
        </is>
      </c>
      <c r="O1597" s="2" t="inlineStr">
        <is>
          <t>https://kaspi.kz/shop/c/parking%20sensors/</t>
        </is>
      </c>
    </row>
    <row r="1598">
      <c r="A1598" s="2" t="n">
        <v>1597</v>
      </c>
      <c r="B1598" s="2" t="inlineStr">
        <is>
          <t>Корзины для бумаг</t>
        </is>
      </c>
      <c r="C1598" s="2" t="inlineStr">
        <is>
          <t>Канцелярские товары</t>
        </is>
      </c>
      <c r="D1598" s="2" t="inlineStr">
        <is>
          <t>Канцелярские товары → Офисные принадлежности → Корзины для бумаг</t>
        </is>
      </c>
      <c r="E1598" s="3" t="n">
        <v>323065</v>
      </c>
      <c r="F1598" s="3" t="n">
        <v>129</v>
      </c>
      <c r="G1598" s="3">
        <f>IFERROR(E1598/F1598,0)</f>
        <v/>
      </c>
      <c r="H1598" s="3" t="n">
        <v>23</v>
      </c>
      <c r="I1598" s="2" t="n">
        <v>8</v>
      </c>
      <c r="J1598" s="3">
        <f>IFERROR(E1598/H1598,0)</f>
        <v/>
      </c>
      <c r="K1598" s="10">
        <f>E1598/'По разделам'!$B$21</f>
        <v/>
      </c>
      <c r="L1598" s="4">
        <f>L1597+K1598</f>
        <v/>
      </c>
      <c r="M1598" s="2" t="inlineStr">
        <is>
          <t>04268</t>
        </is>
      </c>
      <c r="N1598" s="2" t="inlineStr">
        <is>
          <t>https://app.redstat.kz/niche/04268?event_date=2026-08-01</t>
        </is>
      </c>
      <c r="O1598" s="2" t="inlineStr">
        <is>
          <t>https://kaspi.kz/shop/c/waste%20baskets/</t>
        </is>
      </c>
    </row>
    <row r="1599">
      <c r="A1599" s="2" t="n">
        <v>1598</v>
      </c>
      <c r="B1599" s="2" t="inlineStr">
        <is>
          <t>Тарелки</t>
        </is>
      </c>
      <c r="C1599" s="2" t="inlineStr">
        <is>
          <t>Товары для дома и дачи</t>
        </is>
      </c>
      <c r="D1599" s="2" t="inlineStr">
        <is>
          <t>Товары для дома и дачи → Посуда и принадлежности → Столовая посуда → Тарелки</t>
        </is>
      </c>
      <c r="E1599" s="3" t="n">
        <v>322612</v>
      </c>
      <c r="F1599" s="3" t="n">
        <v>42</v>
      </c>
      <c r="G1599" s="3">
        <f>IFERROR(E1599/F1599,0)</f>
        <v/>
      </c>
      <c r="H1599" s="3" t="n">
        <v>27</v>
      </c>
      <c r="I1599" s="2" t="n">
        <v>9</v>
      </c>
      <c r="J1599" s="3">
        <f>IFERROR(E1599/H1599,0)</f>
        <v/>
      </c>
      <c r="K1599" s="10">
        <f>E1599/'По разделам'!$B$21</f>
        <v/>
      </c>
      <c r="L1599" s="4">
        <f>L1598+K1599</f>
        <v/>
      </c>
      <c r="M1599" s="2" t="inlineStr">
        <is>
          <t>03328</t>
        </is>
      </c>
      <c r="N1599" s="2" t="inlineStr">
        <is>
          <t>https://app.redstat.kz/niche/03328?event_date=2026-08-01</t>
        </is>
      </c>
      <c r="O1599" s="2" t="inlineStr">
        <is>
          <t>https://kaspi.kz/shop/c/plates/</t>
        </is>
      </c>
    </row>
    <row r="1600">
      <c r="A1600" s="2" t="n">
        <v>1599</v>
      </c>
      <c r="B1600" s="2" t="inlineStr">
        <is>
          <t>Ветеринарное оборудование</t>
        </is>
      </c>
      <c r="C1600" s="2" t="inlineStr">
        <is>
          <t>Товары для животных</t>
        </is>
      </c>
      <c r="D1600" s="2" t="inlineStr">
        <is>
          <t>Товары для животных → Ветаптека → Ветеринарное оборудование</t>
        </is>
      </c>
      <c r="E1600" s="3" t="n">
        <v>318995</v>
      </c>
      <c r="F1600" s="3" t="n">
        <v>1</v>
      </c>
      <c r="G1600" s="3">
        <f>IFERROR(E1600/F1600,0)</f>
        <v/>
      </c>
      <c r="H1600" s="3" t="n">
        <v>1</v>
      </c>
      <c r="I1600" s="2" t="n">
        <v>1</v>
      </c>
      <c r="J1600" s="3">
        <f>IFERROR(E1600/H1600,0)</f>
        <v/>
      </c>
      <c r="K1600" s="10">
        <f>E1600/'По разделам'!$B$21</f>
        <v/>
      </c>
      <c r="L1600" s="4">
        <f>L1599+K1600</f>
        <v/>
      </c>
      <c r="M1600" s="2" t="inlineStr">
        <is>
          <t>07215</t>
        </is>
      </c>
      <c r="N1600" s="2" t="inlineStr">
        <is>
          <t>https://app.redstat.kz/niche/07215?event_date=2026-08-01</t>
        </is>
      </c>
      <c r="O1600" s="2" t="inlineStr">
        <is>
          <t>https://kaspi.kz/shop/c/veterinary%20equipment/</t>
        </is>
      </c>
    </row>
    <row r="1601">
      <c r="A1601" s="2" t="n">
        <v>1600</v>
      </c>
      <c r="B1601" s="2" t="inlineStr">
        <is>
          <t>Домино</t>
        </is>
      </c>
      <c r="C1601" s="2" t="inlineStr">
        <is>
          <t>Досуг, книги</t>
        </is>
      </c>
      <c r="D1601" s="2" t="inlineStr">
        <is>
          <t>Досуг, книги → Игры для компаний → Домино</t>
        </is>
      </c>
      <c r="E1601" s="3" t="n">
        <v>318370</v>
      </c>
      <c r="F1601" s="3" t="n">
        <v>168</v>
      </c>
      <c r="G1601" s="3">
        <f>IFERROR(E1601/F1601,0)</f>
        <v/>
      </c>
      <c r="H1601" s="3" t="n">
        <v>30</v>
      </c>
      <c r="I1601" s="2" t="n">
        <v>17</v>
      </c>
      <c r="J1601" s="3">
        <f>IFERROR(E1601/H1601,0)</f>
        <v/>
      </c>
      <c r="K1601" s="10">
        <f>E1601/'По разделам'!$B$21</f>
        <v/>
      </c>
      <c r="L1601" s="4">
        <f>L1600+K1601</f>
        <v/>
      </c>
      <c r="M1601" s="2" t="inlineStr">
        <is>
          <t>02225</t>
        </is>
      </c>
      <c r="N1601" s="2" t="inlineStr">
        <is>
          <t>https://app.redstat.kz/niche/02225?event_date=2026-08-01</t>
        </is>
      </c>
      <c r="O1601" s="2" t="inlineStr">
        <is>
          <t>https://kaspi.kz/shop/c/dominoes/</t>
        </is>
      </c>
    </row>
    <row r="1602">
      <c r="A1602" s="2" t="n">
        <v>1601</v>
      </c>
      <c r="B1602" s="2" t="inlineStr">
        <is>
          <t>Попоны для лошадей</t>
        </is>
      </c>
      <c r="C1602" s="2" t="inlineStr">
        <is>
          <t>Спорт, туризм</t>
        </is>
      </c>
      <c r="D1602" s="2" t="inlineStr">
        <is>
          <t>Спорт, туризм → Конный спорт → Попоны для лошадей</t>
        </is>
      </c>
      <c r="E1602" s="3" t="n">
        <v>317786</v>
      </c>
      <c r="F1602" s="3" t="n">
        <v>17</v>
      </c>
      <c r="G1602" s="3">
        <f>IFERROR(E1602/F1602,0)</f>
        <v/>
      </c>
      <c r="H1602" s="3" t="n">
        <v>14</v>
      </c>
      <c r="I1602" s="2" t="n">
        <v>2</v>
      </c>
      <c r="J1602" s="3">
        <f>IFERROR(E1602/H1602,0)</f>
        <v/>
      </c>
      <c r="K1602" s="10">
        <f>E1602/'По разделам'!$B$21</f>
        <v/>
      </c>
      <c r="L1602" s="4">
        <f>L1601+K1602</f>
        <v/>
      </c>
      <c r="M1602" s="2" t="inlineStr">
        <is>
          <t>06908</t>
        </is>
      </c>
      <c r="N1602" s="2" t="inlineStr">
        <is>
          <t>https://app.redstat.kz/niche/06908?event_date=2026-08-01</t>
        </is>
      </c>
      <c r="O1602" s="2" t="inlineStr">
        <is>
          <t>https://kaspi.kz/shop/c/horse%20blankets/</t>
        </is>
      </c>
    </row>
    <row r="1603">
      <c r="A1603" s="2" t="n">
        <v>1602</v>
      </c>
      <c r="B1603" s="2" t="inlineStr">
        <is>
          <t>Наборы для фокусов</t>
        </is>
      </c>
      <c r="C1603" s="2" t="inlineStr">
        <is>
          <t>Досуг, книги</t>
        </is>
      </c>
      <c r="D1603" s="2" t="inlineStr">
        <is>
          <t>Досуг, книги → Игры для компаний → Наборы для фокусов</t>
        </is>
      </c>
      <c r="E1603" s="3" t="n">
        <v>316764</v>
      </c>
      <c r="F1603" s="3" t="n">
        <v>104</v>
      </c>
      <c r="G1603" s="3">
        <f>IFERROR(E1603/F1603,0)</f>
        <v/>
      </c>
      <c r="H1603" s="3" t="n">
        <v>37</v>
      </c>
      <c r="I1603" s="2" t="n">
        <v>8</v>
      </c>
      <c r="J1603" s="3">
        <f>IFERROR(E1603/H1603,0)</f>
        <v/>
      </c>
      <c r="K1603" s="10">
        <f>E1603/'По разделам'!$B$21</f>
        <v/>
      </c>
      <c r="L1603" s="4">
        <f>L1602+K1603</f>
        <v/>
      </c>
      <c r="M1603" s="2" t="inlineStr">
        <is>
          <t>02375</t>
        </is>
      </c>
      <c r="N1603" s="2" t="inlineStr">
        <is>
          <t>https://app.redstat.kz/niche/02375?event_date=2026-08-01</t>
        </is>
      </c>
      <c r="O1603" s="2" t="inlineStr">
        <is>
          <t>https://kaspi.kz/shop/c/magic%20kits/</t>
        </is>
      </c>
    </row>
    <row r="1604">
      <c r="A1604" s="2" t="n">
        <v>1603</v>
      </c>
      <c r="B1604" s="2" t="inlineStr">
        <is>
          <t>Домашняя обувь для малышей</t>
        </is>
      </c>
      <c r="C1604" s="2" t="inlineStr">
        <is>
          <t>Обувь</t>
        </is>
      </c>
      <c r="D1604" s="2" t="inlineStr">
        <is>
          <t>Обувь → Обувь для малышей → Домашняя обувь для малышей</t>
        </is>
      </c>
      <c r="E1604" s="3" t="n">
        <v>316187</v>
      </c>
      <c r="F1604" s="3" t="n">
        <v>140</v>
      </c>
      <c r="G1604" s="3">
        <f>IFERROR(E1604/F1604,0)</f>
        <v/>
      </c>
      <c r="H1604" s="3" t="n">
        <v>47</v>
      </c>
      <c r="I1604" s="2" t="n">
        <v>9</v>
      </c>
      <c r="J1604" s="3">
        <f>IFERROR(E1604/H1604,0)</f>
        <v/>
      </c>
      <c r="K1604" s="10">
        <f>E1604/'По разделам'!$B$21</f>
        <v/>
      </c>
      <c r="L1604" s="4">
        <f>L1603+K1604</f>
        <v/>
      </c>
      <c r="M1604" s="2" t="inlineStr">
        <is>
          <t>07248</t>
        </is>
      </c>
      <c r="N1604" s="2" t="inlineStr">
        <is>
          <t>https://app.redstat.kz/niche/07248?event_date=2026-08-01</t>
        </is>
      </c>
      <c r="O1604" s="2" t="inlineStr">
        <is>
          <t>https://kaspi.kz/shop/c/fashion%20slippers%20for%20babies/</t>
        </is>
      </c>
    </row>
    <row r="1605">
      <c r="A1605" s="2" t="n">
        <v>1604</v>
      </c>
      <c r="B1605" s="2" t="inlineStr">
        <is>
          <t>Чехлы и ремешки для очков и масок</t>
        </is>
      </c>
      <c r="C1605" s="2" t="inlineStr">
        <is>
          <t>Спорт, туризм</t>
        </is>
      </c>
      <c r="D1605" s="2" t="inlineStr">
        <is>
          <t>Спорт, туризм → Водный спорт → Чехлы и ремешки для очков и масок</t>
        </is>
      </c>
      <c r="E1605" s="3" t="n">
        <v>312039</v>
      </c>
      <c r="F1605" s="3" t="n">
        <v>80</v>
      </c>
      <c r="G1605" s="3">
        <f>IFERROR(E1605/F1605,0)</f>
        <v/>
      </c>
      <c r="H1605" s="3" t="n">
        <v>22</v>
      </c>
      <c r="I1605" s="2" t="n">
        <v>7</v>
      </c>
      <c r="J1605" s="3">
        <f>IFERROR(E1605/H1605,0)</f>
        <v/>
      </c>
      <c r="K1605" s="10">
        <f>E1605/'По разделам'!$B$21</f>
        <v/>
      </c>
      <c r="L1605" s="4">
        <f>L1604+K1605</f>
        <v/>
      </c>
      <c r="M1605" s="2" t="inlineStr">
        <is>
          <t>02531</t>
        </is>
      </c>
      <c r="N1605" s="2" t="inlineStr">
        <is>
          <t>https://app.redstat.kz/niche/02531?event_date=2026-08-01</t>
        </is>
      </c>
      <c r="O1605" s="2" t="inlineStr">
        <is>
          <t>https://kaspi.kz/shop/c/diving%20masks%20and%20goggles%20cases/</t>
        </is>
      </c>
    </row>
    <row r="1606">
      <c r="A1606" s="2" t="n">
        <v>1605</v>
      </c>
      <c r="B1606" s="2" t="inlineStr">
        <is>
          <t>Аксессуары для моек высокого давления</t>
        </is>
      </c>
      <c r="C1606" s="2" t="inlineStr">
        <is>
          <t>Товары для дома и дачи</t>
        </is>
      </c>
      <c r="D1606" s="2" t="inlineStr">
        <is>
          <t>Товары для дома и дачи → Дача, сад и огород → Садовая техника → Комплектующие и аксессуары для садовой техники → Аксессуары для моек высокого давления</t>
        </is>
      </c>
      <c r="E1606" s="3" t="n">
        <v>311879</v>
      </c>
      <c r="F1606" s="3" t="n">
        <v>13</v>
      </c>
      <c r="G1606" s="3">
        <f>IFERROR(E1606/F1606,0)</f>
        <v/>
      </c>
      <c r="H1606" s="3" t="n">
        <v>7</v>
      </c>
      <c r="I1606" s="2" t="n">
        <v>4</v>
      </c>
      <c r="J1606" s="3">
        <f>IFERROR(E1606/H1606,0)</f>
        <v/>
      </c>
      <c r="K1606" s="10">
        <f>E1606/'По разделам'!$B$21</f>
        <v/>
      </c>
      <c r="L1606" s="4">
        <f>L1605+K1606</f>
        <v/>
      </c>
      <c r="M1606" s="2" t="inlineStr">
        <is>
          <t>02849</t>
        </is>
      </c>
      <c r="N1606" s="2" t="inlineStr">
        <is>
          <t>https://app.redstat.kz/niche/02849?event_date=2026-08-01</t>
        </is>
      </c>
      <c r="O1606" s="2" t="inlineStr">
        <is>
          <t>https://kaspi.kz/shop/c/pressure%20washers%20accessories/</t>
        </is>
      </c>
    </row>
    <row r="1607">
      <c r="A1607" s="2" t="n">
        <v>1606</v>
      </c>
      <c r="B1607" s="2" t="inlineStr">
        <is>
          <t>Увеличительные экраны для смартфонов</t>
        </is>
      </c>
      <c r="C1607" s="2" t="inlineStr">
        <is>
          <t>Телефоны и гаджеты</t>
        </is>
      </c>
      <c r="D1607" s="2" t="inlineStr">
        <is>
          <t>Телефоны и гаджеты → Аксессуары для телефонов → Увеличительные экраны для смартфонов</t>
        </is>
      </c>
      <c r="E1607" s="3" t="n">
        <v>309042</v>
      </c>
      <c r="F1607" s="3" t="n">
        <v>89</v>
      </c>
      <c r="G1607" s="3">
        <f>IFERROR(E1607/F1607,0)</f>
        <v/>
      </c>
      <c r="H1607" s="3" t="n">
        <v>16</v>
      </c>
      <c r="I1607" s="2" t="n">
        <v>4</v>
      </c>
      <c r="J1607" s="3">
        <f>IFERROR(E1607/H1607,0)</f>
        <v/>
      </c>
      <c r="K1607" s="10">
        <f>E1607/'По разделам'!$B$21</f>
        <v/>
      </c>
      <c r="L1607" s="4">
        <f>L1606+K1607</f>
        <v/>
      </c>
      <c r="M1607" s="2" t="inlineStr">
        <is>
          <t>03901</t>
        </is>
      </c>
      <c r="N1607" s="2" t="inlineStr">
        <is>
          <t>https://app.redstat.kz/niche/03901?event_date=2026-08-01</t>
        </is>
      </c>
      <c r="O1607" s="2" t="inlineStr">
        <is>
          <t>https://kaspi.kz/shop/c/magnifying%20screens%20for%20smartphones/</t>
        </is>
      </c>
    </row>
    <row r="1608">
      <c r="A1608" s="2" t="n">
        <v>1607</v>
      </c>
      <c r="B1608" s="2" t="inlineStr">
        <is>
          <t>Аксессуары для торговых автоматов</t>
        </is>
      </c>
      <c r="C1608" s="2" t="inlineStr">
        <is>
          <t>Бытовая техника</t>
        </is>
      </c>
      <c r="D1608" s="2" t="inlineStr">
        <is>
          <t>Бытовая техника → Торговые автоматы → Аксессуары для торговых автоматов</t>
        </is>
      </c>
      <c r="E1608" s="3" t="n">
        <v>306870</v>
      </c>
      <c r="F1608" s="3" t="n">
        <v>61</v>
      </c>
      <c r="G1608" s="3">
        <f>IFERROR(E1608/F1608,0)</f>
        <v/>
      </c>
      <c r="H1608" s="3" t="n">
        <v>2</v>
      </c>
      <c r="I1608" s="2" t="n">
        <v>1</v>
      </c>
      <c r="J1608" s="3">
        <f>IFERROR(E1608/H1608,0)</f>
        <v/>
      </c>
      <c r="K1608" s="10">
        <f>E1608/'По разделам'!$B$21</f>
        <v/>
      </c>
      <c r="L1608" s="4">
        <f>L1607+K1608</f>
        <v/>
      </c>
      <c r="M1608" s="2" t="inlineStr">
        <is>
          <t>09157</t>
        </is>
      </c>
      <c r="N1608" s="2" t="inlineStr">
        <is>
          <t>https://app.redstat.kz/niche/09157?event_date=2026-08-01</t>
        </is>
      </c>
      <c r="O1608" s="2" t="inlineStr">
        <is>
          <t>https://kaspi.kz/shop/c/accessories%20for%20vending%20machines/</t>
        </is>
      </c>
    </row>
    <row r="1609">
      <c r="A1609" s="2" t="n">
        <v>1608</v>
      </c>
      <c r="B1609" s="2" t="inlineStr">
        <is>
          <t>Вакуумные сепараторы</t>
        </is>
      </c>
      <c r="C1609" s="2" t="inlineStr">
        <is>
          <t>Телефоны и гаджеты</t>
        </is>
      </c>
      <c r="D1609" s="2" t="inlineStr">
        <is>
          <t>Телефоны и гаджеты → Аксессуары для телефонов → Вакуумные сепараторы</t>
        </is>
      </c>
      <c r="E1609" s="3" t="n">
        <v>305503</v>
      </c>
      <c r="F1609" s="3" t="n">
        <v>9</v>
      </c>
      <c r="G1609" s="3">
        <f>IFERROR(E1609/F1609,0)</f>
        <v/>
      </c>
      <c r="H1609" s="3" t="n">
        <v>5</v>
      </c>
      <c r="I1609" s="2" t="n">
        <v>3</v>
      </c>
      <c r="J1609" s="3">
        <f>IFERROR(E1609/H1609,0)</f>
        <v/>
      </c>
      <c r="K1609" s="10">
        <f>E1609/'По разделам'!$B$21</f>
        <v/>
      </c>
      <c r="L1609" s="4">
        <f>L1608+K1609</f>
        <v/>
      </c>
      <c r="M1609" s="2" t="inlineStr">
        <is>
          <t>06267</t>
        </is>
      </c>
      <c r="N1609" s="2" t="inlineStr">
        <is>
          <t>https://app.redstat.kz/niche/06267?event_date=2026-08-01</t>
        </is>
      </c>
      <c r="O1609" s="2" t="inlineStr">
        <is>
          <t>https://kaspi.kz/shop/c/vacuum%20separators/</t>
        </is>
      </c>
    </row>
    <row r="1610">
      <c r="A1610" s="2" t="n">
        <v>1609</v>
      </c>
      <c r="B1610" s="2" t="inlineStr">
        <is>
          <t>Очистители для салона автомобиля</t>
        </is>
      </c>
      <c r="C1610" s="2" t="inlineStr">
        <is>
          <t>Автотовары</t>
        </is>
      </c>
      <c r="D1610" s="2" t="inlineStr">
        <is>
          <t>Автотовары → Автохимия и автокосметика → Уход за салоном автомобиля → Очистители для салона автомобиля</t>
        </is>
      </c>
      <c r="E1610" s="3" t="n">
        <v>304376</v>
      </c>
      <c r="F1610" s="3" t="n">
        <v>176</v>
      </c>
      <c r="G1610" s="3">
        <f>IFERROR(E1610/F1610,0)</f>
        <v/>
      </c>
      <c r="H1610" s="3" t="n">
        <v>59</v>
      </c>
      <c r="I1610" s="2" t="n">
        <v>31</v>
      </c>
      <c r="J1610" s="3">
        <f>IFERROR(E1610/H1610,0)</f>
        <v/>
      </c>
      <c r="K1610" s="10">
        <f>E1610/'По разделам'!$B$21</f>
        <v/>
      </c>
      <c r="L1610" s="4">
        <f>L1609+K1610</f>
        <v/>
      </c>
      <c r="M1610" s="2" t="inlineStr">
        <is>
          <t>02074</t>
        </is>
      </c>
      <c r="N1610" s="2" t="inlineStr">
        <is>
          <t>https://app.redstat.kz/niche/02074?event_date=2026-08-01</t>
        </is>
      </c>
      <c r="O1610" s="2" t="inlineStr">
        <is>
          <t>https://kaspi.kz/shop/c/car%20interior%20cleaners/</t>
        </is>
      </c>
    </row>
    <row r="1611">
      <c r="A1611" s="2" t="n">
        <v>1610</v>
      </c>
      <c r="B1611" s="2" t="inlineStr">
        <is>
          <t>Емкости для сбора масла</t>
        </is>
      </c>
      <c r="C1611" s="2" t="inlineStr">
        <is>
          <t>Автотовары</t>
        </is>
      </c>
      <c r="D1611" s="2" t="inlineStr">
        <is>
          <t>Автотовары → Автосервисное оборудование → Емкости для сбора масла</t>
        </is>
      </c>
      <c r="E1611" s="3" t="n">
        <v>303045</v>
      </c>
      <c r="F1611" s="3" t="n">
        <v>24</v>
      </c>
      <c r="G1611" s="3">
        <f>IFERROR(E1611/F1611,0)</f>
        <v/>
      </c>
      <c r="H1611" s="3" t="n">
        <v>10</v>
      </c>
      <c r="I1611" s="2" t="n">
        <v>5</v>
      </c>
      <c r="J1611" s="3">
        <f>IFERROR(E1611/H1611,0)</f>
        <v/>
      </c>
      <c r="K1611" s="10">
        <f>E1611/'По разделам'!$B$21</f>
        <v/>
      </c>
      <c r="L1611" s="4">
        <f>L1610+K1611</f>
        <v/>
      </c>
      <c r="M1611" s="2" t="inlineStr">
        <is>
          <t>05578</t>
        </is>
      </c>
      <c r="N1611" s="2" t="inlineStr">
        <is>
          <t>https://app.redstat.kz/niche/05578?event_date=2026-08-01</t>
        </is>
      </c>
      <c r="O1611" s="2" t="inlineStr">
        <is>
          <t>https://kaspi.kz/shop/c/oil%20drain%20containers/</t>
        </is>
      </c>
    </row>
    <row r="1612">
      <c r="A1612" s="2" t="n">
        <v>1611</v>
      </c>
      <c r="B1612" s="2" t="inlineStr">
        <is>
          <t>Проволока строительная</t>
        </is>
      </c>
      <c r="C1612" s="2" t="inlineStr">
        <is>
          <t>Строительство, ремонт</t>
        </is>
      </c>
      <c r="D1612" s="2" t="inlineStr">
        <is>
          <t>Строительство, ремонт → Строительный крепеж → Проволока строительная</t>
        </is>
      </c>
      <c r="E1612" s="3" t="n">
        <v>302487</v>
      </c>
      <c r="F1612" s="3" t="n">
        <v>114</v>
      </c>
      <c r="G1612" s="3">
        <f>IFERROR(E1612/F1612,0)</f>
        <v/>
      </c>
      <c r="H1612" s="3" t="n">
        <v>12</v>
      </c>
      <c r="I1612" s="2" t="n">
        <v>2</v>
      </c>
      <c r="J1612" s="3">
        <f>IFERROR(E1612/H1612,0)</f>
        <v/>
      </c>
      <c r="K1612" s="10">
        <f>E1612/'По разделам'!$B$21</f>
        <v/>
      </c>
      <c r="L1612" s="4">
        <f>L1611+K1612</f>
        <v/>
      </c>
      <c r="M1612" s="2" t="inlineStr">
        <is>
          <t>07199</t>
        </is>
      </c>
      <c r="N1612" s="2" t="inlineStr">
        <is>
          <t>https://app.redstat.kz/niche/07199?event_date=2026-08-01</t>
        </is>
      </c>
      <c r="O1612" s="2" t="inlineStr">
        <is>
          <t>https://kaspi.kz/shop/c/construction%20wire/</t>
        </is>
      </c>
    </row>
    <row r="1613">
      <c r="A1613" s="2" t="n">
        <v>1612</v>
      </c>
      <c r="B1613" s="2" t="inlineStr">
        <is>
          <t>Казаны и жаровни</t>
        </is>
      </c>
      <c r="C1613" s="2" t="inlineStr">
        <is>
          <t>Товары для дома и дачи</t>
        </is>
      </c>
      <c r="D1613" s="2" t="inlineStr">
        <is>
          <t>Товары для дома и дачи → Посуда и принадлежности → Посуда для приготовления → Казаны и жаровни</t>
        </is>
      </c>
      <c r="E1613" s="3" t="n">
        <v>296789</v>
      </c>
      <c r="F1613" s="3" t="n">
        <v>11</v>
      </c>
      <c r="G1613" s="3">
        <f>IFERROR(E1613/F1613,0)</f>
        <v/>
      </c>
      <c r="H1613" s="3" t="n">
        <v>9</v>
      </c>
      <c r="I1613" s="2" t="n">
        <v>5</v>
      </c>
      <c r="J1613" s="3">
        <f>IFERROR(E1613/H1613,0)</f>
        <v/>
      </c>
      <c r="K1613" s="10">
        <f>E1613/'По разделам'!$B$21</f>
        <v/>
      </c>
      <c r="L1613" s="4">
        <f>L1612+K1613</f>
        <v/>
      </c>
      <c r="M1613" s="2" t="inlineStr">
        <is>
          <t>03322</t>
        </is>
      </c>
      <c r="N1613" s="2" t="inlineStr">
        <is>
          <t>https://app.redstat.kz/niche/03322?event_date=2026-08-01</t>
        </is>
      </c>
      <c r="O1613" s="2" t="inlineStr">
        <is>
          <t>https://kaspi.kz/shop/c/cauldrons/</t>
        </is>
      </c>
    </row>
    <row r="1614">
      <c r="A1614" s="2" t="n">
        <v>1613</v>
      </c>
      <c r="B1614" s="2" t="inlineStr">
        <is>
          <t>Штемпельные подушки</t>
        </is>
      </c>
      <c r="C1614" s="2" t="inlineStr">
        <is>
          <t>Канцелярские товары</t>
        </is>
      </c>
      <c r="D1614" s="2" t="inlineStr">
        <is>
          <t>Канцелярские товары → Штемпельные принадлежности → Штемпельные подушки</t>
        </is>
      </c>
      <c r="E1614" s="3" t="n">
        <v>295794</v>
      </c>
      <c r="F1614" s="3" t="n">
        <v>74</v>
      </c>
      <c r="G1614" s="3">
        <f>IFERROR(E1614/F1614,0)</f>
        <v/>
      </c>
      <c r="H1614" s="3" t="n">
        <v>19</v>
      </c>
      <c r="I1614" s="2" t="n">
        <v>7</v>
      </c>
      <c r="J1614" s="3">
        <f>IFERROR(E1614/H1614,0)</f>
        <v/>
      </c>
      <c r="K1614" s="10">
        <f>E1614/'По разделам'!$B$21</f>
        <v/>
      </c>
      <c r="L1614" s="4">
        <f>L1613+K1614</f>
        <v/>
      </c>
      <c r="M1614" s="2" t="inlineStr">
        <is>
          <t>02524</t>
        </is>
      </c>
      <c r="N1614" s="2" t="inlineStr">
        <is>
          <t>https://app.redstat.kz/niche/02524?event_date=2026-08-01</t>
        </is>
      </c>
      <c r="O1614" s="2" t="inlineStr">
        <is>
          <t>https://kaspi.kz/shop/c/ink%20pads/</t>
        </is>
      </c>
    </row>
    <row r="1615">
      <c r="A1615" s="2" t="n">
        <v>1614</v>
      </c>
      <c r="B1615" s="2" t="inlineStr">
        <is>
          <t>Булавки офисные</t>
        </is>
      </c>
      <c r="C1615" s="2" t="inlineStr">
        <is>
          <t>Канцелярские товары</t>
        </is>
      </c>
      <c r="D1615" s="2" t="inlineStr">
        <is>
          <t>Канцелярские товары → Мелкоофисные принадлежности → Булавки офисные</t>
        </is>
      </c>
      <c r="E1615" s="3" t="n">
        <v>293418</v>
      </c>
      <c r="F1615" s="3" t="n">
        <v>624</v>
      </c>
      <c r="G1615" s="3">
        <f>IFERROR(E1615/F1615,0)</f>
        <v/>
      </c>
      <c r="H1615" s="3" t="n">
        <v>34</v>
      </c>
      <c r="I1615" s="2" t="n">
        <v>6</v>
      </c>
      <c r="J1615" s="3">
        <f>IFERROR(E1615/H1615,0)</f>
        <v/>
      </c>
      <c r="K1615" s="10">
        <f>E1615/'По разделам'!$B$21</f>
        <v/>
      </c>
      <c r="L1615" s="4">
        <f>L1614+K1615</f>
        <v/>
      </c>
      <c r="M1615" s="2" t="inlineStr">
        <is>
          <t>02284</t>
        </is>
      </c>
      <c r="N1615" s="2" t="inlineStr">
        <is>
          <t>https://app.redstat.kz/niche/02284?event_date=2026-08-01</t>
        </is>
      </c>
      <c r="O1615" s="2" t="inlineStr">
        <is>
          <t>https://kaspi.kz/shop/c/stationery%20pins/</t>
        </is>
      </c>
    </row>
    <row r="1616">
      <c r="A1616" s="2" t="n">
        <v>1615</v>
      </c>
      <c r="B1616" s="2" t="inlineStr">
        <is>
          <t>Ледорубы для альпинизма</t>
        </is>
      </c>
      <c r="C1616" s="2" t="inlineStr">
        <is>
          <t>Спорт, туризм</t>
        </is>
      </c>
      <c r="D1616" s="2" t="inlineStr">
        <is>
          <t>Спорт, туризм → Альпинизм и скалолазание → Ледорубы для альпинизма</t>
        </is>
      </c>
      <c r="E1616" s="3" t="n">
        <v>287800</v>
      </c>
      <c r="F1616" s="3" t="n">
        <v>2</v>
      </c>
      <c r="G1616" s="3">
        <f>IFERROR(E1616/F1616,0)</f>
        <v/>
      </c>
      <c r="H1616" s="3" t="n">
        <v>2</v>
      </c>
      <c r="I1616" s="2" t="n">
        <v>1</v>
      </c>
      <c r="J1616" s="3">
        <f>IFERROR(E1616/H1616,0)</f>
        <v/>
      </c>
      <c r="K1616" s="10">
        <f>E1616/'По разделам'!$B$21</f>
        <v/>
      </c>
      <c r="L1616" s="4">
        <f>L1615+K1616</f>
        <v/>
      </c>
      <c r="M1616" s="2" t="inlineStr">
        <is>
          <t>06209</t>
        </is>
      </c>
      <c r="N1616" s="2" t="inlineStr">
        <is>
          <t>https://app.redstat.kz/niche/06209?event_date=2026-08-01</t>
        </is>
      </c>
      <c r="O1616" s="2" t="inlineStr">
        <is>
          <t>https://kaspi.kz/shop/c/ice%20axes%20for%20climbing/</t>
        </is>
      </c>
    </row>
    <row r="1617">
      <c r="A1617" s="2" t="n">
        <v>1616</v>
      </c>
      <c r="B1617" s="2" t="inlineStr">
        <is>
          <t>Кружки</t>
        </is>
      </c>
      <c r="C1617" s="2" t="inlineStr">
        <is>
          <t>Товары для дома и дачи</t>
        </is>
      </c>
      <c r="D1617" s="2" t="inlineStr">
        <is>
          <t>Товары для дома и дачи → Посуда и принадлежности → Столовая посуда → Кружки</t>
        </is>
      </c>
      <c r="E1617" s="3" t="n">
        <v>281489</v>
      </c>
      <c r="F1617" s="3" t="n">
        <v>74</v>
      </c>
      <c r="G1617" s="3">
        <f>IFERROR(E1617/F1617,0)</f>
        <v/>
      </c>
      <c r="H1617" s="3" t="n">
        <v>57</v>
      </c>
      <c r="I1617" s="2" t="n">
        <v>24</v>
      </c>
      <c r="J1617" s="3">
        <f>IFERROR(E1617/H1617,0)</f>
        <v/>
      </c>
      <c r="K1617" s="10">
        <f>E1617/'По разделам'!$B$21</f>
        <v/>
      </c>
      <c r="L1617" s="4">
        <f>L1616+K1617</f>
        <v/>
      </c>
      <c r="M1617" s="2" t="inlineStr">
        <is>
          <t>04499</t>
        </is>
      </c>
      <c r="N1617" s="2" t="inlineStr">
        <is>
          <t>https://app.redstat.kz/niche/04499?event_date=2026-08-01</t>
        </is>
      </c>
      <c r="O1617" s="2" t="inlineStr">
        <is>
          <t>https://kaspi.kz/shop/c/cups%20and%20saucers%20sets/</t>
        </is>
      </c>
    </row>
    <row r="1618">
      <c r="A1618" s="2" t="n">
        <v>1617</v>
      </c>
      <c r="B1618" s="2" t="inlineStr">
        <is>
          <t>Вырубщики визиток</t>
        </is>
      </c>
      <c r="C1618" s="2" t="inlineStr">
        <is>
          <t>Канцелярские товары</t>
        </is>
      </c>
      <c r="D1618" s="2" t="inlineStr">
        <is>
          <t>Канцелярские товары → Постпечатное оборудование → Вырубщики визиток</t>
        </is>
      </c>
      <c r="E1618" s="3" t="n">
        <v>280495</v>
      </c>
      <c r="F1618" s="3" t="n">
        <v>13</v>
      </c>
      <c r="G1618" s="3">
        <f>IFERROR(E1618/F1618,0)</f>
        <v/>
      </c>
      <c r="H1618" s="3" t="n">
        <v>4</v>
      </c>
      <c r="I1618" s="2" t="n">
        <v>3</v>
      </c>
      <c r="J1618" s="3">
        <f>IFERROR(E1618/H1618,0)</f>
        <v/>
      </c>
      <c r="K1618" s="10">
        <f>E1618/'По разделам'!$B$21</f>
        <v/>
      </c>
      <c r="L1618" s="4">
        <f>L1617+K1618</f>
        <v/>
      </c>
      <c r="M1618" s="2" t="inlineStr">
        <is>
          <t>06719</t>
        </is>
      </c>
      <c r="N1618" s="2" t="inlineStr">
        <is>
          <t>https://app.redstat.kz/niche/06719?event_date=2026-08-01</t>
        </is>
      </c>
      <c r="O1618" s="2" t="inlineStr">
        <is>
          <t>https://kaspi.kz/shop/c/business%20card%20cutters/</t>
        </is>
      </c>
    </row>
    <row r="1619">
      <c r="A1619" s="2" t="n">
        <v>1618</v>
      </c>
      <c r="B1619" s="2" t="inlineStr">
        <is>
          <t>Электрогенераторы</t>
        </is>
      </c>
      <c r="C1619" s="2" t="inlineStr">
        <is>
          <t>Товары для дома и дачи</t>
        </is>
      </c>
      <c r="D1619" s="2" t="inlineStr">
        <is>
          <t>Товары для дома и дачи → Дача, сад и огород → Садовая техника → Электрогенераторы</t>
        </is>
      </c>
      <c r="E1619" s="3" t="n">
        <v>280000</v>
      </c>
      <c r="F1619" s="3" t="n">
        <v>2</v>
      </c>
      <c r="G1619" s="3">
        <f>IFERROR(E1619/F1619,0)</f>
        <v/>
      </c>
      <c r="H1619" s="3" t="n">
        <v>1</v>
      </c>
      <c r="I1619" s="2" t="n">
        <v>1</v>
      </c>
      <c r="J1619" s="3">
        <f>IFERROR(E1619/H1619,0)</f>
        <v/>
      </c>
      <c r="K1619" s="10">
        <f>E1619/'По разделам'!$B$21</f>
        <v/>
      </c>
      <c r="L1619" s="4">
        <f>L1618+K1619</f>
        <v/>
      </c>
      <c r="M1619" s="2" t="inlineStr">
        <is>
          <t>00574</t>
        </is>
      </c>
      <c r="N1619" s="2" t="inlineStr">
        <is>
          <t>https://app.redstat.kz/niche/00574?event_date=2026-08-01</t>
        </is>
      </c>
      <c r="O1619" s="2" t="inlineStr">
        <is>
          <t>https://kaspi.kz/shop/c/power%20generators/</t>
        </is>
      </c>
    </row>
    <row r="1620">
      <c r="A1620" s="2" t="n">
        <v>1619</v>
      </c>
      <c r="B1620" s="2" t="inlineStr">
        <is>
          <t>Пленки и наклейки для автомобилей</t>
        </is>
      </c>
      <c r="C1620" s="2" t="inlineStr">
        <is>
          <t>Автотовары</t>
        </is>
      </c>
      <c r="D1620" s="2" t="inlineStr">
        <is>
          <t>Автотовары → Защита и внешний тюнинг → Пленки и инструменты для оклейки автомобиля → Пленки и наклейки для автомобилей</t>
        </is>
      </c>
      <c r="E1620" s="3" t="n">
        <v>277558</v>
      </c>
      <c r="F1620" s="3" t="n">
        <v>359</v>
      </c>
      <c r="G1620" s="3">
        <f>IFERROR(E1620/F1620,0)</f>
        <v/>
      </c>
      <c r="H1620" s="3" t="n">
        <v>114</v>
      </c>
      <c r="I1620" s="2" t="n">
        <v>15</v>
      </c>
      <c r="J1620" s="3">
        <f>IFERROR(E1620/H1620,0)</f>
        <v/>
      </c>
      <c r="K1620" s="10">
        <f>E1620/'По разделам'!$B$21</f>
        <v/>
      </c>
      <c r="L1620" s="4">
        <f>L1619+K1620</f>
        <v/>
      </c>
      <c r="M1620" s="2" t="inlineStr">
        <is>
          <t>05496</t>
        </is>
      </c>
      <c r="N1620" s="2" t="inlineStr">
        <is>
          <t>https://app.redstat.kz/niche/05496?event_date=2026-08-01</t>
        </is>
      </c>
      <c r="O1620" s="2" t="inlineStr">
        <is>
          <t>https://kaspi.kz/shop/c/decorative%20and%20protective%20films%20for%20cars/</t>
        </is>
      </c>
    </row>
    <row r="1621">
      <c r="A1621" s="2" t="n">
        <v>1620</v>
      </c>
      <c r="B1621" s="2" t="inlineStr">
        <is>
          <t>Столы для армрестлинга</t>
        </is>
      </c>
      <c r="C1621" s="2" t="inlineStr">
        <is>
          <t>Спорт, туризм</t>
        </is>
      </c>
      <c r="D1621" s="2" t="inlineStr">
        <is>
          <t>Спорт, туризм → Единоборства → Столы для армрестлинга</t>
        </is>
      </c>
      <c r="E1621" s="3" t="n">
        <v>276184</v>
      </c>
      <c r="F1621" s="3" t="n">
        <v>5</v>
      </c>
      <c r="G1621" s="3">
        <f>IFERROR(E1621/F1621,0)</f>
        <v/>
      </c>
      <c r="H1621" s="3" t="n">
        <v>1</v>
      </c>
      <c r="I1621" s="2" t="n">
        <v>1</v>
      </c>
      <c r="J1621" s="3">
        <f>IFERROR(E1621/H1621,0)</f>
        <v/>
      </c>
      <c r="K1621" s="10">
        <f>E1621/'По разделам'!$B$21</f>
        <v/>
      </c>
      <c r="L1621" s="4">
        <f>L1620+K1621</f>
        <v/>
      </c>
      <c r="M1621" s="2" t="inlineStr">
        <is>
          <t>07356</t>
        </is>
      </c>
      <c r="N1621" s="2" t="inlineStr">
        <is>
          <t>https://app.redstat.kz/niche/07356?event_date=2026-08-01</t>
        </is>
      </c>
      <c r="O1621" s="2" t="inlineStr">
        <is>
          <t>https://kaspi.kz/shop/c/arm%20wrestling%20tables/</t>
        </is>
      </c>
    </row>
    <row r="1622">
      <c r="A1622" s="2" t="n">
        <v>1621</v>
      </c>
      <c r="B1622" s="2" t="inlineStr">
        <is>
          <t>Кошки альпинистские</t>
        </is>
      </c>
      <c r="C1622" s="2" t="inlineStr">
        <is>
          <t>Спорт, туризм</t>
        </is>
      </c>
      <c r="D1622" s="2" t="inlineStr">
        <is>
          <t>Спорт, туризм → Альпинизм и скалолазание → Кошки альпинистские</t>
        </is>
      </c>
      <c r="E1622" s="3" t="n">
        <v>275175</v>
      </c>
      <c r="F1622" s="3" t="n">
        <v>39</v>
      </c>
      <c r="G1622" s="3">
        <f>IFERROR(E1622/F1622,0)</f>
        <v/>
      </c>
      <c r="H1622" s="3" t="n">
        <v>12</v>
      </c>
      <c r="I1622" s="2" t="n">
        <v>5</v>
      </c>
      <c r="J1622" s="3">
        <f>IFERROR(E1622/H1622,0)</f>
        <v/>
      </c>
      <c r="K1622" s="10">
        <f>E1622/'По разделам'!$B$21</f>
        <v/>
      </c>
      <c r="L1622" s="4">
        <f>L1621+K1622</f>
        <v/>
      </c>
      <c r="M1622" s="2" t="inlineStr">
        <is>
          <t>02804</t>
        </is>
      </c>
      <c r="N1622" s="2" t="inlineStr">
        <is>
          <t>https://app.redstat.kz/niche/02804?event_date=2026-08-01</t>
        </is>
      </c>
      <c r="O1622" s="2" t="inlineStr">
        <is>
          <t>https://kaspi.kz/shop/c/ice%20climbing%20crampons/</t>
        </is>
      </c>
    </row>
    <row r="1623">
      <c r="A1623" s="2" t="n">
        <v>1622</v>
      </c>
      <c r="B1623" s="2" t="inlineStr">
        <is>
          <t>Коляски</t>
        </is>
      </c>
      <c r="C1623" s="2" t="inlineStr">
        <is>
          <t>Детские товары</t>
        </is>
      </c>
      <c r="D1623" s="2" t="inlineStr">
        <is>
          <t>Детские товары → Прогулки и поездки → Коляски и аксессуары → Коляски</t>
        </is>
      </c>
      <c r="E1623" s="3" t="n">
        <v>270397</v>
      </c>
      <c r="F1623" s="3" t="n">
        <v>7</v>
      </c>
      <c r="G1623" s="3">
        <f>IFERROR(E1623/F1623,0)</f>
        <v/>
      </c>
      <c r="H1623" s="3" t="n">
        <v>4</v>
      </c>
      <c r="I1623" s="2" t="n">
        <v>2</v>
      </c>
      <c r="J1623" s="3">
        <f>IFERROR(E1623/H1623,0)</f>
        <v/>
      </c>
      <c r="K1623" s="10">
        <f>E1623/'По разделам'!$B$21</f>
        <v/>
      </c>
      <c r="L1623" s="4">
        <f>L1622+K1623</f>
        <v/>
      </c>
      <c r="M1623" s="2" t="inlineStr">
        <is>
          <t>02554</t>
        </is>
      </c>
      <c r="N1623" s="2" t="inlineStr">
        <is>
          <t>https://app.redstat.kz/niche/02554?event_date=2026-08-01</t>
        </is>
      </c>
      <c r="O1623" s="2" t="inlineStr">
        <is>
          <t>https://kaspi.kz/shop/c/buggies/</t>
        </is>
      </c>
    </row>
    <row r="1624">
      <c r="A1624" s="2" t="n">
        <v>1623</v>
      </c>
      <c r="B1624" s="2" t="inlineStr">
        <is>
          <t>Мусорные ведра, баки и урны</t>
        </is>
      </c>
      <c r="C1624" s="2" t="inlineStr">
        <is>
          <t>Товары для дома и дачи</t>
        </is>
      </c>
      <c r="D1624" s="2" t="inlineStr">
        <is>
          <t>Товары для дома и дачи → Хозяйственные товары → Инвентарь для уборки → Мусорные ведра, баки и урны</t>
        </is>
      </c>
      <c r="E1624" s="3" t="n">
        <v>269346</v>
      </c>
      <c r="F1624" s="3" t="n">
        <v>28</v>
      </c>
      <c r="G1624" s="3">
        <f>IFERROR(E1624/F1624,0)</f>
        <v/>
      </c>
      <c r="H1624" s="3" t="n">
        <v>10</v>
      </c>
      <c r="I1624" s="2" t="n">
        <v>2</v>
      </c>
      <c r="J1624" s="3">
        <f>IFERROR(E1624/H1624,0)</f>
        <v/>
      </c>
      <c r="K1624" s="10">
        <f>E1624/'По разделам'!$B$21</f>
        <v/>
      </c>
      <c r="L1624" s="4">
        <f>L1623+K1624</f>
        <v/>
      </c>
      <c r="M1624" s="2" t="inlineStr">
        <is>
          <t>01781</t>
        </is>
      </c>
      <c r="N1624" s="2" t="inlineStr">
        <is>
          <t>https://app.redstat.kz/niche/01781?event_date=2026-08-01</t>
        </is>
      </c>
      <c r="O1624" s="2" t="inlineStr">
        <is>
          <t>https://kaspi.kz/shop/c/rubbish%20bins/</t>
        </is>
      </c>
    </row>
    <row r="1625">
      <c r="A1625" s="2" t="n">
        <v>1624</v>
      </c>
      <c r="B1625" s="2" t="inlineStr">
        <is>
          <t>Вилочное масло</t>
        </is>
      </c>
      <c r="C1625" s="2" t="inlineStr">
        <is>
          <t>Автотовары</t>
        </is>
      </c>
      <c r="D1625" s="2" t="inlineStr">
        <is>
          <t>Автотовары → Масла и технические жидкости → Вилочное масло</t>
        </is>
      </c>
      <c r="E1625" s="3" t="n">
        <v>268833</v>
      </c>
      <c r="F1625" s="3" t="n">
        <v>19</v>
      </c>
      <c r="G1625" s="3">
        <f>IFERROR(E1625/F1625,0)</f>
        <v/>
      </c>
      <c r="H1625" s="3" t="n">
        <v>7</v>
      </c>
      <c r="I1625" s="2" t="n">
        <v>5</v>
      </c>
      <c r="J1625" s="3">
        <f>IFERROR(E1625/H1625,0)</f>
        <v/>
      </c>
      <c r="K1625" s="10">
        <f>E1625/'По разделам'!$B$21</f>
        <v/>
      </c>
      <c r="L1625" s="4">
        <f>L1624+K1625</f>
        <v/>
      </c>
      <c r="M1625" s="2" t="inlineStr">
        <is>
          <t>03809</t>
        </is>
      </c>
      <c r="N1625" s="2" t="inlineStr">
        <is>
          <t>https://app.redstat.kz/niche/03809?event_date=2026-08-01</t>
        </is>
      </c>
      <c r="O1625" s="2" t="inlineStr">
        <is>
          <t>https://kaspi.kz/shop/c/fork%20oil/</t>
        </is>
      </c>
    </row>
    <row r="1626">
      <c r="A1626" s="2" t="n">
        <v>1625</v>
      </c>
      <c r="B1626" s="2" t="inlineStr">
        <is>
          <t>Гайки</t>
        </is>
      </c>
      <c r="C1626" s="2" t="inlineStr">
        <is>
          <t>Строительство, ремонт</t>
        </is>
      </c>
      <c r="D1626" s="2" t="inlineStr">
        <is>
          <t>Строительство, ремонт → Строительный крепеж → Гайки</t>
        </is>
      </c>
      <c r="E1626" s="3" t="n">
        <v>268644</v>
      </c>
      <c r="F1626" s="3" t="n">
        <v>264</v>
      </c>
      <c r="G1626" s="3">
        <f>IFERROR(E1626/F1626,0)</f>
        <v/>
      </c>
      <c r="H1626" s="3" t="n">
        <v>58</v>
      </c>
      <c r="I1626" s="2" t="n">
        <v>9</v>
      </c>
      <c r="J1626" s="3">
        <f>IFERROR(E1626/H1626,0)</f>
        <v/>
      </c>
      <c r="K1626" s="10">
        <f>E1626/'По разделам'!$B$21</f>
        <v/>
      </c>
      <c r="L1626" s="4">
        <f>L1625+K1626</f>
        <v/>
      </c>
      <c r="M1626" s="2" t="inlineStr">
        <is>
          <t>04387</t>
        </is>
      </c>
      <c r="N1626" s="2" t="inlineStr">
        <is>
          <t>https://app.redstat.kz/niche/04387?event_date=2026-08-01</t>
        </is>
      </c>
      <c r="O1626" s="2" t="inlineStr">
        <is>
          <t>https://kaspi.kz/shop/c/fastening%20nuts/</t>
        </is>
      </c>
    </row>
    <row r="1627">
      <c r="A1627" s="2" t="n">
        <v>1626</v>
      </c>
      <c r="B1627" s="2" t="inlineStr">
        <is>
          <t>Газовые паяльники и паяльные лампы</t>
        </is>
      </c>
      <c r="C1627" s="2" t="inlineStr">
        <is>
          <t>Строительство, ремонт</t>
        </is>
      </c>
      <c r="D1627" s="2" t="inlineStr">
        <is>
          <t>Строительство, ремонт → Ручные инструменты → Газовые паяльники и паяльные лампы → Газовые паяльники и паяльные лампы</t>
        </is>
      </c>
      <c r="E1627" s="3" t="n">
        <v>268182</v>
      </c>
      <c r="F1627" s="3" t="n">
        <v>43</v>
      </c>
      <c r="G1627" s="3">
        <f>IFERROR(E1627/F1627,0)</f>
        <v/>
      </c>
      <c r="H1627" s="3" t="n">
        <v>4</v>
      </c>
      <c r="I1627" s="2" t="n">
        <v>4</v>
      </c>
      <c r="J1627" s="3">
        <f>IFERROR(E1627/H1627,0)</f>
        <v/>
      </c>
      <c r="K1627" s="10">
        <f>E1627/'По разделам'!$B$21</f>
        <v/>
      </c>
      <c r="L1627" s="4">
        <f>L1626+K1627</f>
        <v/>
      </c>
      <c r="M1627" s="2" t="inlineStr">
        <is>
          <t>q35198176265bd22</t>
        </is>
      </c>
      <c r="N1627" s="2" t="inlineStr">
        <is>
          <t>https://app.redstat.kz/niche/q35198176265bd22?event_date=2026-08-01</t>
        </is>
      </c>
      <c r="O1627" s="2" t="inlineStr"/>
    </row>
    <row r="1628">
      <c r="A1628" s="2" t="n">
        <v>1627</v>
      </c>
      <c r="B1628" s="2" t="inlineStr">
        <is>
          <t>Тряпки, губки и щетки</t>
        </is>
      </c>
      <c r="C1628" s="2" t="inlineStr">
        <is>
          <t>Товары для дома и дачи</t>
        </is>
      </c>
      <c r="D1628" s="2" t="inlineStr">
        <is>
          <t>Товары для дома и дачи → Хозяйственные товары → Инвентарь для уборки → Тряпки, губки и щетки</t>
        </is>
      </c>
      <c r="E1628" s="3" t="n">
        <v>267390</v>
      </c>
      <c r="F1628" s="3" t="n">
        <v>148</v>
      </c>
      <c r="G1628" s="3">
        <f>IFERROR(E1628/F1628,0)</f>
        <v/>
      </c>
      <c r="H1628" s="3" t="n">
        <v>65</v>
      </c>
      <c r="I1628" s="2" t="n">
        <v>31</v>
      </c>
      <c r="J1628" s="3">
        <f>IFERROR(E1628/H1628,0)</f>
        <v/>
      </c>
      <c r="K1628" s="10">
        <f>E1628/'По разделам'!$B$21</f>
        <v/>
      </c>
      <c r="L1628" s="4">
        <f>L1627+K1628</f>
        <v/>
      </c>
      <c r="M1628" s="2" t="inlineStr">
        <is>
          <t>05676</t>
        </is>
      </c>
      <c r="N1628" s="2" t="inlineStr">
        <is>
          <t>https://app.redstat.kz/niche/05676?event_date=2026-08-01</t>
        </is>
      </c>
      <c r="O1628" s="2" t="inlineStr">
        <is>
          <t>https://kaspi.kz/shop/c/rags%20and%20sponges/</t>
        </is>
      </c>
    </row>
    <row r="1629">
      <c r="A1629" s="2" t="n">
        <v>1628</v>
      </c>
      <c r="B1629" s="2" t="inlineStr">
        <is>
          <t>Рулонные шторы</t>
        </is>
      </c>
      <c r="C1629" s="2" t="inlineStr">
        <is>
          <t>Товары для дома и дачи</t>
        </is>
      </c>
      <c r="D1629" s="2" t="inlineStr">
        <is>
          <t>Товары для дома и дачи → Домашний текстиль → Шторы и карнизы → Рулонные шторы</t>
        </is>
      </c>
      <c r="E1629" s="3" t="n">
        <v>265798</v>
      </c>
      <c r="F1629" s="3" t="n">
        <v>21</v>
      </c>
      <c r="G1629" s="3">
        <f>IFERROR(E1629/F1629,0)</f>
        <v/>
      </c>
      <c r="H1629" s="3" t="n">
        <v>16</v>
      </c>
      <c r="I1629" s="2" t="n">
        <v>6</v>
      </c>
      <c r="J1629" s="3">
        <f>IFERROR(E1629/H1629,0)</f>
        <v/>
      </c>
      <c r="K1629" s="10">
        <f>E1629/'По разделам'!$B$21</f>
        <v/>
      </c>
      <c r="L1629" s="4">
        <f>L1628+K1629</f>
        <v/>
      </c>
      <c r="M1629" s="2" t="inlineStr">
        <is>
          <t>06444</t>
        </is>
      </c>
      <c r="N1629" s="2" t="inlineStr">
        <is>
          <t>https://app.redstat.kz/niche/06444?event_date=2026-08-01</t>
        </is>
      </c>
      <c r="O1629" s="2" t="inlineStr">
        <is>
          <t>https://kaspi.kz/shop/c/roller%20blinds/</t>
        </is>
      </c>
    </row>
    <row r="1630">
      <c r="A1630" s="2" t="n">
        <v>1629</v>
      </c>
      <c r="B1630" s="2" t="inlineStr">
        <is>
          <t>Садовые умывальники</t>
        </is>
      </c>
      <c r="C1630" s="2" t="inlineStr">
        <is>
          <t>Товары для дома и дачи</t>
        </is>
      </c>
      <c r="D1630" s="2" t="inlineStr">
        <is>
          <t>Товары для дома и дачи → Дача, сад и огород → Садовые конструкции → Садовые умывальники</t>
        </is>
      </c>
      <c r="E1630" s="3" t="n">
        <v>264389</v>
      </c>
      <c r="F1630" s="3" t="n">
        <v>5</v>
      </c>
      <c r="G1630" s="3">
        <f>IFERROR(E1630/F1630,0)</f>
        <v/>
      </c>
      <c r="H1630" s="3" t="n">
        <v>4</v>
      </c>
      <c r="I1630" s="2" t="n">
        <v>3</v>
      </c>
      <c r="J1630" s="3">
        <f>IFERROR(E1630/H1630,0)</f>
        <v/>
      </c>
      <c r="K1630" s="10">
        <f>E1630/'По разделам'!$B$21</f>
        <v/>
      </c>
      <c r="L1630" s="4">
        <f>L1629+K1630</f>
        <v/>
      </c>
      <c r="M1630" s="2" t="inlineStr">
        <is>
          <t>03603</t>
        </is>
      </c>
      <c r="N1630" s="2" t="inlineStr">
        <is>
          <t>https://app.redstat.kz/niche/03603?event_date=2026-08-01</t>
        </is>
      </c>
      <c r="O1630" s="2" t="inlineStr">
        <is>
          <t>https://kaspi.kz/shop/c/garden%20sinks/</t>
        </is>
      </c>
    </row>
    <row r="1631">
      <c r="A1631" s="2" t="n">
        <v>1630</v>
      </c>
      <c r="B1631" s="2" t="inlineStr">
        <is>
          <t>Аксессуары для бани и сауны</t>
        </is>
      </c>
      <c r="C1631" s="2" t="inlineStr">
        <is>
          <t>Товары для дома и дачи</t>
        </is>
      </c>
      <c r="D1631" s="2" t="inlineStr">
        <is>
          <t>Товары для дома и дачи → Дача, сад и огород → Баня и сауна → Аксессуары для бани и сауны</t>
        </is>
      </c>
      <c r="E1631" s="3" t="n">
        <v>263214</v>
      </c>
      <c r="F1631" s="3" t="n">
        <v>42</v>
      </c>
      <c r="G1631" s="3">
        <f>IFERROR(E1631/F1631,0)</f>
        <v/>
      </c>
      <c r="H1631" s="3" t="n">
        <v>30</v>
      </c>
      <c r="I1631" s="2" t="n">
        <v>15</v>
      </c>
      <c r="J1631" s="3">
        <f>IFERROR(E1631/H1631,0)</f>
        <v/>
      </c>
      <c r="K1631" s="10">
        <f>E1631/'По разделам'!$B$21</f>
        <v/>
      </c>
      <c r="L1631" s="4">
        <f>L1630+K1631</f>
        <v/>
      </c>
      <c r="M1631" s="2" t="inlineStr">
        <is>
          <t>03517</t>
        </is>
      </c>
      <c r="N1631" s="2" t="inlineStr">
        <is>
          <t>https://app.redstat.kz/niche/03517?event_date=2026-08-01</t>
        </is>
      </c>
      <c r="O1631" s="2" t="inlineStr">
        <is>
          <t>https://kaspi.kz/shop/c/sauna%20and%20bath%20accessories/</t>
        </is>
      </c>
    </row>
    <row r="1632">
      <c r="A1632" s="2" t="n">
        <v>1631</v>
      </c>
      <c r="B1632" s="2" t="inlineStr">
        <is>
          <t>Газовые конвекторы</t>
        </is>
      </c>
      <c r="C1632" s="2" t="inlineStr">
        <is>
          <t>Строительство, ремонт</t>
        </is>
      </c>
      <c r="D1632" s="2" t="inlineStr">
        <is>
          <t>Строительство, ремонт → Системы отопления → Радиаторы и конвекторы → Газовые конвекторы</t>
        </is>
      </c>
      <c r="E1632" s="3" t="n">
        <v>261570</v>
      </c>
      <c r="F1632" s="3" t="n">
        <v>20</v>
      </c>
      <c r="G1632" s="3">
        <f>IFERROR(E1632/F1632,0)</f>
        <v/>
      </c>
      <c r="H1632" s="3" t="n">
        <v>6</v>
      </c>
      <c r="I1632" s="2" t="n">
        <v>3</v>
      </c>
      <c r="J1632" s="3">
        <f>IFERROR(E1632/H1632,0)</f>
        <v/>
      </c>
      <c r="K1632" s="10">
        <f>E1632/'По разделам'!$B$21</f>
        <v/>
      </c>
      <c r="L1632" s="4">
        <f>L1631+K1632</f>
        <v/>
      </c>
      <c r="M1632" s="2" t="inlineStr">
        <is>
          <t>02808</t>
        </is>
      </c>
      <c r="N1632" s="2" t="inlineStr">
        <is>
          <t>https://app.redstat.kz/niche/02808?event_date=2026-08-01</t>
        </is>
      </c>
      <c r="O1632" s="2" t="inlineStr">
        <is>
          <t>https://kaspi.kz/shop/c/gas%20convectors/</t>
        </is>
      </c>
    </row>
    <row r="1633">
      <c r="A1633" s="2" t="n">
        <v>1632</v>
      </c>
      <c r="B1633" s="2" t="inlineStr">
        <is>
          <t>Сервизы</t>
        </is>
      </c>
      <c r="C1633" s="2" t="inlineStr">
        <is>
          <t>Товары для дома и дачи</t>
        </is>
      </c>
      <c r="D1633" s="2" t="inlineStr">
        <is>
          <t>Товары для дома и дачи → Посуда и принадлежности → Столовая посуда → Сервизы</t>
        </is>
      </c>
      <c r="E1633" s="3" t="n">
        <v>259870</v>
      </c>
      <c r="F1633" s="3" t="n">
        <v>7</v>
      </c>
      <c r="G1633" s="3">
        <f>IFERROR(E1633/F1633,0)</f>
        <v/>
      </c>
      <c r="H1633" s="3" t="n">
        <v>7</v>
      </c>
      <c r="I1633" s="2" t="n">
        <v>6</v>
      </c>
      <c r="J1633" s="3">
        <f>IFERROR(E1633/H1633,0)</f>
        <v/>
      </c>
      <c r="K1633" s="10">
        <f>E1633/'По разделам'!$B$21</f>
        <v/>
      </c>
      <c r="L1633" s="4">
        <f>L1632+K1633</f>
        <v/>
      </c>
      <c r="M1633" s="2" t="inlineStr">
        <is>
          <t>03325</t>
        </is>
      </c>
      <c r="N1633" s="2" t="inlineStr">
        <is>
          <t>https://app.redstat.kz/niche/03325?event_date=2026-08-01</t>
        </is>
      </c>
      <c r="O1633" s="2" t="inlineStr">
        <is>
          <t>https://kaspi.kz/shop/c/dinnerware%20sets/</t>
        </is>
      </c>
    </row>
    <row r="1634">
      <c r="A1634" s="2" t="n">
        <v>1633</v>
      </c>
      <c r="B1634" s="2" t="inlineStr">
        <is>
          <t>Освежители воздуха</t>
        </is>
      </c>
      <c r="C1634" s="2" t="inlineStr">
        <is>
          <t>Товары для дома и дачи</t>
        </is>
      </c>
      <c r="D1634" s="2" t="inlineStr">
        <is>
          <t>Товары для дома и дачи → Бытовая химия → Освежители и нейтрализаторы запахов → Освежители воздуха</t>
        </is>
      </c>
      <c r="E1634" s="3" t="n">
        <v>252102</v>
      </c>
      <c r="F1634" s="3" t="n">
        <v>117</v>
      </c>
      <c r="G1634" s="3">
        <f>IFERROR(E1634/F1634,0)</f>
        <v/>
      </c>
      <c r="H1634" s="3" t="n">
        <v>63</v>
      </c>
      <c r="I1634" s="2" t="n">
        <v>29</v>
      </c>
      <c r="J1634" s="3">
        <f>IFERROR(E1634/H1634,0)</f>
        <v/>
      </c>
      <c r="K1634" s="10">
        <f>E1634/'По разделам'!$B$21</f>
        <v/>
      </c>
      <c r="L1634" s="4">
        <f>L1633+K1634</f>
        <v/>
      </c>
      <c r="M1634" s="2" t="inlineStr">
        <is>
          <t>01581</t>
        </is>
      </c>
      <c r="N1634" s="2" t="inlineStr">
        <is>
          <t>https://app.redstat.kz/niche/01581?event_date=2026-08-01</t>
        </is>
      </c>
      <c r="O1634" s="2" t="inlineStr">
        <is>
          <t>https://kaspi.kz/shop/c/air%20fresheners/</t>
        </is>
      </c>
    </row>
    <row r="1635">
      <c r="A1635" s="2" t="n">
        <v>1634</v>
      </c>
      <c r="B1635" s="2" t="inlineStr">
        <is>
          <t>Дрели и шуруповерты</t>
        </is>
      </c>
      <c r="C1635" s="2" t="inlineStr">
        <is>
          <t>Строительство, ремонт</t>
        </is>
      </c>
      <c r="D1635" s="2" t="inlineStr">
        <is>
          <t>Строительство, ремонт → Инструменты → Электроинструменты → Дрели и шуруповерты</t>
        </is>
      </c>
      <c r="E1635" s="3" t="n">
        <v>251468</v>
      </c>
      <c r="F1635" s="3" t="n">
        <v>13</v>
      </c>
      <c r="G1635" s="3">
        <f>IFERROR(E1635/F1635,0)</f>
        <v/>
      </c>
      <c r="H1635" s="3" t="n">
        <v>9</v>
      </c>
      <c r="I1635" s="2" t="n">
        <v>8</v>
      </c>
      <c r="J1635" s="3">
        <f>IFERROR(E1635/H1635,0)</f>
        <v/>
      </c>
      <c r="K1635" s="10">
        <f>E1635/'По разделам'!$B$21</f>
        <v/>
      </c>
      <c r="L1635" s="4">
        <f>L1634+K1635</f>
        <v/>
      </c>
      <c r="M1635" s="2" t="inlineStr">
        <is>
          <t>03396</t>
        </is>
      </c>
      <c r="N1635" s="2" t="inlineStr">
        <is>
          <t>https://app.redstat.kz/niche/03396?event_date=2026-08-01</t>
        </is>
      </c>
      <c r="O1635" s="2" t="inlineStr">
        <is>
          <t>https://kaspi.kz/shop/c/drills%20and%20screw%20guns/</t>
        </is>
      </c>
    </row>
    <row r="1636">
      <c r="A1636" s="2" t="n">
        <v>1635</v>
      </c>
      <c r="B1636" s="2" t="inlineStr">
        <is>
          <t>Защитные пленки и стекла для фото- и видеокамер</t>
        </is>
      </c>
      <c r="C1636" s="2" t="inlineStr">
        <is>
          <t>ТВ, Аудио, Видео</t>
        </is>
      </c>
      <c r="D1636" s="2" t="inlineStr">
        <is>
          <t>ТВ, Аудио, Видео → Фото- и видеокамеры → Защитные пленки и стекла для фото- и видеокамер</t>
        </is>
      </c>
      <c r="E1636" s="3" t="n">
        <v>251346</v>
      </c>
      <c r="F1636" s="3" t="n">
        <v>124</v>
      </c>
      <c r="G1636" s="3">
        <f>IFERROR(E1636/F1636,0)</f>
        <v/>
      </c>
      <c r="H1636" s="3" t="n">
        <v>8</v>
      </c>
      <c r="I1636" s="2" t="n">
        <v>2</v>
      </c>
      <c r="J1636" s="3">
        <f>IFERROR(E1636/H1636,0)</f>
        <v/>
      </c>
      <c r="K1636" s="10">
        <f>E1636/'По разделам'!$B$21</f>
        <v/>
      </c>
      <c r="L1636" s="4">
        <f>L1635+K1636</f>
        <v/>
      </c>
      <c r="M1636" s="2" t="inlineStr">
        <is>
          <t>02160</t>
        </is>
      </c>
      <c r="N1636" s="2" t="inlineStr">
        <is>
          <t>https://app.redstat.kz/niche/02160?event_date=2026-08-01</t>
        </is>
      </c>
      <c r="O1636" s="2" t="inlineStr">
        <is>
          <t>https://kaspi.kz/shop/c/cameras%20screen%20protection/</t>
        </is>
      </c>
    </row>
    <row r="1637">
      <c r="A1637" s="2" t="n">
        <v>1636</v>
      </c>
      <c r="B1637" s="2" t="inlineStr">
        <is>
          <t>Клещи для автомобильных хомутов</t>
        </is>
      </c>
      <c r="C1637" s="2" t="inlineStr">
        <is>
          <t>Автотовары</t>
        </is>
      </c>
      <c r="D1637" s="2" t="inlineStr">
        <is>
          <t>Автотовары → Автоинструменты → Клещи для автомобильных хомутов</t>
        </is>
      </c>
      <c r="E1637" s="3" t="n">
        <v>249431</v>
      </c>
      <c r="F1637" s="3" t="n">
        <v>90</v>
      </c>
      <c r="G1637" s="3">
        <f>IFERROR(E1637/F1637,0)</f>
        <v/>
      </c>
      <c r="H1637" s="3" t="n">
        <v>14</v>
      </c>
      <c r="I1637" s="2" t="n">
        <v>5</v>
      </c>
      <c r="J1637" s="3">
        <f>IFERROR(E1637/H1637,0)</f>
        <v/>
      </c>
      <c r="K1637" s="10">
        <f>E1637/'По разделам'!$B$21</f>
        <v/>
      </c>
      <c r="L1637" s="4">
        <f>L1636+K1637</f>
        <v/>
      </c>
      <c r="M1637" s="2" t="inlineStr">
        <is>
          <t>05577</t>
        </is>
      </c>
      <c r="N1637" s="2" t="inlineStr">
        <is>
          <t>https://app.redstat.kz/niche/05577?event_date=2026-08-01</t>
        </is>
      </c>
      <c r="O1637" s="2" t="inlineStr">
        <is>
          <t>https://kaspi.kz/shop/c/clamp%20pliers/</t>
        </is>
      </c>
    </row>
    <row r="1638">
      <c r="A1638" s="2" t="n">
        <v>1637</v>
      </c>
      <c r="B1638" s="2" t="inlineStr">
        <is>
          <t>Спортивные площадки</t>
        </is>
      </c>
      <c r="C1638" s="2" t="inlineStr">
        <is>
          <t>Спорт, туризм</t>
        </is>
      </c>
      <c r="D1638" s="2" t="inlineStr">
        <is>
          <t>Спорт, туризм → Товары для фитнеса → Спортивные площадки</t>
        </is>
      </c>
      <c r="E1638" s="3" t="n">
        <v>243800</v>
      </c>
      <c r="F1638" s="3" t="n">
        <v>1</v>
      </c>
      <c r="G1638" s="3">
        <f>IFERROR(E1638/F1638,0)</f>
        <v/>
      </c>
      <c r="H1638" s="3" t="n">
        <v>1</v>
      </c>
      <c r="I1638" s="2" t="n">
        <v>1</v>
      </c>
      <c r="J1638" s="3">
        <f>IFERROR(E1638/H1638,0)</f>
        <v/>
      </c>
      <c r="K1638" s="10">
        <f>E1638/'По разделам'!$B$21</f>
        <v/>
      </c>
      <c r="L1638" s="4">
        <f>L1637+K1638</f>
        <v/>
      </c>
      <c r="M1638" s="2" t="inlineStr">
        <is>
          <t>03206</t>
        </is>
      </c>
      <c r="N1638" s="2" t="inlineStr">
        <is>
          <t>https://app.redstat.kz/niche/03206?event_date=2026-08-01</t>
        </is>
      </c>
      <c r="O1638" s="2" t="inlineStr">
        <is>
          <t>https://kaspi.kz/shop/c/sports%20courts/</t>
        </is>
      </c>
    </row>
    <row r="1639">
      <c r="A1639" s="2" t="n">
        <v>1638</v>
      </c>
      <c r="B1639" s="2" t="inlineStr">
        <is>
          <t>Ковровые дорожки</t>
        </is>
      </c>
      <c r="C1639" s="2" t="inlineStr">
        <is>
          <t>Товары для дома и дачи</t>
        </is>
      </c>
      <c r="D1639" s="2" t="inlineStr">
        <is>
          <t>Товары для дома и дачи → Домашний текстиль → Ковры и ковровые дорожки → Ковровые дорожки</t>
        </is>
      </c>
      <c r="E1639" s="3" t="n">
        <v>243350</v>
      </c>
      <c r="F1639" s="3" t="n">
        <v>21</v>
      </c>
      <c r="G1639" s="3">
        <f>IFERROR(E1639/F1639,0)</f>
        <v/>
      </c>
      <c r="H1639" s="3" t="n">
        <v>15</v>
      </c>
      <c r="I1639" s="2" t="n">
        <v>7</v>
      </c>
      <c r="J1639" s="3">
        <f>IFERROR(E1639/H1639,0)</f>
        <v/>
      </c>
      <c r="K1639" s="10">
        <f>E1639/'По разделам'!$B$21</f>
        <v/>
      </c>
      <c r="L1639" s="4">
        <f>L1638+K1639</f>
        <v/>
      </c>
      <c r="M1639" s="2" t="inlineStr">
        <is>
          <t>05149</t>
        </is>
      </c>
      <c r="N1639" s="2" t="inlineStr">
        <is>
          <t>https://app.redstat.kz/niche/05149?event_date=2026-08-01</t>
        </is>
      </c>
      <c r="O1639" s="2" t="inlineStr">
        <is>
          <t>https://kaspi.kz/shop/c/carpet%20runners/</t>
        </is>
      </c>
    </row>
    <row r="1640">
      <c r="A1640" s="2" t="n">
        <v>1639</v>
      </c>
      <c r="B1640" s="2" t="inlineStr">
        <is>
          <t>Системы хранения инструмента</t>
        </is>
      </c>
      <c r="C1640" s="2" t="inlineStr">
        <is>
          <t>Строительство, ремонт</t>
        </is>
      </c>
      <c r="D1640" s="2" t="inlineStr">
        <is>
          <t>Строительство, ремонт → Инструменты → Хранение инструмента → Системы хранения инструмента</t>
        </is>
      </c>
      <c r="E1640" s="3" t="n">
        <v>240340</v>
      </c>
      <c r="F1640" s="3" t="n">
        <v>7</v>
      </c>
      <c r="G1640" s="3">
        <f>IFERROR(E1640/F1640,0)</f>
        <v/>
      </c>
      <c r="H1640" s="3" t="n">
        <v>4</v>
      </c>
      <c r="I1640" s="2" t="n">
        <v>2</v>
      </c>
      <c r="J1640" s="3">
        <f>IFERROR(E1640/H1640,0)</f>
        <v/>
      </c>
      <c r="K1640" s="10">
        <f>E1640/'По разделам'!$B$21</f>
        <v/>
      </c>
      <c r="L1640" s="4">
        <f>L1639+K1640</f>
        <v/>
      </c>
      <c r="M1640" s="2" t="inlineStr">
        <is>
          <t>03353</t>
        </is>
      </c>
      <c r="N1640" s="2" t="inlineStr">
        <is>
          <t>https://app.redstat.kz/niche/03353?event_date=2026-08-01</t>
        </is>
      </c>
      <c r="O1640" s="2" t="inlineStr">
        <is>
          <t>https://kaspi.kz/shop/c/tool%20bags%20and%20boxes/</t>
        </is>
      </c>
    </row>
    <row r="1641">
      <c r="A1641" s="2" t="n">
        <v>1640</v>
      </c>
      <c r="B1641" s="2" t="inlineStr">
        <is>
          <t>Комплектующие и автоматика для ворот</t>
        </is>
      </c>
      <c r="C1641" s="2" t="inlineStr">
        <is>
          <t>Строительство, ремонт</t>
        </is>
      </c>
      <c r="D1641" s="2" t="inlineStr">
        <is>
          <t>Строительство, ремонт → Кровля, фасад, ворота → Ворота и ограждения → Комплектующие и автоматика для ворот</t>
        </is>
      </c>
      <c r="E1641" s="3" t="n">
        <v>239760</v>
      </c>
      <c r="F1641" s="3" t="n">
        <v>11</v>
      </c>
      <c r="G1641" s="3">
        <f>IFERROR(E1641/F1641,0)</f>
        <v/>
      </c>
      <c r="H1641" s="3" t="n">
        <v>4</v>
      </c>
      <c r="I1641" s="2" t="n">
        <v>2</v>
      </c>
      <c r="J1641" s="3">
        <f>IFERROR(E1641/H1641,0)</f>
        <v/>
      </c>
      <c r="K1641" s="10">
        <f>E1641/'По разделам'!$B$21</f>
        <v/>
      </c>
      <c r="L1641" s="4">
        <f>L1640+K1641</f>
        <v/>
      </c>
      <c r="M1641" s="2" t="inlineStr">
        <is>
          <t>02359</t>
        </is>
      </c>
      <c r="N1641" s="2" t="inlineStr">
        <is>
          <t>https://app.redstat.kz/niche/02359?event_date=2026-08-01</t>
        </is>
      </c>
      <c r="O1641" s="2" t="inlineStr">
        <is>
          <t>https://kaspi.kz/shop/search/?text=%D0%9A%D0%BE%D0%BC%D0%BF%D0%BB%D0%B5%D0%BA%D1%82%D1%83%D1%8E%D1%89%D0%B8%D0%B5%20%D0%B8%20%D0%B0%D0%B2%D1%82%D0%BE%D0%BC%D0%B0%D1%82%D0%B8%D0%BA%D0%B0%20%D0%B4%D0%BB%D1%8F%20%D0%B2%D0%BE%D1%80%D0%BE%D1%82</t>
        </is>
      </c>
    </row>
    <row r="1642">
      <c r="A1642" s="2" t="n">
        <v>1641</v>
      </c>
      <c r="B1642" s="2" t="inlineStr">
        <is>
          <t>Держатели и крючки для ванной</t>
        </is>
      </c>
      <c r="C1642" s="2" t="inlineStr">
        <is>
          <t>Товары для дома и дачи</t>
        </is>
      </c>
      <c r="D1642" s="2" t="inlineStr">
        <is>
          <t>Товары для дома и дачи → Хозяйственные товары → Аксессуары для ванной и туалета → Держатели и крючки для ванной</t>
        </is>
      </c>
      <c r="E1642" s="3" t="n">
        <v>239034</v>
      </c>
      <c r="F1642" s="3" t="n">
        <v>83</v>
      </c>
      <c r="G1642" s="3">
        <f>IFERROR(E1642/F1642,0)</f>
        <v/>
      </c>
      <c r="H1642" s="3" t="n">
        <v>43</v>
      </c>
      <c r="I1642" s="2" t="n">
        <v>20</v>
      </c>
      <c r="J1642" s="3">
        <f>IFERROR(E1642/H1642,0)</f>
        <v/>
      </c>
      <c r="K1642" s="10">
        <f>E1642/'По разделам'!$B$21</f>
        <v/>
      </c>
      <c r="L1642" s="4">
        <f>L1641+K1642</f>
        <v/>
      </c>
      <c r="M1642" s="2" t="inlineStr">
        <is>
          <t>05418</t>
        </is>
      </c>
      <c r="N1642" s="2" t="inlineStr">
        <is>
          <t>https://app.redstat.kz/niche/05418?event_date=2026-08-01</t>
        </is>
      </c>
      <c r="O1642" s="2" t="inlineStr">
        <is>
          <t>https://kaspi.kz/shop/c/bathroom%20holders%20and%20hooks/</t>
        </is>
      </c>
    </row>
    <row r="1643">
      <c r="A1643" s="2" t="n">
        <v>1642</v>
      </c>
      <c r="B1643" s="2" t="inlineStr">
        <is>
          <t>Ремни для йоги</t>
        </is>
      </c>
      <c r="C1643" s="2" t="inlineStr">
        <is>
          <t>Спорт, туризм</t>
        </is>
      </c>
      <c r="D1643" s="2" t="inlineStr">
        <is>
          <t>Спорт, туризм → Йога и пилатес → Ремни для йоги</t>
        </is>
      </c>
      <c r="E1643" s="3" t="n">
        <v>236904</v>
      </c>
      <c r="F1643" s="3" t="n">
        <v>85</v>
      </c>
      <c r="G1643" s="3">
        <f>IFERROR(E1643/F1643,0)</f>
        <v/>
      </c>
      <c r="H1643" s="3" t="n">
        <v>13</v>
      </c>
      <c r="I1643" s="2" t="n">
        <v>5</v>
      </c>
      <c r="J1643" s="3">
        <f>IFERROR(E1643/H1643,0)</f>
        <v/>
      </c>
      <c r="K1643" s="10">
        <f>E1643/'По разделам'!$B$21</f>
        <v/>
      </c>
      <c r="L1643" s="4">
        <f>L1642+K1643</f>
        <v/>
      </c>
      <c r="M1643" s="2" t="inlineStr">
        <is>
          <t>04820</t>
        </is>
      </c>
      <c r="N1643" s="2" t="inlineStr">
        <is>
          <t>https://app.redstat.kz/niche/04820?event_date=2026-08-01</t>
        </is>
      </c>
      <c r="O1643" s="2" t="inlineStr">
        <is>
          <t>https://kaspi.kz/shop/c/yoga%20straps/</t>
        </is>
      </c>
    </row>
    <row r="1644">
      <c r="A1644" s="2" t="n">
        <v>1643</v>
      </c>
      <c r="B1644" s="2" t="inlineStr">
        <is>
          <t>Система кондиционирования</t>
        </is>
      </c>
      <c r="C1644" s="2" t="inlineStr">
        <is>
          <t>Автотовары</t>
        </is>
      </c>
      <c r="D1644" s="2" t="inlineStr">
        <is>
          <t>Автотовары → Автозапчасти → Отопление и кондиционирование → Система кондиционирования</t>
        </is>
      </c>
      <c r="E1644" s="3" t="n">
        <v>235000</v>
      </c>
      <c r="F1644" s="3" t="n">
        <v>2</v>
      </c>
      <c r="G1644" s="3">
        <f>IFERROR(E1644/F1644,0)</f>
        <v/>
      </c>
      <c r="H1644" s="3" t="n">
        <v>2</v>
      </c>
      <c r="I1644" s="2" t="n">
        <v>1</v>
      </c>
      <c r="J1644" s="3">
        <f>IFERROR(E1644/H1644,0)</f>
        <v/>
      </c>
      <c r="K1644" s="10">
        <f>E1644/'По разделам'!$B$21</f>
        <v/>
      </c>
      <c r="L1644" s="4">
        <f>L1643+K1644</f>
        <v/>
      </c>
      <c r="M1644" s="2" t="inlineStr">
        <is>
          <t>07042</t>
        </is>
      </c>
      <c r="N1644" s="2" t="inlineStr">
        <is>
          <t>https://app.redstat.kz/niche/07042?event_date=2026-08-01</t>
        </is>
      </c>
      <c r="O1644" s="2" t="inlineStr">
        <is>
          <t>https://kaspi.kz/shop/c/air%20conditioning%20system/</t>
        </is>
      </c>
    </row>
    <row r="1645">
      <c r="A1645" s="2" t="n">
        <v>1644</v>
      </c>
      <c r="B1645" s="2" t="inlineStr">
        <is>
          <t>Грифели для карандашей</t>
        </is>
      </c>
      <c r="C1645" s="2" t="inlineStr">
        <is>
          <t>Канцелярские товары</t>
        </is>
      </c>
      <c r="D1645" s="2" t="inlineStr">
        <is>
          <t>Канцелярские товары → Письменные принадлежности → Грифели для карандашей</t>
        </is>
      </c>
      <c r="E1645" s="3" t="n">
        <v>234069</v>
      </c>
      <c r="F1645" s="3" t="n">
        <v>488</v>
      </c>
      <c r="G1645" s="3">
        <f>IFERROR(E1645/F1645,0)</f>
        <v/>
      </c>
      <c r="H1645" s="3" t="n">
        <v>46</v>
      </c>
      <c r="I1645" s="2" t="n">
        <v>14</v>
      </c>
      <c r="J1645" s="3">
        <f>IFERROR(E1645/H1645,0)</f>
        <v/>
      </c>
      <c r="K1645" s="10">
        <f>E1645/'По разделам'!$B$21</f>
        <v/>
      </c>
      <c r="L1645" s="4">
        <f>L1644+K1645</f>
        <v/>
      </c>
      <c r="M1645" s="2" t="inlineStr">
        <is>
          <t>06957</t>
        </is>
      </c>
      <c r="N1645" s="2" t="inlineStr">
        <is>
          <t>https://app.redstat.kz/niche/06957?event_date=2026-08-01</t>
        </is>
      </c>
      <c r="O1645" s="2" t="inlineStr">
        <is>
          <t>https://kaspi.kz/shop/c/leads/</t>
        </is>
      </c>
    </row>
    <row r="1646">
      <c r="A1646" s="2" t="n">
        <v>1645</v>
      </c>
      <c r="B1646" s="2" t="inlineStr">
        <is>
          <t>Кольца для пилатеса</t>
        </is>
      </c>
      <c r="C1646" s="2" t="inlineStr">
        <is>
          <t>Спорт, туризм</t>
        </is>
      </c>
      <c r="D1646" s="2" t="inlineStr">
        <is>
          <t>Спорт, туризм → Йога и пилатес → Кольца для пилатеса</t>
        </is>
      </c>
      <c r="E1646" s="3" t="n">
        <v>232464</v>
      </c>
      <c r="F1646" s="3" t="n">
        <v>35</v>
      </c>
      <c r="G1646" s="3">
        <f>IFERROR(E1646/F1646,0)</f>
        <v/>
      </c>
      <c r="H1646" s="3" t="n">
        <v>20</v>
      </c>
      <c r="I1646" s="2" t="n">
        <v>10</v>
      </c>
      <c r="J1646" s="3">
        <f>IFERROR(E1646/H1646,0)</f>
        <v/>
      </c>
      <c r="K1646" s="10">
        <f>E1646/'По разделам'!$B$21</f>
        <v/>
      </c>
      <c r="L1646" s="4">
        <f>L1645+K1646</f>
        <v/>
      </c>
      <c r="M1646" s="2" t="inlineStr">
        <is>
          <t>04084</t>
        </is>
      </c>
      <c r="N1646" s="2" t="inlineStr">
        <is>
          <t>https://app.redstat.kz/niche/04084?event_date=2026-08-01</t>
        </is>
      </c>
      <c r="O1646" s="2" t="inlineStr">
        <is>
          <t>https://kaspi.kz/shop/c/pilates%20rings/</t>
        </is>
      </c>
    </row>
    <row r="1647">
      <c r="A1647" s="2" t="n">
        <v>1646</v>
      </c>
      <c r="B1647" s="2" t="inlineStr">
        <is>
          <t>Домофоны</t>
        </is>
      </c>
      <c r="C1647" s="2" t="inlineStr">
        <is>
          <t>Строительство, ремонт</t>
        </is>
      </c>
      <c r="D1647" s="2" t="inlineStr">
        <is>
          <t>Строительство, ремонт → Системы безопасности → Домофоны и аксессуары → Домофоны</t>
        </is>
      </c>
      <c r="E1647" s="3" t="n">
        <v>230285</v>
      </c>
      <c r="F1647" s="3" t="n">
        <v>23</v>
      </c>
      <c r="G1647" s="3">
        <f>IFERROR(E1647/F1647,0)</f>
        <v/>
      </c>
      <c r="H1647" s="3" t="n">
        <v>11</v>
      </c>
      <c r="I1647" s="2" t="n">
        <v>3</v>
      </c>
      <c r="J1647" s="3">
        <f>IFERROR(E1647/H1647,0)</f>
        <v/>
      </c>
      <c r="K1647" s="10">
        <f>E1647/'По разделам'!$B$21</f>
        <v/>
      </c>
      <c r="L1647" s="4">
        <f>L1646+K1647</f>
        <v/>
      </c>
      <c r="M1647" s="2" t="inlineStr">
        <is>
          <t>05973</t>
        </is>
      </c>
      <c r="N1647" s="2" t="inlineStr">
        <is>
          <t>https://app.redstat.kz/niche/05973?event_date=2026-08-01</t>
        </is>
      </c>
      <c r="O1647" s="2" t="inlineStr">
        <is>
          <t>https://kaspi.kz/shop/c/intercoms/</t>
        </is>
      </c>
    </row>
    <row r="1648">
      <c r="A1648" s="2" t="n">
        <v>1647</v>
      </c>
      <c r="B1648" s="2" t="inlineStr">
        <is>
          <t>Грипсы для самокатов</t>
        </is>
      </c>
      <c r="C1648" s="2" t="inlineStr">
        <is>
          <t>Спорт, туризм</t>
        </is>
      </c>
      <c r="D1648" s="2" t="inlineStr">
        <is>
          <t>Спорт, туризм → Самокаты, гироскутеры, моноколеса → Грипсы для самокатов</t>
        </is>
      </c>
      <c r="E1648" s="3" t="n">
        <v>228167</v>
      </c>
      <c r="F1648" s="3" t="n">
        <v>67</v>
      </c>
      <c r="G1648" s="3">
        <f>IFERROR(E1648/F1648,0)</f>
        <v/>
      </c>
      <c r="H1648" s="3" t="n">
        <v>25</v>
      </c>
      <c r="I1648" s="2" t="n">
        <v>7</v>
      </c>
      <c r="J1648" s="3">
        <f>IFERROR(E1648/H1648,0)</f>
        <v/>
      </c>
      <c r="K1648" s="10">
        <f>E1648/'По разделам'!$B$21</f>
        <v/>
      </c>
      <c r="L1648" s="4">
        <f>L1647+K1648</f>
        <v/>
      </c>
      <c r="M1648" s="2" t="inlineStr">
        <is>
          <t>04226</t>
        </is>
      </c>
      <c r="N1648" s="2" t="inlineStr">
        <is>
          <t>https://app.redstat.kz/niche/04226?event_date=2026-08-01</t>
        </is>
      </c>
      <c r="O1648" s="2" t="inlineStr">
        <is>
          <t>https://kaspi.kz/shop/c/scooter%20grips/</t>
        </is>
      </c>
    </row>
    <row r="1649">
      <c r="A1649" s="2" t="n">
        <v>1648</v>
      </c>
      <c r="B1649" s="2" t="inlineStr">
        <is>
          <t>Багажники для лыж и сноубордов</t>
        </is>
      </c>
      <c r="C1649" s="2" t="inlineStr">
        <is>
          <t>Автотовары</t>
        </is>
      </c>
      <c r="D1649" s="2" t="inlineStr">
        <is>
          <t>Автотовары → Багажные системы → Багажники для лыж и сноубордов</t>
        </is>
      </c>
      <c r="E1649" s="3" t="n">
        <v>225900</v>
      </c>
      <c r="F1649" s="3" t="n">
        <v>6</v>
      </c>
      <c r="G1649" s="3">
        <f>IFERROR(E1649/F1649,0)</f>
        <v/>
      </c>
      <c r="H1649" s="3" t="n">
        <v>4</v>
      </c>
      <c r="I1649" s="2" t="n">
        <v>2</v>
      </c>
      <c r="J1649" s="3">
        <f>IFERROR(E1649/H1649,0)</f>
        <v/>
      </c>
      <c r="K1649" s="10">
        <f>E1649/'По разделам'!$B$21</f>
        <v/>
      </c>
      <c r="L1649" s="4">
        <f>L1648+K1649</f>
        <v/>
      </c>
      <c r="M1649" s="2" t="inlineStr">
        <is>
          <t>01150</t>
        </is>
      </c>
      <c r="N1649" s="2" t="inlineStr">
        <is>
          <t>https://app.redstat.kz/niche/01150?event_date=2026-08-01</t>
        </is>
      </c>
      <c r="O1649" s="2" t="inlineStr">
        <is>
          <t>https://kaspi.kz/shop/c/luggage%20ski%20and%20snowboard%20mounts/</t>
        </is>
      </c>
    </row>
    <row r="1650">
      <c r="A1650" s="2" t="n">
        <v>1649</v>
      </c>
      <c r="B1650" s="2" t="inlineStr">
        <is>
          <t>Инфракрасные сушки</t>
        </is>
      </c>
      <c r="C1650" s="2" t="inlineStr">
        <is>
          <t>Автотовары</t>
        </is>
      </c>
      <c r="D1650" s="2" t="inlineStr">
        <is>
          <t>Автотовары → Автосервисное оборудование → Инфракрасные сушки</t>
        </is>
      </c>
      <c r="E1650" s="3" t="n">
        <v>222591</v>
      </c>
      <c r="F1650" s="3" t="n">
        <v>6</v>
      </c>
      <c r="G1650" s="3">
        <f>IFERROR(E1650/F1650,0)</f>
        <v/>
      </c>
      <c r="H1650" s="3" t="n">
        <v>4</v>
      </c>
      <c r="I1650" s="2" t="n">
        <v>0</v>
      </c>
      <c r="J1650" s="3">
        <f>IFERROR(E1650/H1650,0)</f>
        <v/>
      </c>
      <c r="K1650" s="10">
        <f>E1650/'По разделам'!$B$21</f>
        <v/>
      </c>
      <c r="L1650" s="4">
        <f>L1649+K1650</f>
        <v/>
      </c>
      <c r="M1650" s="2" t="inlineStr">
        <is>
          <t>05576</t>
        </is>
      </c>
      <c r="N1650" s="2" t="inlineStr">
        <is>
          <t>https://app.redstat.kz/niche/05576?event_date=2026-08-01</t>
        </is>
      </c>
      <c r="O1650" s="2" t="inlineStr">
        <is>
          <t>https://kaspi.kz/shop/c/infrared%20dryers%20for%20car%20services/</t>
        </is>
      </c>
    </row>
    <row r="1651">
      <c r="A1651" s="2" t="n">
        <v>1650</v>
      </c>
      <c r="B1651" s="2" t="inlineStr">
        <is>
          <t>Простыни</t>
        </is>
      </c>
      <c r="C1651" s="2" t="inlineStr">
        <is>
          <t>Товары для дома и дачи</t>
        </is>
      </c>
      <c r="D1651" s="2" t="inlineStr">
        <is>
          <t>Товары для дома и дачи → Домашний текстиль → Постельное белье → Простыни</t>
        </is>
      </c>
      <c r="E1651" s="3" t="n">
        <v>221032</v>
      </c>
      <c r="F1651" s="3" t="n">
        <v>40</v>
      </c>
      <c r="G1651" s="3">
        <f>IFERROR(E1651/F1651,0)</f>
        <v/>
      </c>
      <c r="H1651" s="3" t="n">
        <v>28</v>
      </c>
      <c r="I1651" s="2" t="n">
        <v>12</v>
      </c>
      <c r="J1651" s="3">
        <f>IFERROR(E1651/H1651,0)</f>
        <v/>
      </c>
      <c r="K1651" s="10">
        <f>E1651/'По разделам'!$B$21</f>
        <v/>
      </c>
      <c r="L1651" s="4">
        <f>L1650+K1651</f>
        <v/>
      </c>
      <c r="M1651" s="2" t="inlineStr">
        <is>
          <t>00676</t>
        </is>
      </c>
      <c r="N1651" s="2" t="inlineStr">
        <is>
          <t>https://app.redstat.kz/niche/00676?event_date=2026-08-01</t>
        </is>
      </c>
      <c r="O1651" s="2" t="inlineStr">
        <is>
          <t>https://kaspi.kz/shop/c/bedsheets/</t>
        </is>
      </c>
    </row>
    <row r="1652">
      <c r="A1652" s="2" t="n">
        <v>1651</v>
      </c>
      <c r="B1652" s="2" t="inlineStr">
        <is>
          <t>Мотошлемы</t>
        </is>
      </c>
      <c r="C1652" s="2" t="inlineStr">
        <is>
          <t>Автотовары</t>
        </is>
      </c>
      <c r="D1652" s="2" t="inlineStr">
        <is>
          <t>Автотовары → Мототехника → Мотоэкипировка → Мотошлемы</t>
        </is>
      </c>
      <c r="E1652" s="3" t="n">
        <v>219998</v>
      </c>
      <c r="F1652" s="3" t="n">
        <v>3</v>
      </c>
      <c r="G1652" s="3">
        <f>IFERROR(E1652/F1652,0)</f>
        <v/>
      </c>
      <c r="H1652" s="3" t="n">
        <v>2</v>
      </c>
      <c r="I1652" s="2" t="n">
        <v>2</v>
      </c>
      <c r="J1652" s="3">
        <f>IFERROR(E1652/H1652,0)</f>
        <v/>
      </c>
      <c r="K1652" s="10">
        <f>E1652/'По разделам'!$B$21</f>
        <v/>
      </c>
      <c r="L1652" s="4">
        <f>L1651+K1652</f>
        <v/>
      </c>
      <c r="M1652" s="2" t="inlineStr">
        <is>
          <t>01338</t>
        </is>
      </c>
      <c r="N1652" s="2" t="inlineStr">
        <is>
          <t>https://app.redstat.kz/niche/01338?event_date=2026-08-01</t>
        </is>
      </c>
      <c r="O1652" s="2" t="inlineStr">
        <is>
          <t>https://kaspi.kz/shop/c/motorcycle%20helmets/</t>
        </is>
      </c>
    </row>
    <row r="1653">
      <c r="A1653" s="2" t="n">
        <v>1652</v>
      </c>
      <c r="B1653" s="2" t="inlineStr">
        <is>
          <t>Электрогрили</t>
        </is>
      </c>
      <c r="C1653" s="2" t="inlineStr">
        <is>
          <t>Бытовая техника</t>
        </is>
      </c>
      <c r="D1653" s="2" t="inlineStr">
        <is>
          <t>Бытовая техника → Мелкая техника для кухни → Печи и грили → Электрогрили</t>
        </is>
      </c>
      <c r="E1653" s="3" t="n">
        <v>217989</v>
      </c>
      <c r="F1653" s="3" t="n">
        <v>5</v>
      </c>
      <c r="G1653" s="3">
        <f>IFERROR(E1653/F1653,0)</f>
        <v/>
      </c>
      <c r="H1653" s="3" t="n">
        <v>5</v>
      </c>
      <c r="I1653" s="2" t="n">
        <v>4</v>
      </c>
      <c r="J1653" s="3">
        <f>IFERROR(E1653/H1653,0)</f>
        <v/>
      </c>
      <c r="K1653" s="10">
        <f>E1653/'По разделам'!$B$21</f>
        <v/>
      </c>
      <c r="L1653" s="4">
        <f>L1652+K1653</f>
        <v/>
      </c>
      <c r="M1653" s="2" t="inlineStr">
        <is>
          <t>03506</t>
        </is>
      </c>
      <c r="N1653" s="2" t="inlineStr">
        <is>
          <t>https://app.redstat.kz/niche/03506?event_date=2026-08-01</t>
        </is>
      </c>
      <c r="O1653" s="2" t="inlineStr">
        <is>
          <t>https://kaspi.kz/shop/c/grills/</t>
        </is>
      </c>
    </row>
    <row r="1654">
      <c r="A1654" s="2" t="n">
        <v>1653</v>
      </c>
      <c r="B1654" s="2" t="inlineStr">
        <is>
          <t>Домашняя обувь для мальчиков</t>
        </is>
      </c>
      <c r="C1654" s="2" t="inlineStr">
        <is>
          <t>Обувь</t>
        </is>
      </c>
      <c r="D1654" s="2" t="inlineStr">
        <is>
          <t>Обувь → Обувь для мальчиков → Домашняя обувь для мальчиков</t>
        </is>
      </c>
      <c r="E1654" s="3" t="n">
        <v>217021</v>
      </c>
      <c r="F1654" s="3" t="n">
        <v>81</v>
      </c>
      <c r="G1654" s="3">
        <f>IFERROR(E1654/F1654,0)</f>
        <v/>
      </c>
      <c r="H1654" s="3" t="n">
        <v>24</v>
      </c>
      <c r="I1654" s="2" t="n">
        <v>8</v>
      </c>
      <c r="J1654" s="3">
        <f>IFERROR(E1654/H1654,0)</f>
        <v/>
      </c>
      <c r="K1654" s="10">
        <f>E1654/'По разделам'!$B$21</f>
        <v/>
      </c>
      <c r="L1654" s="4">
        <f>L1653+K1654</f>
        <v/>
      </c>
      <c r="M1654" s="2" t="inlineStr">
        <is>
          <t>01291</t>
        </is>
      </c>
      <c r="N1654" s="2" t="inlineStr">
        <is>
          <t>https://app.redstat.kz/niche/01291?event_date=2026-08-01</t>
        </is>
      </c>
      <c r="O1654" s="2" t="inlineStr">
        <is>
          <t>https://kaspi.kz/shop/c/boy%20fashion%20slippers/</t>
        </is>
      </c>
    </row>
    <row r="1655">
      <c r="A1655" s="2" t="n">
        <v>1654</v>
      </c>
      <c r="B1655" s="2" t="inlineStr">
        <is>
          <t>Стальные канаты</t>
        </is>
      </c>
      <c r="C1655" s="2" t="inlineStr">
        <is>
          <t>Строительство, ремонт</t>
        </is>
      </c>
      <c r="D1655" s="2" t="inlineStr">
        <is>
          <t>Строительство, ремонт → Строительный крепеж → Стальные канаты</t>
        </is>
      </c>
      <c r="E1655" s="3" t="n">
        <v>215230</v>
      </c>
      <c r="F1655" s="3" t="n">
        <v>8</v>
      </c>
      <c r="G1655" s="3">
        <f>IFERROR(E1655/F1655,0)</f>
        <v/>
      </c>
      <c r="H1655" s="3" t="n">
        <v>3</v>
      </c>
      <c r="I1655" s="2" t="n">
        <v>3</v>
      </c>
      <c r="J1655" s="3">
        <f>IFERROR(E1655/H1655,0)</f>
        <v/>
      </c>
      <c r="K1655" s="10">
        <f>E1655/'По разделам'!$B$21</f>
        <v/>
      </c>
      <c r="L1655" s="4">
        <f>L1654+K1655</f>
        <v/>
      </c>
      <c r="M1655" s="2" t="inlineStr">
        <is>
          <t>07114</t>
        </is>
      </c>
      <c r="N1655" s="2" t="inlineStr">
        <is>
          <t>https://app.redstat.kz/niche/07114?event_date=2026-08-01</t>
        </is>
      </c>
      <c r="O1655" s="2" t="inlineStr">
        <is>
          <t>https://kaspi.kz/shop/c/steel%20ropes/</t>
        </is>
      </c>
    </row>
    <row r="1656">
      <c r="A1656" s="2" t="n">
        <v>1655</v>
      </c>
      <c r="B1656" s="2" t="inlineStr">
        <is>
          <t>Товары для декупажа</t>
        </is>
      </c>
      <c r="C1656" s="2" t="inlineStr">
        <is>
          <t>Досуг, книги</t>
        </is>
      </c>
      <c r="D1656" s="2" t="inlineStr">
        <is>
          <t>Досуг, книги → Хобби и творчество → Товары для декупажа → Товары для декупажа</t>
        </is>
      </c>
      <c r="E1656" s="3" t="n">
        <v>213863</v>
      </c>
      <c r="F1656" s="3" t="n">
        <v>63</v>
      </c>
      <c r="G1656" s="3">
        <f>IFERROR(E1656/F1656,0)</f>
        <v/>
      </c>
      <c r="H1656" s="3" t="n">
        <v>8</v>
      </c>
      <c r="I1656" s="2" t="n">
        <v>2</v>
      </c>
      <c r="J1656" s="3">
        <f>IFERROR(E1656/H1656,0)</f>
        <v/>
      </c>
      <c r="K1656" s="10">
        <f>E1656/'По разделам'!$B$21</f>
        <v/>
      </c>
      <c r="L1656" s="4">
        <f>L1655+K1656</f>
        <v/>
      </c>
      <c r="M1656" s="2" t="inlineStr">
        <is>
          <t>q8228feb229ed696</t>
        </is>
      </c>
      <c r="N1656" s="2" t="inlineStr">
        <is>
          <t>https://app.redstat.kz/niche/q8228feb229ed696?event_date=2026-08-01</t>
        </is>
      </c>
      <c r="O1656" s="2" t="inlineStr"/>
    </row>
    <row r="1657">
      <c r="A1657" s="2" t="n">
        <v>1656</v>
      </c>
      <c r="B1657" s="2" t="inlineStr">
        <is>
          <t>Искусственные растения, овощи и фрукты</t>
        </is>
      </c>
      <c r="C1657" s="2" t="inlineStr">
        <is>
          <t>Товары для дома и дачи</t>
        </is>
      </c>
      <c r="D1657" s="2" t="inlineStr">
        <is>
          <t>Товары для дома и дачи → Интерьер → Растения, деревья, вазы и горшки → Искусственные растения, овощи и фрукты</t>
        </is>
      </c>
      <c r="E1657" s="3" t="n">
        <v>213607</v>
      </c>
      <c r="F1657" s="3" t="n">
        <v>53</v>
      </c>
      <c r="G1657" s="3">
        <f>IFERROR(E1657/F1657,0)</f>
        <v/>
      </c>
      <c r="H1657" s="3" t="n">
        <v>34</v>
      </c>
      <c r="I1657" s="2" t="n">
        <v>13</v>
      </c>
      <c r="J1657" s="3">
        <f>IFERROR(E1657/H1657,0)</f>
        <v/>
      </c>
      <c r="K1657" s="10">
        <f>E1657/'По разделам'!$B$21</f>
        <v/>
      </c>
      <c r="L1657" s="4">
        <f>L1656+K1657</f>
        <v/>
      </c>
      <c r="M1657" s="2" t="inlineStr">
        <is>
          <t>02536</t>
        </is>
      </c>
      <c r="N1657" s="2" t="inlineStr">
        <is>
          <t>https://app.redstat.kz/niche/02536?event_date=2026-08-01</t>
        </is>
      </c>
      <c r="O1657" s="2" t="inlineStr">
        <is>
          <t>https://kaspi.kz/shop/c/artificial%20plants/</t>
        </is>
      </c>
    </row>
    <row r="1658">
      <c r="A1658" s="2" t="n">
        <v>1657</v>
      </c>
      <c r="B1658" s="2" t="inlineStr">
        <is>
          <t>Нагрузочные вилки</t>
        </is>
      </c>
      <c r="C1658" s="2" t="inlineStr">
        <is>
          <t>Автотовары</t>
        </is>
      </c>
      <c r="D1658" s="2" t="inlineStr">
        <is>
          <t>Автотовары → Автомобильное оборудование → Нагрузочные вилки</t>
        </is>
      </c>
      <c r="E1658" s="3" t="n">
        <v>212943</v>
      </c>
      <c r="F1658" s="3" t="n">
        <v>11</v>
      </c>
      <c r="G1658" s="3">
        <f>IFERROR(E1658/F1658,0)</f>
        <v/>
      </c>
      <c r="H1658" s="3" t="n">
        <v>8</v>
      </c>
      <c r="I1658" s="2" t="n">
        <v>7</v>
      </c>
      <c r="J1658" s="3">
        <f>IFERROR(E1658/H1658,0)</f>
        <v/>
      </c>
      <c r="K1658" s="10">
        <f>E1658/'По разделам'!$B$21</f>
        <v/>
      </c>
      <c r="L1658" s="4">
        <f>L1657+K1658</f>
        <v/>
      </c>
      <c r="M1658" s="2" t="inlineStr">
        <is>
          <t>04358</t>
        </is>
      </c>
      <c r="N1658" s="2" t="inlineStr">
        <is>
          <t>https://app.redstat.kz/niche/04358?event_date=2026-08-01</t>
        </is>
      </c>
      <c r="O1658" s="2" t="inlineStr">
        <is>
          <t>https://kaspi.kz/shop/c/load%20forks/</t>
        </is>
      </c>
    </row>
    <row r="1659">
      <c r="A1659" s="2" t="n">
        <v>1658</v>
      </c>
      <c r="B1659" s="2" t="inlineStr">
        <is>
          <t>Аксессуары для микроскопов</t>
        </is>
      </c>
      <c r="C1659" s="2" t="inlineStr">
        <is>
          <t>Досуг, книги</t>
        </is>
      </c>
      <c r="D1659" s="2" t="inlineStr">
        <is>
          <t>Досуг, книги → Оптические приборы → Аксессуары для микроскопов → Аксессуары для микроскопов</t>
        </is>
      </c>
      <c r="E1659" s="3" t="n">
        <v>211017</v>
      </c>
      <c r="F1659" s="3" t="n">
        <v>25</v>
      </c>
      <c r="G1659" s="3">
        <f>IFERROR(E1659/F1659,0)</f>
        <v/>
      </c>
      <c r="H1659" s="3" t="n">
        <v>15</v>
      </c>
      <c r="I1659" s="2" t="n">
        <v>3</v>
      </c>
      <c r="J1659" s="3">
        <f>IFERROR(E1659/H1659,0)</f>
        <v/>
      </c>
      <c r="K1659" s="10">
        <f>E1659/'По разделам'!$B$21</f>
        <v/>
      </c>
      <c r="L1659" s="4">
        <f>L1658+K1659</f>
        <v/>
      </c>
      <c r="M1659" s="2" t="inlineStr">
        <is>
          <t>q9ea146f6ac94a74</t>
        </is>
      </c>
      <c r="N1659" s="2" t="inlineStr">
        <is>
          <t>https://app.redstat.kz/niche/q9ea146f6ac94a74?event_date=2026-08-01</t>
        </is>
      </c>
      <c r="O1659" s="2" t="inlineStr"/>
    </row>
    <row r="1660">
      <c r="A1660" s="2" t="n">
        <v>1659</v>
      </c>
      <c r="B1660" s="2" t="inlineStr">
        <is>
          <t>Электрические паяльники и паяльные станции</t>
        </is>
      </c>
      <c r="C1660" s="2" t="inlineStr">
        <is>
          <t>Строительство, ремонт</t>
        </is>
      </c>
      <c r="D1660" s="2" t="inlineStr">
        <is>
          <t>Строительство, ремонт → Инструменты → Электрические паяльники и комплектующие → Электрические паяльники и паяльные станции</t>
        </is>
      </c>
      <c r="E1660" s="3" t="n">
        <v>209120</v>
      </c>
      <c r="F1660" s="3" t="n">
        <v>43</v>
      </c>
      <c r="G1660" s="3">
        <f>IFERROR(E1660/F1660,0)</f>
        <v/>
      </c>
      <c r="H1660" s="3" t="n">
        <v>19</v>
      </c>
      <c r="I1660" s="2" t="n">
        <v>11</v>
      </c>
      <c r="J1660" s="3">
        <f>IFERROR(E1660/H1660,0)</f>
        <v/>
      </c>
      <c r="K1660" s="10">
        <f>E1660/'По разделам'!$B$21</f>
        <v/>
      </c>
      <c r="L1660" s="4">
        <f>L1659+K1660</f>
        <v/>
      </c>
      <c r="M1660" s="2" t="inlineStr">
        <is>
          <t>04473</t>
        </is>
      </c>
      <c r="N1660" s="2" t="inlineStr">
        <is>
          <t>https://app.redstat.kz/niche/04473?event_date=2026-08-01</t>
        </is>
      </c>
      <c r="O1660" s="2" t="inlineStr">
        <is>
          <t>https://kaspi.kz/shop/c/electric%20soldering%20irons/</t>
        </is>
      </c>
    </row>
    <row r="1661">
      <c r="A1661" s="2" t="n">
        <v>1660</v>
      </c>
      <c r="B1661" s="2" t="inlineStr">
        <is>
          <t>OPS-компьютеры</t>
        </is>
      </c>
      <c r="C1661" s="2" t="inlineStr">
        <is>
          <t>Компьютеры</t>
        </is>
      </c>
      <c r="D1661" s="2" t="inlineStr">
        <is>
          <t>Компьютеры → Настольные компьютеры → OPS-компьютеры</t>
        </is>
      </c>
      <c r="E1661" s="3" t="n">
        <v>207012</v>
      </c>
      <c r="F1661" s="3" t="n">
        <v>4</v>
      </c>
      <c r="G1661" s="3">
        <f>IFERROR(E1661/F1661,0)</f>
        <v/>
      </c>
      <c r="H1661" s="3" t="n">
        <v>2</v>
      </c>
      <c r="I1661" s="2" t="n">
        <v>1</v>
      </c>
      <c r="J1661" s="3">
        <f>IFERROR(E1661/H1661,0)</f>
        <v/>
      </c>
      <c r="K1661" s="10">
        <f>E1661/'По разделам'!$B$21</f>
        <v/>
      </c>
      <c r="L1661" s="4">
        <f>L1660+K1661</f>
        <v/>
      </c>
      <c r="M1661" s="2" t="inlineStr">
        <is>
          <t>07209</t>
        </is>
      </c>
      <c r="N1661" s="2" t="inlineStr">
        <is>
          <t>https://app.redstat.kz/niche/07209?event_date=2026-08-01</t>
        </is>
      </c>
      <c r="O1661" s="2" t="inlineStr">
        <is>
          <t>https://kaspi.kz/shop/c/ops%20computers/</t>
        </is>
      </c>
    </row>
    <row r="1662">
      <c r="A1662" s="2" t="n">
        <v>1661</v>
      </c>
      <c r="B1662" s="2" t="inlineStr">
        <is>
          <t>Аксессуары для лебедок</t>
        </is>
      </c>
      <c r="C1662" s="2" t="inlineStr">
        <is>
          <t>Автотовары</t>
        </is>
      </c>
      <c r="D1662" s="2" t="inlineStr">
        <is>
          <t>Автотовары → Автомобильное оборудование → Аксессуары для лебедок</t>
        </is>
      </c>
      <c r="E1662" s="3" t="n">
        <v>204000</v>
      </c>
      <c r="F1662" s="3" t="n">
        <v>8</v>
      </c>
      <c r="G1662" s="3">
        <f>IFERROR(E1662/F1662,0)</f>
        <v/>
      </c>
      <c r="H1662" s="3" t="n">
        <v>6</v>
      </c>
      <c r="I1662" s="2" t="n">
        <v>5</v>
      </c>
      <c r="J1662" s="3">
        <f>IFERROR(E1662/H1662,0)</f>
        <v/>
      </c>
      <c r="K1662" s="10">
        <f>E1662/'По разделам'!$B$21</f>
        <v/>
      </c>
      <c r="L1662" s="4">
        <f>L1661+K1662</f>
        <v/>
      </c>
      <c r="M1662" s="2" t="inlineStr">
        <is>
          <t>07165</t>
        </is>
      </c>
      <c r="N1662" s="2" t="inlineStr">
        <is>
          <t>https://app.redstat.kz/niche/07165?event_date=2026-08-01</t>
        </is>
      </c>
      <c r="O1662" s="2" t="inlineStr">
        <is>
          <t>https://kaspi.kz/shop/c/accessories%20for%20winches/</t>
        </is>
      </c>
    </row>
    <row r="1663">
      <c r="A1663" s="2" t="n">
        <v>1662</v>
      </c>
      <c r="B1663" s="2" t="inlineStr">
        <is>
          <t>Шашки</t>
        </is>
      </c>
      <c r="C1663" s="2" t="inlineStr">
        <is>
          <t>Досуг, книги</t>
        </is>
      </c>
      <c r="D1663" s="2" t="inlineStr">
        <is>
          <t>Досуг, книги → Игры для компаний → Шашки</t>
        </is>
      </c>
      <c r="E1663" s="3" t="n">
        <v>203717</v>
      </c>
      <c r="F1663" s="3" t="n">
        <v>57</v>
      </c>
      <c r="G1663" s="3">
        <f>IFERROR(E1663/F1663,0)</f>
        <v/>
      </c>
      <c r="H1663" s="3" t="n">
        <v>19</v>
      </c>
      <c r="I1663" s="2" t="n">
        <v>8</v>
      </c>
      <c r="J1663" s="3">
        <f>IFERROR(E1663/H1663,0)</f>
        <v/>
      </c>
      <c r="K1663" s="10">
        <f>E1663/'По разделам'!$B$21</f>
        <v/>
      </c>
      <c r="L1663" s="4">
        <f>L1662+K1663</f>
        <v/>
      </c>
      <c r="M1663" s="2" t="inlineStr">
        <is>
          <t>02347</t>
        </is>
      </c>
      <c r="N1663" s="2" t="inlineStr">
        <is>
          <t>https://app.redstat.kz/niche/02347?event_date=2026-08-01</t>
        </is>
      </c>
      <c r="O1663" s="2" t="inlineStr">
        <is>
          <t>https://kaspi.kz/shop/c/checkers/</t>
        </is>
      </c>
    </row>
    <row r="1664">
      <c r="A1664" s="2" t="n">
        <v>1663</v>
      </c>
      <c r="B1664" s="2" t="inlineStr">
        <is>
          <t>Сетевые карты</t>
        </is>
      </c>
      <c r="C1664" s="2" t="inlineStr">
        <is>
          <t>Компьютеры</t>
        </is>
      </c>
      <c r="D1664" s="2" t="inlineStr">
        <is>
          <t>Компьютеры → Сетевое оборудование → Другое сетевое оборудование → Сетевые карты</t>
        </is>
      </c>
      <c r="E1664" s="3" t="n">
        <v>202307</v>
      </c>
      <c r="F1664" s="3" t="n">
        <v>9</v>
      </c>
      <c r="G1664" s="3">
        <f>IFERROR(E1664/F1664,0)</f>
        <v/>
      </c>
      <c r="H1664" s="3" t="n">
        <v>7</v>
      </c>
      <c r="I1664" s="2" t="n">
        <v>2</v>
      </c>
      <c r="J1664" s="3">
        <f>IFERROR(E1664/H1664,0)</f>
        <v/>
      </c>
      <c r="K1664" s="10">
        <f>E1664/'По разделам'!$B$21</f>
        <v/>
      </c>
      <c r="L1664" s="4">
        <f>L1663+K1664</f>
        <v/>
      </c>
      <c r="M1664" s="2" t="inlineStr">
        <is>
          <t>04424</t>
        </is>
      </c>
      <c r="N1664" s="2" t="inlineStr">
        <is>
          <t>https://app.redstat.kz/niche/04424?event_date=2026-08-01</t>
        </is>
      </c>
      <c r="O1664" s="2" t="inlineStr">
        <is>
          <t>https://kaspi.kz/shop/c/network%20cards/</t>
        </is>
      </c>
    </row>
    <row r="1665">
      <c r="A1665" s="2" t="n">
        <v>1664</v>
      </c>
      <c r="B1665" s="2" t="inlineStr">
        <is>
          <t>Ногавки для лошадей</t>
        </is>
      </c>
      <c r="C1665" s="2" t="inlineStr">
        <is>
          <t>Спорт, туризм</t>
        </is>
      </c>
      <c r="D1665" s="2" t="inlineStr">
        <is>
          <t>Спорт, туризм → Конный спорт → Ногавки для лошадей</t>
        </is>
      </c>
      <c r="E1665" s="3" t="n">
        <v>201263</v>
      </c>
      <c r="F1665" s="3" t="n">
        <v>17</v>
      </c>
      <c r="G1665" s="3">
        <f>IFERROR(E1665/F1665,0)</f>
        <v/>
      </c>
      <c r="H1665" s="3" t="n">
        <v>11</v>
      </c>
      <c r="I1665" s="2" t="n">
        <v>0</v>
      </c>
      <c r="J1665" s="3">
        <f>IFERROR(E1665/H1665,0)</f>
        <v/>
      </c>
      <c r="K1665" s="10">
        <f>E1665/'По разделам'!$B$21</f>
        <v/>
      </c>
      <c r="L1665" s="4">
        <f>L1664+K1665</f>
        <v/>
      </c>
      <c r="M1665" s="2" t="inlineStr">
        <is>
          <t>06780</t>
        </is>
      </c>
      <c r="N1665" s="2" t="inlineStr">
        <is>
          <t>https://app.redstat.kz/niche/06780?event_date=2026-08-01</t>
        </is>
      </c>
      <c r="O1665" s="2" t="inlineStr">
        <is>
          <t>https://kaspi.kz/shop/c/legs%20protection%20for%20horses/</t>
        </is>
      </c>
    </row>
    <row r="1666">
      <c r="A1666" s="2" t="n">
        <v>1665</v>
      </c>
      <c r="B1666" s="2" t="inlineStr">
        <is>
          <t>Головка блока цилиндров и комплектующие</t>
        </is>
      </c>
      <c r="C1666" s="2" t="inlineStr">
        <is>
          <t>Автотовары</t>
        </is>
      </c>
      <c r="D1666" s="2" t="inlineStr">
        <is>
          <t>Автотовары → Автозапчасти → Двигатель → Головка блока цилиндров и комплектующие</t>
        </is>
      </c>
      <c r="E1666" s="3" t="n">
        <v>200000</v>
      </c>
      <c r="F1666" s="3" t="n">
        <v>1</v>
      </c>
      <c r="G1666" s="3">
        <f>IFERROR(E1666/F1666,0)</f>
        <v/>
      </c>
      <c r="H1666" s="3" t="n">
        <v>1</v>
      </c>
      <c r="I1666" s="2" t="n">
        <v>1</v>
      </c>
      <c r="J1666" s="3">
        <f>IFERROR(E1666/H1666,0)</f>
        <v/>
      </c>
      <c r="K1666" s="10">
        <f>E1666/'По разделам'!$B$21</f>
        <v/>
      </c>
      <c r="L1666" s="4">
        <f>L1665+K1666</f>
        <v/>
      </c>
      <c r="M1666" s="2" t="inlineStr">
        <is>
          <t>07358</t>
        </is>
      </c>
      <c r="N1666" s="2" t="inlineStr">
        <is>
          <t>https://app.redstat.kz/niche/07358?event_date=2026-08-01</t>
        </is>
      </c>
      <c r="O1666" s="2" t="inlineStr">
        <is>
          <t>https://kaspi.kz/shop/c/cylinder%20head%20and%20components/</t>
        </is>
      </c>
    </row>
    <row r="1667">
      <c r="A1667" s="2" t="n">
        <v>1666</v>
      </c>
      <c r="B1667" s="2" t="inlineStr">
        <is>
          <t>Съемники стопорных колец</t>
        </is>
      </c>
      <c r="C1667" s="2" t="inlineStr">
        <is>
          <t>Автотовары</t>
        </is>
      </c>
      <c r="D1667" s="2" t="inlineStr">
        <is>
          <t>Автотовары → Автоинструменты → Съемники стопорных колец</t>
        </is>
      </c>
      <c r="E1667" s="3" t="n">
        <v>199688</v>
      </c>
      <c r="F1667" s="3" t="n">
        <v>43</v>
      </c>
      <c r="G1667" s="3">
        <f>IFERROR(E1667/F1667,0)</f>
        <v/>
      </c>
      <c r="H1667" s="3" t="n">
        <v>13</v>
      </c>
      <c r="I1667" s="2" t="n">
        <v>12</v>
      </c>
      <c r="J1667" s="3">
        <f>IFERROR(E1667/H1667,0)</f>
        <v/>
      </c>
      <c r="K1667" s="10">
        <f>E1667/'По разделам'!$B$21</f>
        <v/>
      </c>
      <c r="L1667" s="4">
        <f>L1666+K1667</f>
        <v/>
      </c>
      <c r="M1667" s="2" t="inlineStr">
        <is>
          <t>04330</t>
        </is>
      </c>
      <c r="N1667" s="2" t="inlineStr">
        <is>
          <t>https://app.redstat.kz/niche/04330?event_date=2026-08-01</t>
        </is>
      </c>
      <c r="O1667" s="2" t="inlineStr">
        <is>
          <t>https://kaspi.kz/shop/c/circlip%20removers/</t>
        </is>
      </c>
    </row>
    <row r="1668">
      <c r="A1668" s="2" t="n">
        <v>1667</v>
      </c>
      <c r="B1668" s="2" t="inlineStr">
        <is>
          <t>Ледоступы альпинистские</t>
        </is>
      </c>
      <c r="C1668" s="2" t="inlineStr">
        <is>
          <t>Спорт, туризм</t>
        </is>
      </c>
      <c r="D1668" s="2" t="inlineStr">
        <is>
          <t>Спорт, туризм → Альпинизм и скалолазание → Ледоступы альпинистские</t>
        </is>
      </c>
      <c r="E1668" s="3" t="n">
        <v>199675</v>
      </c>
      <c r="F1668" s="3" t="n">
        <v>48</v>
      </c>
      <c r="G1668" s="3">
        <f>IFERROR(E1668/F1668,0)</f>
        <v/>
      </c>
      <c r="H1668" s="3" t="n">
        <v>20</v>
      </c>
      <c r="I1668" s="2" t="n">
        <v>8</v>
      </c>
      <c r="J1668" s="3">
        <f>IFERROR(E1668/H1668,0)</f>
        <v/>
      </c>
      <c r="K1668" s="10">
        <f>E1668/'По разделам'!$B$21</f>
        <v/>
      </c>
      <c r="L1668" s="4">
        <f>L1667+K1668</f>
        <v/>
      </c>
      <c r="M1668" s="2" t="inlineStr">
        <is>
          <t>02805</t>
        </is>
      </c>
      <c r="N1668" s="2" t="inlineStr">
        <is>
          <t>https://app.redstat.kz/niche/02805?event_date=2026-08-01</t>
        </is>
      </c>
      <c r="O1668" s="2" t="inlineStr">
        <is>
          <t>https://kaspi.kz/shop/c/ice%20climbing%20grips/</t>
        </is>
      </c>
    </row>
    <row r="1669">
      <c r="A1669" s="2" t="n">
        <v>1668</v>
      </c>
      <c r="B1669" s="2" t="inlineStr">
        <is>
          <t>Блоки питания для ноутбуков</t>
        </is>
      </c>
      <c r="C1669" s="2" t="inlineStr">
        <is>
          <t>Компьютеры</t>
        </is>
      </c>
      <c r="D1669" s="2" t="inlineStr">
        <is>
          <t>Компьютеры → Ноутбуки и аксессуары → Аксессуары для ноутбуков → Блоки питания для ноутбуков</t>
        </is>
      </c>
      <c r="E1669" s="3" t="n">
        <v>195193</v>
      </c>
      <c r="F1669" s="3" t="n">
        <v>17</v>
      </c>
      <c r="G1669" s="3">
        <f>IFERROR(E1669/F1669,0)</f>
        <v/>
      </c>
      <c r="H1669" s="3" t="n">
        <v>13</v>
      </c>
      <c r="I1669" s="2" t="n">
        <v>6</v>
      </c>
      <c r="J1669" s="3">
        <f>IFERROR(E1669/H1669,0)</f>
        <v/>
      </c>
      <c r="K1669" s="10">
        <f>E1669/'По разделам'!$B$21</f>
        <v/>
      </c>
      <c r="L1669" s="4">
        <f>L1668+K1669</f>
        <v/>
      </c>
      <c r="M1669" s="2" t="inlineStr">
        <is>
          <t>01741</t>
        </is>
      </c>
      <c r="N1669" s="2" t="inlineStr">
        <is>
          <t>https://app.redstat.kz/niche/01741?event_date=2026-08-01</t>
        </is>
      </c>
      <c r="O1669" s="2" t="inlineStr">
        <is>
          <t>https://kaspi.kz/shop/c/laptop%20chargers/</t>
        </is>
      </c>
    </row>
    <row r="1670">
      <c r="A1670" s="2" t="n">
        <v>1669</v>
      </c>
      <c r="B1670" s="2" t="inlineStr">
        <is>
          <t>Вальтрапы для лошадей</t>
        </is>
      </c>
      <c r="C1670" s="2" t="inlineStr">
        <is>
          <t>Спорт, туризм</t>
        </is>
      </c>
      <c r="D1670" s="2" t="inlineStr">
        <is>
          <t>Спорт, туризм → Конный спорт → Вальтрапы для лошадей</t>
        </is>
      </c>
      <c r="E1670" s="3" t="n">
        <v>194819</v>
      </c>
      <c r="F1670" s="3" t="n">
        <v>25</v>
      </c>
      <c r="G1670" s="3">
        <f>IFERROR(E1670/F1670,0)</f>
        <v/>
      </c>
      <c r="H1670" s="3" t="n">
        <v>13</v>
      </c>
      <c r="I1670" s="2" t="n">
        <v>0</v>
      </c>
      <c r="J1670" s="3">
        <f>IFERROR(E1670/H1670,0)</f>
        <v/>
      </c>
      <c r="K1670" s="10">
        <f>E1670/'По разделам'!$B$21</f>
        <v/>
      </c>
      <c r="L1670" s="4">
        <f>L1669+K1670</f>
        <v/>
      </c>
      <c r="M1670" s="2" t="inlineStr">
        <is>
          <t>06778</t>
        </is>
      </c>
      <c r="N1670" s="2" t="inlineStr">
        <is>
          <t>https://app.redstat.kz/niche/06778?event_date=2026-08-01</t>
        </is>
      </c>
      <c r="O1670" s="2" t="inlineStr">
        <is>
          <t>https://kaspi.kz/shop/c/saddle%20pads%20for%20horses/</t>
        </is>
      </c>
    </row>
    <row r="1671">
      <c r="A1671" s="2" t="n">
        <v>1670</v>
      </c>
      <c r="B1671" s="2" t="inlineStr">
        <is>
          <t>Предметы сервировки</t>
        </is>
      </c>
      <c r="C1671" s="2" t="inlineStr">
        <is>
          <t>Товары для дома и дачи</t>
        </is>
      </c>
      <c r="D1671" s="2" t="inlineStr">
        <is>
          <t>Товары для дома и дачи → Посуда и принадлежности → Сервировка стола → Предметы сервировки</t>
        </is>
      </c>
      <c r="E1671" s="3" t="n">
        <v>194794</v>
      </c>
      <c r="F1671" s="3" t="n">
        <v>35</v>
      </c>
      <c r="G1671" s="3">
        <f>IFERROR(E1671/F1671,0)</f>
        <v/>
      </c>
      <c r="H1671" s="3" t="n">
        <v>20</v>
      </c>
      <c r="I1671" s="2" t="n">
        <v>8</v>
      </c>
      <c r="J1671" s="3">
        <f>IFERROR(E1671/H1671,0)</f>
        <v/>
      </c>
      <c r="K1671" s="10">
        <f>E1671/'По разделам'!$B$21</f>
        <v/>
      </c>
      <c r="L1671" s="4">
        <f>L1670+K1671</f>
        <v/>
      </c>
      <c r="M1671" s="2" t="inlineStr">
        <is>
          <t>03327</t>
        </is>
      </c>
      <c r="N1671" s="2" t="inlineStr">
        <is>
          <t>https://app.redstat.kz/niche/03327?event_date=2026-08-01</t>
        </is>
      </c>
      <c r="O1671" s="2" t="inlineStr">
        <is>
          <t>https://kaspi.kz/shop/c/serving%20items/</t>
        </is>
      </c>
    </row>
    <row r="1672">
      <c r="A1672" s="2" t="n">
        <v>1671</v>
      </c>
      <c r="B1672" s="2" t="inlineStr">
        <is>
          <t>Стремена для верховой езды</t>
        </is>
      </c>
      <c r="C1672" s="2" t="inlineStr">
        <is>
          <t>Спорт, туризм</t>
        </is>
      </c>
      <c r="D1672" s="2" t="inlineStr">
        <is>
          <t>Спорт, туризм → Конный спорт → Стремена для верховой езды</t>
        </is>
      </c>
      <c r="E1672" s="3" t="n">
        <v>190578</v>
      </c>
      <c r="F1672" s="3" t="n">
        <v>16</v>
      </c>
      <c r="G1672" s="3">
        <f>IFERROR(E1672/F1672,0)</f>
        <v/>
      </c>
      <c r="H1672" s="3" t="n">
        <v>7</v>
      </c>
      <c r="I1672" s="2" t="n">
        <v>1</v>
      </c>
      <c r="J1672" s="3">
        <f>IFERROR(E1672/H1672,0)</f>
        <v/>
      </c>
      <c r="K1672" s="10">
        <f>E1672/'По разделам'!$B$21</f>
        <v/>
      </c>
      <c r="L1672" s="4">
        <f>L1671+K1672</f>
        <v/>
      </c>
      <c r="M1672" s="2" t="inlineStr">
        <is>
          <t>06857</t>
        </is>
      </c>
      <c r="N1672" s="2" t="inlineStr">
        <is>
          <t>https://app.redstat.kz/niche/06857?event_date=2026-08-01</t>
        </is>
      </c>
      <c r="O1672" s="2" t="inlineStr">
        <is>
          <t>https://kaspi.kz/shop/c/riding%20stirrups/</t>
        </is>
      </c>
    </row>
    <row r="1673">
      <c r="A1673" s="2" t="n">
        <v>1672</v>
      </c>
      <c r="B1673" s="2" t="inlineStr">
        <is>
          <t>Блоки розжига</t>
        </is>
      </c>
      <c r="C1673" s="2" t="inlineStr">
        <is>
          <t>Автотовары</t>
        </is>
      </c>
      <c r="D1673" s="2" t="inlineStr">
        <is>
          <t>Автотовары → Автомобильное освещение → Блоки розжига</t>
        </is>
      </c>
      <c r="E1673" s="3" t="n">
        <v>187839</v>
      </c>
      <c r="F1673" s="3" t="n">
        <v>20</v>
      </c>
      <c r="G1673" s="3">
        <f>IFERROR(E1673/F1673,0)</f>
        <v/>
      </c>
      <c r="H1673" s="3" t="n">
        <v>9</v>
      </c>
      <c r="I1673" s="2" t="n">
        <v>6</v>
      </c>
      <c r="J1673" s="3">
        <f>IFERROR(E1673/H1673,0)</f>
        <v/>
      </c>
      <c r="K1673" s="10">
        <f>E1673/'По разделам'!$B$21</f>
        <v/>
      </c>
      <c r="L1673" s="4">
        <f>L1672+K1673</f>
        <v/>
      </c>
      <c r="M1673" s="2" t="inlineStr">
        <is>
          <t>05215</t>
        </is>
      </c>
      <c r="N1673" s="2" t="inlineStr">
        <is>
          <t>https://app.redstat.kz/niche/05215?event_date=2026-08-01</t>
        </is>
      </c>
      <c r="O1673" s="2" t="inlineStr">
        <is>
          <t>https://kaspi.kz/shop/c/ignition%20blocks/</t>
        </is>
      </c>
    </row>
    <row r="1674">
      <c r="A1674" s="2" t="n">
        <v>1673</v>
      </c>
      <c r="B1674" s="2" t="inlineStr">
        <is>
          <t>Запчасти для смартфонов</t>
        </is>
      </c>
      <c r="C1674" s="2" t="inlineStr">
        <is>
          <t>Телефоны и гаджеты</t>
        </is>
      </c>
      <c r="D1674" s="2" t="inlineStr">
        <is>
          <t>Телефоны и гаджеты → Аксессуары для телефонов → Запчасти для смартфонов</t>
        </is>
      </c>
      <c r="E1674" s="3" t="n">
        <v>183980</v>
      </c>
      <c r="F1674" s="3" t="n">
        <v>38</v>
      </c>
      <c r="G1674" s="3">
        <f>IFERROR(E1674/F1674,0)</f>
        <v/>
      </c>
      <c r="H1674" s="3" t="n">
        <v>31</v>
      </c>
      <c r="I1674" s="2" t="n">
        <v>1</v>
      </c>
      <c r="J1674" s="3">
        <f>IFERROR(E1674/H1674,0)</f>
        <v/>
      </c>
      <c r="K1674" s="10">
        <f>E1674/'По разделам'!$B$21</f>
        <v/>
      </c>
      <c r="L1674" s="4">
        <f>L1673+K1674</f>
        <v/>
      </c>
      <c r="M1674" s="2" t="inlineStr">
        <is>
          <t>09297</t>
        </is>
      </c>
      <c r="N1674" s="2" t="inlineStr">
        <is>
          <t>https://app.redstat.kz/niche/09297?event_date=2026-08-01</t>
        </is>
      </c>
      <c r="O1674" s="2" t="inlineStr">
        <is>
          <t>https://kaspi.kz/shop/search/?text=%D0%97%D0%B0%D0%BF%D1%87%D0%B0%D1%81%D1%82%D0%B8%20%D0%B4%D0%BB%D1%8F%20%D1%81%D0%BC%D0%B0%D1%80%D1%82%D1%84%D0%BE%D0%BD%D0%BE%D0%B2</t>
        </is>
      </c>
    </row>
    <row r="1675">
      <c r="A1675" s="2" t="n">
        <v>1674</v>
      </c>
      <c r="B1675" s="2" t="inlineStr">
        <is>
          <t>Наборы крепежа</t>
        </is>
      </c>
      <c r="C1675" s="2" t="inlineStr">
        <is>
          <t>Строительство, ремонт</t>
        </is>
      </c>
      <c r="D1675" s="2" t="inlineStr">
        <is>
          <t>Строительство, ремонт → Строительный крепеж → Наборы крепежа</t>
        </is>
      </c>
      <c r="E1675" s="3" t="n">
        <v>180409</v>
      </c>
      <c r="F1675" s="3" t="n">
        <v>87</v>
      </c>
      <c r="G1675" s="3">
        <f>IFERROR(E1675/F1675,0)</f>
        <v/>
      </c>
      <c r="H1675" s="3" t="n">
        <v>13</v>
      </c>
      <c r="I1675" s="2" t="n">
        <v>7</v>
      </c>
      <c r="J1675" s="3">
        <f>IFERROR(E1675/H1675,0)</f>
        <v/>
      </c>
      <c r="K1675" s="10">
        <f>E1675/'По разделам'!$B$21</f>
        <v/>
      </c>
      <c r="L1675" s="4">
        <f>L1674+K1675</f>
        <v/>
      </c>
      <c r="M1675" s="2" t="inlineStr">
        <is>
          <t>07257</t>
        </is>
      </c>
      <c r="N1675" s="2" t="inlineStr">
        <is>
          <t>https://app.redstat.kz/niche/07257?event_date=2026-08-01</t>
        </is>
      </c>
      <c r="O1675" s="2" t="inlineStr">
        <is>
          <t>https://kaspi.kz/shop/c/fastening%20kits/</t>
        </is>
      </c>
    </row>
    <row r="1676">
      <c r="A1676" s="2" t="n">
        <v>1675</v>
      </c>
      <c r="B1676" s="2" t="inlineStr">
        <is>
          <t>Окрасочные аппараты</t>
        </is>
      </c>
      <c r="C1676" s="2" t="inlineStr">
        <is>
          <t>Строительство, ремонт</t>
        </is>
      </c>
      <c r="D1676" s="2" t="inlineStr">
        <is>
          <t>Строительство, ремонт → Строительное оборудование → Малярное оборудование → Окрасочные аппараты</t>
        </is>
      </c>
      <c r="E1676" s="3" t="n">
        <v>180000</v>
      </c>
      <c r="F1676" s="3" t="n">
        <v>6</v>
      </c>
      <c r="G1676" s="3">
        <f>IFERROR(E1676/F1676,0)</f>
        <v/>
      </c>
      <c r="H1676" s="3" t="n">
        <v>1</v>
      </c>
      <c r="I1676" s="2" t="n">
        <v>1</v>
      </c>
      <c r="J1676" s="3">
        <f>IFERROR(E1676/H1676,0)</f>
        <v/>
      </c>
      <c r="K1676" s="10">
        <f>E1676/'По разделам'!$B$21</f>
        <v/>
      </c>
      <c r="L1676" s="4">
        <f>L1675+K1676</f>
        <v/>
      </c>
      <c r="M1676" s="2" t="inlineStr">
        <is>
          <t>05017</t>
        </is>
      </c>
      <c r="N1676" s="2" t="inlineStr">
        <is>
          <t>https://app.redstat.kz/niche/05017?event_date=2026-08-01</t>
        </is>
      </c>
      <c r="O1676" s="2" t="inlineStr">
        <is>
          <t>https://kaspi.kz/shop/c/painting%20machines/</t>
        </is>
      </c>
    </row>
    <row r="1677">
      <c r="A1677" s="2" t="n">
        <v>1676</v>
      </c>
      <c r="B1677" s="2" t="inlineStr">
        <is>
          <t>Шторы для ванной</t>
        </is>
      </c>
      <c r="C1677" s="2" t="inlineStr">
        <is>
          <t>Товары для дома и дачи</t>
        </is>
      </c>
      <c r="D1677" s="2" t="inlineStr">
        <is>
          <t>Товары для дома и дачи → Хозяйственные товары → Аксессуары для ванной и туалета → Шторы для ванной</t>
        </is>
      </c>
      <c r="E1677" s="3" t="n">
        <v>179539</v>
      </c>
      <c r="F1677" s="3" t="n">
        <v>30</v>
      </c>
      <c r="G1677" s="3">
        <f>IFERROR(E1677/F1677,0)</f>
        <v/>
      </c>
      <c r="H1677" s="3" t="n">
        <v>14</v>
      </c>
      <c r="I1677" s="2" t="n">
        <v>4</v>
      </c>
      <c r="J1677" s="3">
        <f>IFERROR(E1677/H1677,0)</f>
        <v/>
      </c>
      <c r="K1677" s="10">
        <f>E1677/'По разделам'!$B$21</f>
        <v/>
      </c>
      <c r="L1677" s="4">
        <f>L1676+K1677</f>
        <v/>
      </c>
      <c r="M1677" s="2" t="inlineStr">
        <is>
          <t>05421</t>
        </is>
      </c>
      <c r="N1677" s="2" t="inlineStr">
        <is>
          <t>https://app.redstat.kz/niche/05421?event_date=2026-08-01</t>
        </is>
      </c>
      <c r="O1677" s="2" t="inlineStr">
        <is>
          <t>https://kaspi.kz/shop/c/shower%20curtain/</t>
        </is>
      </c>
    </row>
    <row r="1678">
      <c r="A1678" s="2" t="n">
        <v>1677</v>
      </c>
      <c r="B1678" s="2" t="inlineStr">
        <is>
          <t>Диспенсеры и дозаторы</t>
        </is>
      </c>
      <c r="C1678" s="2" t="inlineStr">
        <is>
          <t>Товары для дома и дачи</t>
        </is>
      </c>
      <c r="D1678" s="2" t="inlineStr">
        <is>
          <t>Товары для дома и дачи → Хозяйственные товары → Аксессуары для ванной и туалета → Диспенсеры и дозаторы</t>
        </is>
      </c>
      <c r="E1678" s="3" t="n">
        <v>179475</v>
      </c>
      <c r="F1678" s="3" t="n">
        <v>23</v>
      </c>
      <c r="G1678" s="3">
        <f>IFERROR(E1678/F1678,0)</f>
        <v/>
      </c>
      <c r="H1678" s="3" t="n">
        <v>15</v>
      </c>
      <c r="I1678" s="2" t="n">
        <v>10</v>
      </c>
      <c r="J1678" s="3">
        <f>IFERROR(E1678/H1678,0)</f>
        <v/>
      </c>
      <c r="K1678" s="10">
        <f>E1678/'По разделам'!$B$21</f>
        <v/>
      </c>
      <c r="L1678" s="4">
        <f>L1677+K1678</f>
        <v/>
      </c>
      <c r="M1678" s="2" t="inlineStr">
        <is>
          <t>06072</t>
        </is>
      </c>
      <c r="N1678" s="2" t="inlineStr">
        <is>
          <t>https://app.redstat.kz/niche/06072?event_date=2026-08-01</t>
        </is>
      </c>
      <c r="O1678" s="2" t="inlineStr">
        <is>
          <t>https://kaspi.kz/shop/c/bathroom%20and%20toilet%20dispensers/</t>
        </is>
      </c>
    </row>
    <row r="1679">
      <c r="A1679" s="2" t="n">
        <v>1678</v>
      </c>
      <c r="B1679" s="2" t="inlineStr">
        <is>
          <t>Прочие детали кузова</t>
        </is>
      </c>
      <c r="C1679" s="2" t="inlineStr">
        <is>
          <t>Автотовары</t>
        </is>
      </c>
      <c r="D1679" s="2" t="inlineStr">
        <is>
          <t>Автотовары → Автозапчасти → Кузовные детали → Прочие детали кузова</t>
        </is>
      </c>
      <c r="E1679" s="3" t="n">
        <v>178572</v>
      </c>
      <c r="F1679" s="3" t="n">
        <v>23</v>
      </c>
      <c r="G1679" s="3">
        <f>IFERROR(E1679/F1679,0)</f>
        <v/>
      </c>
      <c r="H1679" s="3" t="n">
        <v>11</v>
      </c>
      <c r="I1679" s="2" t="n">
        <v>7</v>
      </c>
      <c r="J1679" s="3">
        <f>IFERROR(E1679/H1679,0)</f>
        <v/>
      </c>
      <c r="K1679" s="10">
        <f>E1679/'По разделам'!$B$21</f>
        <v/>
      </c>
      <c r="L1679" s="4">
        <f>L1678+K1679</f>
        <v/>
      </c>
      <c r="M1679" s="2" t="inlineStr">
        <is>
          <t>04458</t>
        </is>
      </c>
      <c r="N1679" s="2" t="inlineStr">
        <is>
          <t>https://app.redstat.kz/niche/04458?event_date=2026-08-01</t>
        </is>
      </c>
      <c r="O1679" s="2" t="inlineStr">
        <is>
          <t>https://kaspi.kz/shop/c/other%20car%20body%20parts/</t>
        </is>
      </c>
    </row>
    <row r="1680">
      <c r="A1680" s="2" t="n">
        <v>1679</v>
      </c>
      <c r="B1680" s="2" t="inlineStr">
        <is>
          <t>Сифоны</t>
        </is>
      </c>
      <c r="C1680" s="2" t="inlineStr">
        <is>
          <t>Строительство, ремонт</t>
        </is>
      </c>
      <c r="D1680" s="2" t="inlineStr">
        <is>
          <t>Строительство, ремонт → Сантехника → Сифоны и трапы → Сифоны</t>
        </is>
      </c>
      <c r="E1680" s="3" t="n">
        <v>176761</v>
      </c>
      <c r="F1680" s="3" t="n">
        <v>54</v>
      </c>
      <c r="G1680" s="3">
        <f>IFERROR(E1680/F1680,0)</f>
        <v/>
      </c>
      <c r="H1680" s="3" t="n">
        <v>19</v>
      </c>
      <c r="I1680" s="2" t="n">
        <v>7</v>
      </c>
      <c r="J1680" s="3">
        <f>IFERROR(E1680/H1680,0)</f>
        <v/>
      </c>
      <c r="K1680" s="10">
        <f>E1680/'По разделам'!$B$21</f>
        <v/>
      </c>
      <c r="L1680" s="4">
        <f>L1679+K1680</f>
        <v/>
      </c>
      <c r="M1680" s="2" t="inlineStr">
        <is>
          <t>01988</t>
        </is>
      </c>
      <c r="N1680" s="2" t="inlineStr">
        <is>
          <t>https://app.redstat.kz/niche/01988?event_date=2026-08-01</t>
        </is>
      </c>
      <c r="O1680" s="2" t="inlineStr">
        <is>
          <t>https://kaspi.kz/shop/c/siphons%20and%20traps/</t>
        </is>
      </c>
    </row>
    <row r="1681">
      <c r="A1681" s="2" t="n">
        <v>1680</v>
      </c>
      <c r="B1681" s="2" t="inlineStr">
        <is>
          <t>Комплектующие для смазочных шприцов</t>
        </is>
      </c>
      <c r="C1681" s="2" t="inlineStr">
        <is>
          <t>Автотовары</t>
        </is>
      </c>
      <c r="D1681" s="2" t="inlineStr">
        <is>
          <t>Автотовары → Автоинструменты → Комплектующие для смазочных шприцов</t>
        </is>
      </c>
      <c r="E1681" s="3" t="n">
        <v>176208</v>
      </c>
      <c r="F1681" s="3" t="n">
        <v>49</v>
      </c>
      <c r="G1681" s="3">
        <f>IFERROR(E1681/F1681,0)</f>
        <v/>
      </c>
      <c r="H1681" s="3" t="n">
        <v>13</v>
      </c>
      <c r="I1681" s="2" t="n">
        <v>7</v>
      </c>
      <c r="J1681" s="3">
        <f>IFERROR(E1681/H1681,0)</f>
        <v/>
      </c>
      <c r="K1681" s="10">
        <f>E1681/'По разделам'!$B$21</f>
        <v/>
      </c>
      <c r="L1681" s="4">
        <f>L1680+K1681</f>
        <v/>
      </c>
      <c r="M1681" s="2" t="inlineStr">
        <is>
          <t>05563</t>
        </is>
      </c>
      <c r="N1681" s="2" t="inlineStr">
        <is>
          <t>https://app.redstat.kz/niche/05563?event_date=2026-08-01</t>
        </is>
      </c>
      <c r="O1681" s="2" t="inlineStr">
        <is>
          <t>https://kaspi.kz/shop/c/grease%20gun%20accessories/</t>
        </is>
      </c>
    </row>
    <row r="1682">
      <c r="A1682" s="2" t="n">
        <v>1681</v>
      </c>
      <c r="B1682" s="2" t="inlineStr">
        <is>
          <t>Маятники для гаданий</t>
        </is>
      </c>
      <c r="C1682" s="2" t="inlineStr">
        <is>
          <t>Досуг, книги</t>
        </is>
      </c>
      <c r="D1682" s="2" t="inlineStr">
        <is>
          <t>Досуг, книги → Гадания и эзотерика → Маятники для гаданий</t>
        </is>
      </c>
      <c r="E1682" s="3" t="n">
        <v>176136</v>
      </c>
      <c r="F1682" s="3" t="n">
        <v>44</v>
      </c>
      <c r="G1682" s="3">
        <f>IFERROR(E1682/F1682,0)</f>
        <v/>
      </c>
      <c r="H1682" s="3" t="n">
        <v>20</v>
      </c>
      <c r="I1682" s="2" t="n">
        <v>4</v>
      </c>
      <c r="J1682" s="3">
        <f>IFERROR(E1682/H1682,0)</f>
        <v/>
      </c>
      <c r="K1682" s="10">
        <f>E1682/'По разделам'!$B$21</f>
        <v/>
      </c>
      <c r="L1682" s="4">
        <f>L1681+K1682</f>
        <v/>
      </c>
      <c r="M1682" s="2" t="inlineStr">
        <is>
          <t>06802</t>
        </is>
      </c>
      <c r="N1682" s="2" t="inlineStr">
        <is>
          <t>https://app.redstat.kz/niche/06802?event_date=2026-08-01</t>
        </is>
      </c>
      <c r="O1682" s="2" t="inlineStr">
        <is>
          <t>https://kaspi.kz/shop/c/pendulums%20for%20divination/</t>
        </is>
      </c>
    </row>
    <row r="1683">
      <c r="A1683" s="2" t="n">
        <v>1682</v>
      </c>
      <c r="B1683" s="2" t="inlineStr">
        <is>
          <t>Аксессуары для детских шезлонгов</t>
        </is>
      </c>
      <c r="C1683" s="2" t="inlineStr">
        <is>
          <t>Детские товары</t>
        </is>
      </c>
      <c r="D1683" s="2" t="inlineStr">
        <is>
          <t>Детские товары → Для малыша и мамы → Аксессуары для детских шезлонгов</t>
        </is>
      </c>
      <c r="E1683" s="3" t="n">
        <v>174973</v>
      </c>
      <c r="F1683" s="3" t="n">
        <v>13</v>
      </c>
      <c r="G1683" s="3">
        <f>IFERROR(E1683/F1683,0)</f>
        <v/>
      </c>
      <c r="H1683" s="3" t="n">
        <v>7</v>
      </c>
      <c r="I1683" s="2" t="n">
        <v>3</v>
      </c>
      <c r="J1683" s="3">
        <f>IFERROR(E1683/H1683,0)</f>
        <v/>
      </c>
      <c r="K1683" s="10">
        <f>E1683/'По разделам'!$B$21</f>
        <v/>
      </c>
      <c r="L1683" s="4">
        <f>L1682+K1683</f>
        <v/>
      </c>
      <c r="M1683" s="2" t="inlineStr">
        <is>
          <t>06836</t>
        </is>
      </c>
      <c r="N1683" s="2" t="inlineStr">
        <is>
          <t>https://app.redstat.kz/niche/06836?event_date=2026-08-01</t>
        </is>
      </c>
      <c r="O1683" s="2" t="inlineStr">
        <is>
          <t>https://kaspi.kz/shop/c/sun%20lounger%20accessories/</t>
        </is>
      </c>
    </row>
    <row r="1684">
      <c r="A1684" s="2" t="n">
        <v>1683</v>
      </c>
      <c r="B1684" s="2" t="inlineStr">
        <is>
          <t>Оконная фурнитура</t>
        </is>
      </c>
      <c r="C1684" s="2" t="inlineStr">
        <is>
          <t>Строительство, ремонт</t>
        </is>
      </c>
      <c r="D1684" s="2" t="inlineStr">
        <is>
          <t>Строительство, ремонт → Двери, окна, лестницы → Окна, подоконники и аксессуары → Оконная фурнитура</t>
        </is>
      </c>
      <c r="E1684" s="3" t="n">
        <v>174500</v>
      </c>
      <c r="F1684" s="3" t="n">
        <v>4</v>
      </c>
      <c r="G1684" s="3">
        <f>IFERROR(E1684/F1684,0)</f>
        <v/>
      </c>
      <c r="H1684" s="3" t="n">
        <v>2</v>
      </c>
      <c r="I1684" s="2" t="n">
        <v>2</v>
      </c>
      <c r="J1684" s="3">
        <f>IFERROR(E1684/H1684,0)</f>
        <v/>
      </c>
      <c r="K1684" s="10">
        <f>E1684/'По разделам'!$B$21</f>
        <v/>
      </c>
      <c r="L1684" s="4">
        <f>L1683+K1684</f>
        <v/>
      </c>
      <c r="M1684" s="2" t="inlineStr">
        <is>
          <t>06511</t>
        </is>
      </c>
      <c r="N1684" s="2" t="inlineStr">
        <is>
          <t>https://app.redstat.kz/niche/06511?event_date=2026-08-01</t>
        </is>
      </c>
      <c r="O1684" s="2" t="inlineStr">
        <is>
          <t>https://kaspi.kz/shop/c/window%20furniture/</t>
        </is>
      </c>
    </row>
    <row r="1685">
      <c r="A1685" s="2" t="n">
        <v>1684</v>
      </c>
      <c r="B1685" s="2" t="inlineStr">
        <is>
          <t>Видеоняни</t>
        </is>
      </c>
      <c r="C1685" s="2" t="inlineStr">
        <is>
          <t>Детские товары</t>
        </is>
      </c>
      <c r="D1685" s="2" t="inlineStr">
        <is>
          <t>Детские товары → Для малыша и мамы → Безопасность ребенка → Видеоняни</t>
        </is>
      </c>
      <c r="E1685" s="3" t="n">
        <v>173583</v>
      </c>
      <c r="F1685" s="3" t="n">
        <v>78</v>
      </c>
      <c r="G1685" s="3">
        <f>IFERROR(E1685/F1685,0)</f>
        <v/>
      </c>
      <c r="H1685" s="3" t="n">
        <v>20</v>
      </c>
      <c r="I1685" s="2" t="n">
        <v>4</v>
      </c>
      <c r="J1685" s="3">
        <f>IFERROR(E1685/H1685,0)</f>
        <v/>
      </c>
      <c r="K1685" s="10">
        <f>E1685/'По разделам'!$B$21</f>
        <v/>
      </c>
      <c r="L1685" s="4">
        <f>L1684+K1685</f>
        <v/>
      </c>
      <c r="M1685" s="2" t="inlineStr">
        <is>
          <t>04431</t>
        </is>
      </c>
      <c r="N1685" s="2" t="inlineStr">
        <is>
          <t>https://app.redstat.kz/niche/04431?event_date=2026-08-01</t>
        </is>
      </c>
      <c r="O1685" s="2" t="inlineStr">
        <is>
          <t>https://kaspi.kz/shop/c/video%20baby%20monitors/</t>
        </is>
      </c>
    </row>
    <row r="1686">
      <c r="A1686" s="2" t="n">
        <v>1685</v>
      </c>
      <c r="B1686" s="2" t="inlineStr">
        <is>
          <t>Минеральная вата</t>
        </is>
      </c>
      <c r="C1686" s="2" t="inlineStr">
        <is>
          <t>Строительство, ремонт</t>
        </is>
      </c>
      <c r="D1686" s="2" t="inlineStr">
        <is>
          <t>Строительство, ремонт → Строительные материалы → Изоляционные материалы, тенты → Теплоизоляция → Минеральная вата</t>
        </is>
      </c>
      <c r="E1686" s="3" t="n">
        <v>171700</v>
      </c>
      <c r="F1686" s="3" t="n">
        <v>8</v>
      </c>
      <c r="G1686" s="3">
        <f>IFERROR(E1686/F1686,0)</f>
        <v/>
      </c>
      <c r="H1686" s="3" t="n">
        <v>3</v>
      </c>
      <c r="I1686" s="2" t="n">
        <v>2</v>
      </c>
      <c r="J1686" s="3">
        <f>IFERROR(E1686/H1686,0)</f>
        <v/>
      </c>
      <c r="K1686" s="10">
        <f>E1686/'По разделам'!$B$21</f>
        <v/>
      </c>
      <c r="L1686" s="4">
        <f>L1685+K1686</f>
        <v/>
      </c>
      <c r="M1686" s="2" t="inlineStr">
        <is>
          <t>02566</t>
        </is>
      </c>
      <c r="N1686" s="2" t="inlineStr">
        <is>
          <t>https://app.redstat.kz/niche/02566?event_date=2026-08-01</t>
        </is>
      </c>
      <c r="O1686" s="2" t="inlineStr">
        <is>
          <t>https://kaspi.kz/shop/c/mineral%20wool/</t>
        </is>
      </c>
    </row>
    <row r="1687">
      <c r="A1687" s="2" t="n">
        <v>1686</v>
      </c>
      <c r="B1687" s="2" t="inlineStr">
        <is>
          <t>Сверла</t>
        </is>
      </c>
      <c r="C1687" s="2" t="inlineStr">
        <is>
          <t>Строительство, ремонт</t>
        </is>
      </c>
      <c r="D1687" s="2" t="inlineStr">
        <is>
          <t>Строительство, ремонт → Инструменты → Оснастка и расходники для инструмента → Оснастка для дрелей и шуруповертов → Сверла</t>
        </is>
      </c>
      <c r="E1687" s="3" t="n">
        <v>171062</v>
      </c>
      <c r="F1687" s="3" t="n">
        <v>58</v>
      </c>
      <c r="G1687" s="3">
        <f>IFERROR(E1687/F1687,0)</f>
        <v/>
      </c>
      <c r="H1687" s="3" t="n">
        <v>9</v>
      </c>
      <c r="I1687" s="2" t="n">
        <v>7</v>
      </c>
      <c r="J1687" s="3">
        <f>IFERROR(E1687/H1687,0)</f>
        <v/>
      </c>
      <c r="K1687" s="10">
        <f>E1687/'По разделам'!$B$21</f>
        <v/>
      </c>
      <c r="L1687" s="4">
        <f>L1686+K1687</f>
        <v/>
      </c>
      <c r="M1687" s="2" t="inlineStr">
        <is>
          <t>06098</t>
        </is>
      </c>
      <c r="N1687" s="2" t="inlineStr">
        <is>
          <t>https://app.redstat.kz/niche/06098?event_date=2026-08-01</t>
        </is>
      </c>
      <c r="O1687" s="2" t="inlineStr">
        <is>
          <t>https://kaspi.kz/shop/c/drill%20bits/</t>
        </is>
      </c>
    </row>
    <row r="1688">
      <c r="A1688" s="2" t="n">
        <v>1687</v>
      </c>
      <c r="B1688" s="2" t="inlineStr">
        <is>
          <t>Карты бензиновые</t>
        </is>
      </c>
      <c r="C1688" s="2" t="inlineStr">
        <is>
          <t>Автотовары</t>
        </is>
      </c>
      <c r="D1688" s="2" t="inlineStr">
        <is>
          <t>Автотовары → Мототехника → Карты бензиновые</t>
        </is>
      </c>
      <c r="E1688" s="3" t="n">
        <v>170000</v>
      </c>
      <c r="F1688" s="3" t="n">
        <v>1</v>
      </c>
      <c r="G1688" s="3">
        <f>IFERROR(E1688/F1688,0)</f>
        <v/>
      </c>
      <c r="H1688" s="3" t="n">
        <v>1</v>
      </c>
      <c r="I1688" s="2" t="n">
        <v>0</v>
      </c>
      <c r="J1688" s="3">
        <f>IFERROR(E1688/H1688,0)</f>
        <v/>
      </c>
      <c r="K1688" s="10">
        <f>E1688/'По разделам'!$B$21</f>
        <v/>
      </c>
      <c r="L1688" s="4">
        <f>L1687+K1688</f>
        <v/>
      </c>
      <c r="M1688" s="2" t="inlineStr">
        <is>
          <t>qcc30f7e4b369b7a</t>
        </is>
      </c>
      <c r="N1688" s="2" t="inlineStr">
        <is>
          <t>https://app.redstat.kz/niche/qcc30f7e4b369b7a?event_date=2026-08-01</t>
        </is>
      </c>
      <c r="O1688" s="2" t="inlineStr"/>
    </row>
    <row r="1689">
      <c r="A1689" s="2" t="n">
        <v>1688</v>
      </c>
      <c r="B1689" s="2" t="inlineStr">
        <is>
          <t>Жилеты для девочек</t>
        </is>
      </c>
      <c r="C1689" s="2" t="inlineStr">
        <is>
          <t>Одежда</t>
        </is>
      </c>
      <c r="D1689" s="2" t="inlineStr">
        <is>
          <t>Одежда → Девочкам → Жилеты для девочек</t>
        </is>
      </c>
      <c r="E1689" s="3" t="n">
        <v>166898</v>
      </c>
      <c r="F1689" s="3" t="n">
        <v>21</v>
      </c>
      <c r="G1689" s="3">
        <f>IFERROR(E1689/F1689,0)</f>
        <v/>
      </c>
      <c r="H1689" s="3" t="n">
        <v>12</v>
      </c>
      <c r="I1689" s="2" t="n">
        <v>7</v>
      </c>
      <c r="J1689" s="3">
        <f>IFERROR(E1689/H1689,0)</f>
        <v/>
      </c>
      <c r="K1689" s="10">
        <f>E1689/'По разделам'!$B$21</f>
        <v/>
      </c>
      <c r="L1689" s="4">
        <f>L1688+K1689</f>
        <v/>
      </c>
      <c r="M1689" s="2" t="inlineStr">
        <is>
          <t>q74dc93350be5239</t>
        </is>
      </c>
      <c r="N1689" s="2" t="inlineStr">
        <is>
          <t>https://app.redstat.kz/niche/q74dc93350be5239?event_date=2026-08-01</t>
        </is>
      </c>
      <c r="O1689" s="2" t="inlineStr"/>
    </row>
    <row r="1690">
      <c r="A1690" s="2" t="n">
        <v>1689</v>
      </c>
      <c r="B1690" s="2" t="inlineStr">
        <is>
          <t>Декоративные подушки</t>
        </is>
      </c>
      <c r="C1690" s="2" t="inlineStr">
        <is>
          <t>Товары для дома и дачи</t>
        </is>
      </c>
      <c r="D1690" s="2" t="inlineStr">
        <is>
          <t>Товары для дома и дачи → Домашний текстиль → Подушки → Декоративные подушки</t>
        </is>
      </c>
      <c r="E1690" s="3" t="n">
        <v>166156</v>
      </c>
      <c r="F1690" s="3" t="n">
        <v>37</v>
      </c>
      <c r="G1690" s="3">
        <f>IFERROR(E1690/F1690,0)</f>
        <v/>
      </c>
      <c r="H1690" s="3" t="n">
        <v>17</v>
      </c>
      <c r="I1690" s="2" t="n">
        <v>5</v>
      </c>
      <c r="J1690" s="3">
        <f>IFERROR(E1690/H1690,0)</f>
        <v/>
      </c>
      <c r="K1690" s="10">
        <f>E1690/'По разделам'!$B$21</f>
        <v/>
      </c>
      <c r="L1690" s="4">
        <f>L1689+K1690</f>
        <v/>
      </c>
      <c r="M1690" s="2" t="inlineStr">
        <is>
          <t>02599</t>
        </is>
      </c>
      <c r="N1690" s="2" t="inlineStr">
        <is>
          <t>https://app.redstat.kz/niche/02599?event_date=2026-08-01</t>
        </is>
      </c>
      <c r="O1690" s="2" t="inlineStr">
        <is>
          <t>https://kaspi.kz/shop/c/throw%20pillows/</t>
        </is>
      </c>
    </row>
    <row r="1691">
      <c r="A1691" s="2" t="n">
        <v>1690</v>
      </c>
      <c r="B1691" s="2" t="inlineStr">
        <is>
          <t>Интерьерные глобусы</t>
        </is>
      </c>
      <c r="C1691" s="2" t="inlineStr">
        <is>
          <t>Товары для дома и дачи</t>
        </is>
      </c>
      <c r="D1691" s="2" t="inlineStr">
        <is>
          <t>Товары для дома и дачи → Интерьер → Оформление интерьера → Интерьерные глобусы</t>
        </is>
      </c>
      <c r="E1691" s="3" t="n">
        <v>165000</v>
      </c>
      <c r="F1691" s="3" t="n">
        <v>2</v>
      </c>
      <c r="G1691" s="3">
        <f>IFERROR(E1691/F1691,0)</f>
        <v/>
      </c>
      <c r="H1691" s="3" t="n">
        <v>2</v>
      </c>
      <c r="I1691" s="2" t="n">
        <v>1</v>
      </c>
      <c r="J1691" s="3">
        <f>IFERROR(E1691/H1691,0)</f>
        <v/>
      </c>
      <c r="K1691" s="10">
        <f>E1691/'По разделам'!$B$21</f>
        <v/>
      </c>
      <c r="L1691" s="4">
        <f>L1690+K1691</f>
        <v/>
      </c>
      <c r="M1691" s="2" t="inlineStr">
        <is>
          <t>02262</t>
        </is>
      </c>
      <c r="N1691" s="2" t="inlineStr">
        <is>
          <t>https://app.redstat.kz/niche/02262?event_date=2026-08-01</t>
        </is>
      </c>
      <c r="O1691" s="2" t="inlineStr">
        <is>
          <t>https://kaspi.kz/shop/c/interior%20globes/</t>
        </is>
      </c>
    </row>
    <row r="1692">
      <c r="A1692" s="2" t="n">
        <v>1691</v>
      </c>
      <c r="B1692" s="2" t="inlineStr">
        <is>
          <t>Гольф</t>
        </is>
      </c>
      <c r="C1692" s="2" t="inlineStr">
        <is>
          <t>Спорт, туризм</t>
        </is>
      </c>
      <c r="D1692" s="2" t="inlineStr">
        <is>
          <t>Спорт, туризм → Активный вид отдыха → Гольф → Гольф</t>
        </is>
      </c>
      <c r="E1692" s="3" t="n">
        <v>160075</v>
      </c>
      <c r="F1692" s="3" t="n">
        <v>25</v>
      </c>
      <c r="G1692" s="3">
        <f>IFERROR(E1692/F1692,0)</f>
        <v/>
      </c>
      <c r="H1692" s="3" t="n">
        <v>7</v>
      </c>
      <c r="I1692" s="2" t="n">
        <v>1</v>
      </c>
      <c r="J1692" s="3">
        <f>IFERROR(E1692/H1692,0)</f>
        <v/>
      </c>
      <c r="K1692" s="10">
        <f>E1692/'По разделам'!$B$21</f>
        <v/>
      </c>
      <c r="L1692" s="4">
        <f>L1691+K1692</f>
        <v/>
      </c>
      <c r="M1692" s="2" t="inlineStr">
        <is>
          <t>q389fae23d442501</t>
        </is>
      </c>
      <c r="N1692" s="2" t="inlineStr">
        <is>
          <t>https://app.redstat.kz/niche/q389fae23d442501?event_date=2026-08-01</t>
        </is>
      </c>
      <c r="O1692" s="2" t="inlineStr"/>
    </row>
    <row r="1693">
      <c r="A1693" s="2" t="n">
        <v>1692</v>
      </c>
      <c r="B1693" s="2" t="inlineStr">
        <is>
          <t>Лазерные уровни</t>
        </is>
      </c>
      <c r="C1693" s="2" t="inlineStr">
        <is>
          <t>Строительство, ремонт</t>
        </is>
      </c>
      <c r="D1693" s="2" t="inlineStr">
        <is>
          <t>Строительство, ремонт → Инструменты → Измерительные инструменты → Лазерные уровни</t>
        </is>
      </c>
      <c r="E1693" s="3" t="n">
        <v>160000</v>
      </c>
      <c r="F1693" s="3" t="n">
        <v>1</v>
      </c>
      <c r="G1693" s="3">
        <f>IFERROR(E1693/F1693,0)</f>
        <v/>
      </c>
      <c r="H1693" s="3" t="n">
        <v>1</v>
      </c>
      <c r="I1693" s="2" t="n">
        <v>1</v>
      </c>
      <c r="J1693" s="3">
        <f>IFERROR(E1693/H1693,0)</f>
        <v/>
      </c>
      <c r="K1693" s="10">
        <f>E1693/'По разделам'!$B$21</f>
        <v/>
      </c>
      <c r="L1693" s="4">
        <f>L1692+K1693</f>
        <v/>
      </c>
      <c r="M1693" s="2" t="inlineStr">
        <is>
          <t>01109</t>
        </is>
      </c>
      <c r="N1693" s="2" t="inlineStr">
        <is>
          <t>https://app.redstat.kz/niche/01109?event_date=2026-08-01</t>
        </is>
      </c>
      <c r="O1693" s="2" t="inlineStr">
        <is>
          <t>https://kaspi.kz/shop/c/laser%20levels/</t>
        </is>
      </c>
    </row>
    <row r="1694">
      <c r="A1694" s="2" t="n">
        <v>1693</v>
      </c>
      <c r="B1694" s="2" t="inlineStr">
        <is>
          <t>Газовые баллоны</t>
        </is>
      </c>
      <c r="C1694" s="2" t="inlineStr">
        <is>
          <t>Строительство, ремонт</t>
        </is>
      </c>
      <c r="D1694" s="2" t="inlineStr">
        <is>
          <t>Строительство, ремонт → Системы отопления → Газовые баллоны и принадлежности → Газовые баллоны</t>
        </is>
      </c>
      <c r="E1694" s="3" t="n">
        <v>160000</v>
      </c>
      <c r="F1694" s="3" t="n">
        <v>2</v>
      </c>
      <c r="G1694" s="3">
        <f>IFERROR(E1694/F1694,0)</f>
        <v/>
      </c>
      <c r="H1694" s="3" t="n">
        <v>1</v>
      </c>
      <c r="I1694" s="2" t="n">
        <v>1</v>
      </c>
      <c r="J1694" s="3">
        <f>IFERROR(E1694/H1694,0)</f>
        <v/>
      </c>
      <c r="K1694" s="10">
        <f>E1694/'По разделам'!$B$21</f>
        <v/>
      </c>
      <c r="L1694" s="4">
        <f>L1693+K1694</f>
        <v/>
      </c>
      <c r="M1694" s="2" t="inlineStr">
        <is>
          <t>03751</t>
        </is>
      </c>
      <c r="N1694" s="2" t="inlineStr">
        <is>
          <t>https://app.redstat.kz/niche/03751?event_date=2026-08-01</t>
        </is>
      </c>
      <c r="O1694" s="2" t="inlineStr">
        <is>
          <t>https://kaspi.kz/shop/c/gas%20bottles/</t>
        </is>
      </c>
    </row>
    <row r="1695">
      <c r="A1695" s="2" t="n">
        <v>1694</v>
      </c>
      <c r="B1695" s="2" t="inlineStr">
        <is>
          <t>Динамометрические ключи</t>
        </is>
      </c>
      <c r="C1695" s="2" t="inlineStr">
        <is>
          <t>Строительство, ремонт</t>
        </is>
      </c>
      <c r="D1695" s="2" t="inlineStr">
        <is>
          <t>Строительство, ремонт → Ручные инструменты → Ключи и трещотки → Динамометрические ключи</t>
        </is>
      </c>
      <c r="E1695" s="3" t="n">
        <v>160000</v>
      </c>
      <c r="F1695" s="3" t="n">
        <v>5</v>
      </c>
      <c r="G1695" s="3">
        <f>IFERROR(E1695/F1695,0)</f>
        <v/>
      </c>
      <c r="H1695" s="3" t="n">
        <v>1</v>
      </c>
      <c r="I1695" s="2" t="n">
        <v>1</v>
      </c>
      <c r="J1695" s="3">
        <f>IFERROR(E1695/H1695,0)</f>
        <v/>
      </c>
      <c r="K1695" s="10">
        <f>E1695/'По разделам'!$B$21</f>
        <v/>
      </c>
      <c r="L1695" s="4">
        <f>L1694+K1695</f>
        <v/>
      </c>
      <c r="M1695" s="2" t="inlineStr">
        <is>
          <t>04475</t>
        </is>
      </c>
      <c r="N1695" s="2" t="inlineStr">
        <is>
          <t>https://app.redstat.kz/niche/04475?event_date=2026-08-01</t>
        </is>
      </c>
      <c r="O1695" s="2" t="inlineStr">
        <is>
          <t>https://kaspi.kz/shop/c/torque%20wrenches/</t>
        </is>
      </c>
    </row>
    <row r="1696">
      <c r="A1696" s="2" t="n">
        <v>1695</v>
      </c>
      <c r="B1696" s="2" t="inlineStr">
        <is>
          <t>Торговые витрины</t>
        </is>
      </c>
      <c r="C1696" s="2" t="inlineStr">
        <is>
          <t>Мебель</t>
        </is>
      </c>
      <c r="D1696" s="2" t="inlineStr">
        <is>
          <t>Мебель → Торговое оборудование → Мебель для торгового зала → Торговые витрины</t>
        </is>
      </c>
      <c r="E1696" s="3" t="n">
        <v>160000</v>
      </c>
      <c r="F1696" s="3" t="n">
        <v>1</v>
      </c>
      <c r="G1696" s="3">
        <f>IFERROR(E1696/F1696,0)</f>
        <v/>
      </c>
      <c r="H1696" s="3" t="n">
        <v>1</v>
      </c>
      <c r="I1696" s="2" t="n">
        <v>1</v>
      </c>
      <c r="J1696" s="3">
        <f>IFERROR(E1696/H1696,0)</f>
        <v/>
      </c>
      <c r="K1696" s="10">
        <f>E1696/'По разделам'!$B$21</f>
        <v/>
      </c>
      <c r="L1696" s="4">
        <f>L1695+K1696</f>
        <v/>
      </c>
      <c r="M1696" s="2" t="inlineStr">
        <is>
          <t>06231</t>
        </is>
      </c>
      <c r="N1696" s="2" t="inlineStr">
        <is>
          <t>https://app.redstat.kz/niche/06231?event_date=2026-08-01</t>
        </is>
      </c>
      <c r="O1696" s="2" t="inlineStr">
        <is>
          <t>https://kaspi.kz/shop/c/trade%20showcases/</t>
        </is>
      </c>
    </row>
    <row r="1697">
      <c r="A1697" s="2" t="n">
        <v>1696</v>
      </c>
      <c r="B1697" s="2" t="inlineStr">
        <is>
          <t>Лампы для проекторов</t>
        </is>
      </c>
      <c r="C1697" s="2" t="inlineStr">
        <is>
          <t>ТВ, Аудио, Видео</t>
        </is>
      </c>
      <c r="D1697" s="2" t="inlineStr">
        <is>
          <t>ТВ, Аудио, Видео → Видеотехника → Лампы для проекторов</t>
        </is>
      </c>
      <c r="E1697" s="3" t="n">
        <v>158620</v>
      </c>
      <c r="F1697" s="3" t="n">
        <v>7</v>
      </c>
      <c r="G1697" s="3">
        <f>IFERROR(E1697/F1697,0)</f>
        <v/>
      </c>
      <c r="H1697" s="3" t="n">
        <v>5</v>
      </c>
      <c r="I1697" s="2" t="n">
        <v>1</v>
      </c>
      <c r="J1697" s="3">
        <f>IFERROR(E1697/H1697,0)</f>
        <v/>
      </c>
      <c r="K1697" s="10">
        <f>E1697/'По разделам'!$B$21</f>
        <v/>
      </c>
      <c r="L1697" s="4">
        <f>L1696+K1697</f>
        <v/>
      </c>
      <c r="M1697" s="2" t="inlineStr">
        <is>
          <t>06454</t>
        </is>
      </c>
      <c r="N1697" s="2" t="inlineStr">
        <is>
          <t>https://app.redstat.kz/niche/06454?event_date=2026-08-01</t>
        </is>
      </c>
      <c r="O1697" s="2" t="inlineStr">
        <is>
          <t>https://kaspi.kz/shop/c/lamps%20for%20projectors/</t>
        </is>
      </c>
    </row>
    <row r="1698">
      <c r="A1698" s="2" t="n">
        <v>1697</v>
      </c>
      <c r="B1698" s="2" t="inlineStr">
        <is>
          <t>Запонки и зажимы ювелирные</t>
        </is>
      </c>
      <c r="C1698" s="2" t="inlineStr">
        <is>
          <t>Украшения</t>
        </is>
      </c>
      <c r="D1698" s="2" t="inlineStr">
        <is>
          <t>Украшения → Запонки и зажимы → Запонки и зажимы ювелирные</t>
        </is>
      </c>
      <c r="E1698" s="3" t="n">
        <v>158457</v>
      </c>
      <c r="F1698" s="3" t="n">
        <v>4</v>
      </c>
      <c r="G1698" s="3">
        <f>IFERROR(E1698/F1698,0)</f>
        <v/>
      </c>
      <c r="H1698" s="3" t="n">
        <v>4</v>
      </c>
      <c r="I1698" s="2" t="n">
        <v>3</v>
      </c>
      <c r="J1698" s="3">
        <f>IFERROR(E1698/H1698,0)</f>
        <v/>
      </c>
      <c r="K1698" s="10">
        <f>E1698/'По разделам'!$B$21</f>
        <v/>
      </c>
      <c r="L1698" s="4">
        <f>L1697+K1698</f>
        <v/>
      </c>
      <c r="M1698" s="2" t="inlineStr">
        <is>
          <t>01779</t>
        </is>
      </c>
      <c r="N1698" s="2" t="inlineStr">
        <is>
          <t>https://app.redstat.kz/niche/01779?event_date=2026-08-01</t>
        </is>
      </c>
      <c r="O1698" s="2" t="inlineStr">
        <is>
          <t>https://kaspi.kz/shop/c/cufflinks%20and%20tie%20clips/</t>
        </is>
      </c>
    </row>
    <row r="1699">
      <c r="A1699" s="2" t="n">
        <v>1698</v>
      </c>
      <c r="B1699" s="2" t="inlineStr">
        <is>
          <t>Тормозные пояса для плавания</t>
        </is>
      </c>
      <c r="C1699" s="2" t="inlineStr">
        <is>
          <t>Спорт, туризм</t>
        </is>
      </c>
      <c r="D1699" s="2" t="inlineStr">
        <is>
          <t>Спорт, туризм → Водный спорт → Тормозные пояса для плавания</t>
        </is>
      </c>
      <c r="E1699" s="3" t="n">
        <v>154590</v>
      </c>
      <c r="F1699" s="3" t="n">
        <v>27</v>
      </c>
      <c r="G1699" s="3">
        <f>IFERROR(E1699/F1699,0)</f>
        <v/>
      </c>
      <c r="H1699" s="3" t="n">
        <v>10</v>
      </c>
      <c r="I1699" s="2" t="n">
        <v>5</v>
      </c>
      <c r="J1699" s="3">
        <f>IFERROR(E1699/H1699,0)</f>
        <v/>
      </c>
      <c r="K1699" s="10">
        <f>E1699/'По разделам'!$B$21</f>
        <v/>
      </c>
      <c r="L1699" s="4">
        <f>L1698+K1699</f>
        <v/>
      </c>
      <c r="M1699" s="2" t="inlineStr">
        <is>
          <t>06518</t>
        </is>
      </c>
      <c r="N1699" s="2" t="inlineStr">
        <is>
          <t>https://app.redstat.kz/niche/06518?event_date=2026-08-01</t>
        </is>
      </c>
      <c r="O1699" s="2" t="inlineStr">
        <is>
          <t>https://kaspi.kz/shop/c/brake%20belts%20for%20swimming/</t>
        </is>
      </c>
    </row>
    <row r="1700">
      <c r="A1700" s="2" t="n">
        <v>1699</v>
      </c>
      <c r="B1700" s="2" t="inlineStr">
        <is>
          <t>Рубашки и блузки для малышей</t>
        </is>
      </c>
      <c r="C1700" s="2" t="inlineStr">
        <is>
          <t>Одежда</t>
        </is>
      </c>
      <c r="D1700" s="2" t="inlineStr">
        <is>
          <t>Одежда → Одежда для малышей → Рубашки и блузки для малышей</t>
        </is>
      </c>
      <c r="E1700" s="3" t="n">
        <v>153787</v>
      </c>
      <c r="F1700" s="3" t="n">
        <v>48</v>
      </c>
      <c r="G1700" s="3">
        <f>IFERROR(E1700/F1700,0)</f>
        <v/>
      </c>
      <c r="H1700" s="3" t="n">
        <v>20</v>
      </c>
      <c r="I1700" s="2" t="n">
        <v>7</v>
      </c>
      <c r="J1700" s="3">
        <f>IFERROR(E1700/H1700,0)</f>
        <v/>
      </c>
      <c r="K1700" s="10">
        <f>E1700/'По разделам'!$B$21</f>
        <v/>
      </c>
      <c r="L1700" s="4">
        <f>L1699+K1700</f>
        <v/>
      </c>
      <c r="M1700" s="2" t="inlineStr">
        <is>
          <t>01549</t>
        </is>
      </c>
      <c r="N1700" s="2" t="inlineStr">
        <is>
          <t>https://app.redstat.kz/niche/01549?event_date=2026-08-01</t>
        </is>
      </c>
      <c r="O1700" s="2" t="inlineStr">
        <is>
          <t>https://kaspi.kz/shop/c/baby%20shirts%20and%20blouses/</t>
        </is>
      </c>
    </row>
    <row r="1701">
      <c r="A1701" s="2" t="n">
        <v>1700</v>
      </c>
      <c r="B1701" s="2" t="inlineStr">
        <is>
          <t>Карнизы для штор</t>
        </is>
      </c>
      <c r="C1701" s="2" t="inlineStr">
        <is>
          <t>Товары для дома и дачи</t>
        </is>
      </c>
      <c r="D1701" s="2" t="inlineStr">
        <is>
          <t>Товары для дома и дачи → Домашний текстиль → Шторы и карнизы → Карнизы для штор</t>
        </is>
      </c>
      <c r="E1701" s="3" t="n">
        <v>152230</v>
      </c>
      <c r="F1701" s="3" t="n">
        <v>14</v>
      </c>
      <c r="G1701" s="3">
        <f>IFERROR(E1701/F1701,0)</f>
        <v/>
      </c>
      <c r="H1701" s="3" t="n">
        <v>8</v>
      </c>
      <c r="I1701" s="2" t="n">
        <v>4</v>
      </c>
      <c r="J1701" s="3">
        <f>IFERROR(E1701/H1701,0)</f>
        <v/>
      </c>
      <c r="K1701" s="10">
        <f>E1701/'По разделам'!$B$21</f>
        <v/>
      </c>
      <c r="L1701" s="4">
        <f>L1700+K1701</f>
        <v/>
      </c>
      <c r="M1701" s="2" t="inlineStr">
        <is>
          <t>02577</t>
        </is>
      </c>
      <c r="N1701" s="2" t="inlineStr">
        <is>
          <t>https://app.redstat.kz/niche/02577?event_date=2026-08-01</t>
        </is>
      </c>
      <c r="O1701" s="2" t="inlineStr">
        <is>
          <t>https://kaspi.kz/shop/c/curtain%20rods/</t>
        </is>
      </c>
    </row>
    <row r="1702">
      <c r="A1702" s="2" t="n">
        <v>1701</v>
      </c>
      <c r="B1702" s="2" t="inlineStr">
        <is>
          <t>Генераторы спецэффектов</t>
        </is>
      </c>
      <c r="C1702" s="2" t="inlineStr">
        <is>
          <t>ТВ, Аудио, Видео</t>
        </is>
      </c>
      <c r="D1702" s="2" t="inlineStr">
        <is>
          <t>ТВ, Аудио, Видео → Сценическое оборудование → Спецэффекты и шоу-техника → Генераторы спецэффектов</t>
        </is>
      </c>
      <c r="E1702" s="3" t="n">
        <v>152106</v>
      </c>
      <c r="F1702" s="3" t="n">
        <v>6</v>
      </c>
      <c r="G1702" s="3">
        <f>IFERROR(E1702/F1702,0)</f>
        <v/>
      </c>
      <c r="H1702" s="3" t="n">
        <v>3</v>
      </c>
      <c r="I1702" s="2" t="n">
        <v>2</v>
      </c>
      <c r="J1702" s="3">
        <f>IFERROR(E1702/H1702,0)</f>
        <v/>
      </c>
      <c r="K1702" s="10">
        <f>E1702/'По разделам'!$B$21</f>
        <v/>
      </c>
      <c r="L1702" s="4">
        <f>L1701+K1702</f>
        <v/>
      </c>
      <c r="M1702" s="2" t="inlineStr">
        <is>
          <t>05109</t>
        </is>
      </c>
      <c r="N1702" s="2" t="inlineStr">
        <is>
          <t>https://app.redstat.kz/niche/05109?event_date=2026-08-01</t>
        </is>
      </c>
      <c r="O1702" s="2" t="inlineStr">
        <is>
          <t>https://kaspi.kz/shop/c/special%20effects%20generators/</t>
        </is>
      </c>
    </row>
    <row r="1703">
      <c r="A1703" s="2" t="n">
        <v>1702</v>
      </c>
      <c r="B1703" s="2" t="inlineStr">
        <is>
          <t>Руны</t>
        </is>
      </c>
      <c r="C1703" s="2" t="inlineStr">
        <is>
          <t>Досуг, книги</t>
        </is>
      </c>
      <c r="D1703" s="2" t="inlineStr">
        <is>
          <t>Досуг, книги → Гадания и эзотерика → Руны</t>
        </is>
      </c>
      <c r="E1703" s="3" t="n">
        <v>151589</v>
      </c>
      <c r="F1703" s="3" t="n">
        <v>14</v>
      </c>
      <c r="G1703" s="3">
        <f>IFERROR(E1703/F1703,0)</f>
        <v/>
      </c>
      <c r="H1703" s="3" t="n">
        <v>6</v>
      </c>
      <c r="I1703" s="2" t="n">
        <v>5</v>
      </c>
      <c r="J1703" s="3">
        <f>IFERROR(E1703/H1703,0)</f>
        <v/>
      </c>
      <c r="K1703" s="10">
        <f>E1703/'По разделам'!$B$21</f>
        <v/>
      </c>
      <c r="L1703" s="4">
        <f>L1702+K1703</f>
        <v/>
      </c>
      <c r="M1703" s="2" t="inlineStr">
        <is>
          <t>04757</t>
        </is>
      </c>
      <c r="N1703" s="2" t="inlineStr">
        <is>
          <t>https://app.redstat.kz/niche/04757?event_date=2026-08-01</t>
        </is>
      </c>
      <c r="O1703" s="2" t="inlineStr">
        <is>
          <t>https://kaspi.kz/shop/c/runes/</t>
        </is>
      </c>
    </row>
    <row r="1704">
      <c r="A1704" s="2" t="n">
        <v>1703</v>
      </c>
      <c r="B1704" s="2" t="inlineStr">
        <is>
          <t>Картриджи и сменные фильтры</t>
        </is>
      </c>
      <c r="C1704" s="2" t="inlineStr">
        <is>
          <t>Строительство, ремонт</t>
        </is>
      </c>
      <c r="D1704" s="2" t="inlineStr">
        <is>
          <t>Строительство, ремонт → Водоснабжение → Фильтры для воды и комплектующие → Картриджи и сменные фильтры</t>
        </is>
      </c>
      <c r="E1704" s="3" t="n">
        <v>149500</v>
      </c>
      <c r="F1704" s="3" t="n">
        <v>17</v>
      </c>
      <c r="G1704" s="3">
        <f>IFERROR(E1704/F1704,0)</f>
        <v/>
      </c>
      <c r="H1704" s="3" t="n">
        <v>10</v>
      </c>
      <c r="I1704" s="2" t="n">
        <v>7</v>
      </c>
      <c r="J1704" s="3">
        <f>IFERROR(E1704/H1704,0)</f>
        <v/>
      </c>
      <c r="K1704" s="10">
        <f>E1704/'По разделам'!$B$21</f>
        <v/>
      </c>
      <c r="L1704" s="4">
        <f>L1703+K1704</f>
        <v/>
      </c>
      <c r="M1704" s="2" t="inlineStr">
        <is>
          <t>06290</t>
        </is>
      </c>
      <c r="N1704" s="2" t="inlineStr">
        <is>
          <t>https://app.redstat.kz/niche/06290?event_date=2026-08-01</t>
        </is>
      </c>
      <c r="O1704" s="2" t="inlineStr">
        <is>
          <t>https://kaspi.kz/shop/c/household%20water%20purifiers%20cartridges/</t>
        </is>
      </c>
    </row>
    <row r="1705">
      <c r="A1705" s="2" t="n">
        <v>1704</v>
      </c>
      <c r="B1705" s="2" t="inlineStr">
        <is>
          <t>Разделочные доски</t>
        </is>
      </c>
      <c r="C1705" s="2" t="inlineStr">
        <is>
          <t>Товары для дома и дачи</t>
        </is>
      </c>
      <c r="D1705" s="2" t="inlineStr">
        <is>
          <t>Товары для дома и дачи → Посуда и принадлежности → Ножи и разделочные доски → Разделочные доски</t>
        </is>
      </c>
      <c r="E1705" s="3" t="n">
        <v>148319</v>
      </c>
      <c r="F1705" s="3" t="n">
        <v>15</v>
      </c>
      <c r="G1705" s="3">
        <f>IFERROR(E1705/F1705,0)</f>
        <v/>
      </c>
      <c r="H1705" s="3" t="n">
        <v>11</v>
      </c>
      <c r="I1705" s="2" t="n">
        <v>6</v>
      </c>
      <c r="J1705" s="3">
        <f>IFERROR(E1705/H1705,0)</f>
        <v/>
      </c>
      <c r="K1705" s="10">
        <f>E1705/'По разделам'!$B$21</f>
        <v/>
      </c>
      <c r="L1705" s="4">
        <f>L1704+K1705</f>
        <v/>
      </c>
      <c r="M1705" s="2" t="inlineStr">
        <is>
          <t>04163</t>
        </is>
      </c>
      <c r="N1705" s="2" t="inlineStr">
        <is>
          <t>https://app.redstat.kz/niche/04163?event_date=2026-08-01</t>
        </is>
      </c>
      <c r="O1705" s="2" t="inlineStr">
        <is>
          <t>https://kaspi.kz/shop/c/cutting%20boards/</t>
        </is>
      </c>
    </row>
    <row r="1706">
      <c r="A1706" s="2" t="n">
        <v>1705</v>
      </c>
      <c r="B1706" s="2" t="inlineStr">
        <is>
          <t>Специальные чистящие средства</t>
        </is>
      </c>
      <c r="C1706" s="2" t="inlineStr">
        <is>
          <t>Товары для дома и дачи</t>
        </is>
      </c>
      <c r="D1706" s="2" t="inlineStr">
        <is>
          <t>Товары для дома и дачи → Бытовая химия → Чистящие средства → Специальные чистящие средства</t>
        </is>
      </c>
      <c r="E1706" s="3" t="n">
        <v>147957</v>
      </c>
      <c r="F1706" s="3" t="n">
        <v>60</v>
      </c>
      <c r="G1706" s="3">
        <f>IFERROR(E1706/F1706,0)</f>
        <v/>
      </c>
      <c r="H1706" s="3" t="n">
        <v>26</v>
      </c>
      <c r="I1706" s="2" t="n">
        <v>20</v>
      </c>
      <c r="J1706" s="3">
        <f>IFERROR(E1706/H1706,0)</f>
        <v/>
      </c>
      <c r="K1706" s="10">
        <f>E1706/'По разделам'!$B$21</f>
        <v/>
      </c>
      <c r="L1706" s="4">
        <f>L1705+K1706</f>
        <v/>
      </c>
      <c r="M1706" s="2" t="inlineStr">
        <is>
          <t>02918</t>
        </is>
      </c>
      <c r="N1706" s="2" t="inlineStr">
        <is>
          <t>https://app.redstat.kz/niche/02918?event_date=2026-08-01</t>
        </is>
      </c>
      <c r="O1706" s="2" t="inlineStr">
        <is>
          <t>https://kaspi.kz/shop/c/universal%20cleaning%20agents/</t>
        </is>
      </c>
    </row>
    <row r="1707">
      <c r="A1707" s="2" t="n">
        <v>1706</v>
      </c>
      <c r="B1707" s="2" t="inlineStr">
        <is>
          <t>Краны шаровые</t>
        </is>
      </c>
      <c r="C1707" s="2" t="inlineStr">
        <is>
          <t>Строительство, ремонт</t>
        </is>
      </c>
      <c r="D1707" s="2" t="inlineStr">
        <is>
          <t>Строительство, ремонт → Водоснабжение → Запорная арматура → Краны шаровые</t>
        </is>
      </c>
      <c r="E1707" s="3" t="n">
        <v>147563</v>
      </c>
      <c r="F1707" s="3" t="n">
        <v>21</v>
      </c>
      <c r="G1707" s="3">
        <f>IFERROR(E1707/F1707,0)</f>
        <v/>
      </c>
      <c r="H1707" s="3" t="n">
        <v>9</v>
      </c>
      <c r="I1707" s="2" t="n">
        <v>7</v>
      </c>
      <c r="J1707" s="3">
        <f>IFERROR(E1707/H1707,0)</f>
        <v/>
      </c>
      <c r="K1707" s="10">
        <f>E1707/'По разделам'!$B$21</f>
        <v/>
      </c>
      <c r="L1707" s="4">
        <f>L1706+K1707</f>
        <v/>
      </c>
      <c r="M1707" s="2" t="inlineStr">
        <is>
          <t>05434</t>
        </is>
      </c>
      <c r="N1707" s="2" t="inlineStr">
        <is>
          <t>https://app.redstat.kz/niche/05434?event_date=2026-08-01</t>
        </is>
      </c>
      <c r="O1707" s="2" t="inlineStr">
        <is>
          <t>https://kaspi.kz/shop/c/ball%20valves/</t>
        </is>
      </c>
    </row>
    <row r="1708">
      <c r="A1708" s="2" t="n">
        <v>1707</v>
      </c>
      <c r="B1708" s="2" t="inlineStr">
        <is>
          <t>Накладки для груди</t>
        </is>
      </c>
      <c r="C1708" s="2" t="inlineStr">
        <is>
          <t>Детские товары</t>
        </is>
      </c>
      <c r="D1708" s="2" t="inlineStr">
        <is>
          <t>Детские товары → Для малыша и мамы → Товары для мам → Накладки для груди</t>
        </is>
      </c>
      <c r="E1708" s="3" t="n">
        <v>145629</v>
      </c>
      <c r="F1708" s="3" t="n">
        <v>29</v>
      </c>
      <c r="G1708" s="3">
        <f>IFERROR(E1708/F1708,0)</f>
        <v/>
      </c>
      <c r="H1708" s="3" t="n">
        <v>6</v>
      </c>
      <c r="I1708" s="2" t="n">
        <v>3</v>
      </c>
      <c r="J1708" s="3">
        <f>IFERROR(E1708/H1708,0)</f>
        <v/>
      </c>
      <c r="K1708" s="10">
        <f>E1708/'По разделам'!$B$21</f>
        <v/>
      </c>
      <c r="L1708" s="4">
        <f>L1707+K1708</f>
        <v/>
      </c>
      <c r="M1708" s="2" t="inlineStr">
        <is>
          <t>02184</t>
        </is>
      </c>
      <c r="N1708" s="2" t="inlineStr">
        <is>
          <t>https://app.redstat.kz/niche/02184?event_date=2026-08-01</t>
        </is>
      </c>
      <c r="O1708" s="2" t="inlineStr">
        <is>
          <t>https://kaspi.kz/shop/c/breast%20shells%20and%20shields/</t>
        </is>
      </c>
    </row>
    <row r="1709">
      <c r="A1709" s="2" t="n">
        <v>1708</v>
      </c>
      <c r="B1709" s="2" t="inlineStr">
        <is>
          <t>Горшки и подставки для цветов</t>
        </is>
      </c>
      <c r="C1709" s="2" t="inlineStr">
        <is>
          <t>Товары для дома и дачи</t>
        </is>
      </c>
      <c r="D1709" s="2" t="inlineStr">
        <is>
          <t>Товары для дома и дачи → Интерьер → Растения, деревья, вазы и горшки → Горшки и подставки для цветов</t>
        </is>
      </c>
      <c r="E1709" s="3" t="n">
        <v>145068</v>
      </c>
      <c r="F1709" s="3" t="n">
        <v>28</v>
      </c>
      <c r="G1709" s="3">
        <f>IFERROR(E1709/F1709,0)</f>
        <v/>
      </c>
      <c r="H1709" s="3" t="n">
        <v>22</v>
      </c>
      <c r="I1709" s="2" t="n">
        <v>10</v>
      </c>
      <c r="J1709" s="3">
        <f>IFERROR(E1709/H1709,0)</f>
        <v/>
      </c>
      <c r="K1709" s="10">
        <f>E1709/'По разделам'!$B$21</f>
        <v/>
      </c>
      <c r="L1709" s="4">
        <f>L1708+K1709</f>
        <v/>
      </c>
      <c r="M1709" s="2" t="inlineStr">
        <is>
          <t>02587</t>
        </is>
      </c>
      <c r="N1709" s="2" t="inlineStr">
        <is>
          <t>https://app.redstat.kz/niche/02587?event_date=2026-08-01</t>
        </is>
      </c>
      <c r="O1709" s="2" t="inlineStr">
        <is>
          <t>https://kaspi.kz/shop/c/flower%20pots/</t>
        </is>
      </c>
    </row>
    <row r="1710">
      <c r="A1710" s="2" t="n">
        <v>1709</v>
      </c>
      <c r="B1710" s="2" t="inlineStr">
        <is>
          <t>Химия для бассейнов и водоемов</t>
        </is>
      </c>
      <c r="C1710" s="2" t="inlineStr">
        <is>
          <t>Товары для дома и дачи</t>
        </is>
      </c>
      <c r="D1710" s="2" t="inlineStr">
        <is>
          <t>Товары для дома и дачи → Дача, сад и огород → Бассейны и аксессуары → Химия для бассейнов и водоемов</t>
        </is>
      </c>
      <c r="E1710" s="3" t="n">
        <v>145000</v>
      </c>
      <c r="F1710" s="3" t="n">
        <v>15</v>
      </c>
      <c r="G1710" s="3">
        <f>IFERROR(E1710/F1710,0)</f>
        <v/>
      </c>
      <c r="H1710" s="3" t="n">
        <v>4</v>
      </c>
      <c r="I1710" s="2" t="n">
        <v>2</v>
      </c>
      <c r="J1710" s="3">
        <f>IFERROR(E1710/H1710,0)</f>
        <v/>
      </c>
      <c r="K1710" s="10">
        <f>E1710/'По разделам'!$B$21</f>
        <v/>
      </c>
      <c r="L1710" s="4">
        <f>L1709+K1710</f>
        <v/>
      </c>
      <c r="M1710" s="2" t="inlineStr">
        <is>
          <t>03915</t>
        </is>
      </c>
      <c r="N1710" s="2" t="inlineStr">
        <is>
          <t>https://app.redstat.kz/niche/03915?event_date=2026-08-01</t>
        </is>
      </c>
      <c r="O1710" s="2" t="inlineStr">
        <is>
          <t>https://kaspi.kz/shop/c/chemistry%20for%20pools%20and%20ponds/</t>
        </is>
      </c>
    </row>
    <row r="1711">
      <c r="A1711" s="2" t="n">
        <v>1710</v>
      </c>
      <c r="B1711" s="2" t="inlineStr">
        <is>
          <t>Перфораторы</t>
        </is>
      </c>
      <c r="C1711" s="2" t="inlineStr">
        <is>
          <t>Строительство, ремонт</t>
        </is>
      </c>
      <c r="D1711" s="2" t="inlineStr">
        <is>
          <t>Строительство, ремонт → Инструменты → Электроинструменты → Перфораторы</t>
        </is>
      </c>
      <c r="E1711" s="3" t="n">
        <v>144600</v>
      </c>
      <c r="F1711" s="3" t="n">
        <v>2</v>
      </c>
      <c r="G1711" s="3">
        <f>IFERROR(E1711/F1711,0)</f>
        <v/>
      </c>
      <c r="H1711" s="3" t="n">
        <v>2</v>
      </c>
      <c r="I1711" s="2" t="n">
        <v>2</v>
      </c>
      <c r="J1711" s="3">
        <f>IFERROR(E1711/H1711,0)</f>
        <v/>
      </c>
      <c r="K1711" s="10">
        <f>E1711/'По разделам'!$B$21</f>
        <v/>
      </c>
      <c r="L1711" s="4">
        <f>L1710+K1711</f>
        <v/>
      </c>
      <c r="M1711" s="2" t="inlineStr">
        <is>
          <t>03398</t>
        </is>
      </c>
      <c r="N1711" s="2" t="inlineStr">
        <is>
          <t>https://app.redstat.kz/niche/03398?event_date=2026-08-01</t>
        </is>
      </c>
      <c r="O1711" s="2" t="inlineStr">
        <is>
          <t>https://kaspi.kz/shop/c/hammer%20drills/</t>
        </is>
      </c>
    </row>
    <row r="1712">
      <c r="A1712" s="2" t="n">
        <v>1711</v>
      </c>
      <c r="B1712" s="2" t="inlineStr">
        <is>
          <t>Аксессуары для приготовления напитков</t>
        </is>
      </c>
      <c r="C1712" s="2" t="inlineStr">
        <is>
          <t>Товары для дома и дачи</t>
        </is>
      </c>
      <c r="D1712" s="2" t="inlineStr">
        <is>
          <t>Товары для дома и дачи → Посуда и принадлежности → Барные принадлежности → Аксессуары для приготовления напитков</t>
        </is>
      </c>
      <c r="E1712" s="3" t="n">
        <v>144590</v>
      </c>
      <c r="F1712" s="3" t="n">
        <v>14</v>
      </c>
      <c r="G1712" s="3">
        <f>IFERROR(E1712/F1712,0)</f>
        <v/>
      </c>
      <c r="H1712" s="3" t="n">
        <v>9</v>
      </c>
      <c r="I1712" s="2" t="n">
        <v>3</v>
      </c>
      <c r="J1712" s="3">
        <f>IFERROR(E1712/H1712,0)</f>
        <v/>
      </c>
      <c r="K1712" s="10">
        <f>E1712/'По разделам'!$B$21</f>
        <v/>
      </c>
      <c r="L1712" s="4">
        <f>L1711+K1712</f>
        <v/>
      </c>
      <c r="M1712" s="2" t="inlineStr">
        <is>
          <t>03916</t>
        </is>
      </c>
      <c r="N1712" s="2" t="inlineStr">
        <is>
          <t>https://app.redstat.kz/niche/03916?event_date=2026-08-01</t>
        </is>
      </c>
      <c r="O1712" s="2" t="inlineStr">
        <is>
          <t>https://kaspi.kz/shop/c/accessories%20for%20making%20drinks/</t>
        </is>
      </c>
    </row>
    <row r="1713">
      <c r="A1713" s="2" t="n">
        <v>1712</v>
      </c>
      <c r="B1713" s="2" t="inlineStr">
        <is>
          <t>Настольные лампы</t>
        </is>
      </c>
      <c r="C1713" s="2" t="inlineStr">
        <is>
          <t>Товары для дома и дачи</t>
        </is>
      </c>
      <c r="D1713" s="2" t="inlineStr">
        <is>
          <t>Товары для дома и дачи → Освещение → Настольные и напольные лампы → Настольные лампы</t>
        </is>
      </c>
      <c r="E1713" s="3" t="n">
        <v>144394</v>
      </c>
      <c r="F1713" s="3" t="n">
        <v>17</v>
      </c>
      <c r="G1713" s="3">
        <f>IFERROR(E1713/F1713,0)</f>
        <v/>
      </c>
      <c r="H1713" s="3" t="n">
        <v>8</v>
      </c>
      <c r="I1713" s="2" t="n">
        <v>4</v>
      </c>
      <c r="J1713" s="3">
        <f>IFERROR(E1713/H1713,0)</f>
        <v/>
      </c>
      <c r="K1713" s="10">
        <f>E1713/'По разделам'!$B$21</f>
        <v/>
      </c>
      <c r="L1713" s="4">
        <f>L1712+K1713</f>
        <v/>
      </c>
      <c r="M1713" s="2" t="inlineStr">
        <is>
          <t>09305</t>
        </is>
      </c>
      <c r="N1713" s="2" t="inlineStr">
        <is>
          <t>https://app.redstat.kz/niche/09305?event_date=2026-08-01</t>
        </is>
      </c>
      <c r="O1713" s="2" t="inlineStr">
        <is>
          <t>https://kaspi.kz/shop/c/desk%20lamps/</t>
        </is>
      </c>
    </row>
    <row r="1714">
      <c r="A1714" s="2" t="n">
        <v>1713</v>
      </c>
      <c r="B1714" s="2" t="inlineStr">
        <is>
          <t>Ароматизаторы салона автомобиля</t>
        </is>
      </c>
      <c r="C1714" s="2" t="inlineStr">
        <is>
          <t>Автотовары</t>
        </is>
      </c>
      <c r="D1714" s="2" t="inlineStr">
        <is>
          <t>Автотовары → Автохимия и автокосметика → Уход за салоном автомобиля → Ароматизаторы салона автомобиля</t>
        </is>
      </c>
      <c r="E1714" s="3" t="n">
        <v>141463</v>
      </c>
      <c r="F1714" s="3" t="n">
        <v>33</v>
      </c>
      <c r="G1714" s="3">
        <f>IFERROR(E1714/F1714,0)</f>
        <v/>
      </c>
      <c r="H1714" s="3" t="n">
        <v>15</v>
      </c>
      <c r="I1714" s="2" t="n">
        <v>11</v>
      </c>
      <c r="J1714" s="3">
        <f>IFERROR(E1714/H1714,0)</f>
        <v/>
      </c>
      <c r="K1714" s="10">
        <f>E1714/'По разделам'!$B$21</f>
        <v/>
      </c>
      <c r="L1714" s="4">
        <f>L1713+K1714</f>
        <v/>
      </c>
      <c r="M1714" s="2" t="inlineStr">
        <is>
          <t>02446</t>
        </is>
      </c>
      <c r="N1714" s="2" t="inlineStr">
        <is>
          <t>https://app.redstat.kz/niche/02446?event_date=2026-08-01</t>
        </is>
      </c>
      <c r="O1714" s="2" t="inlineStr">
        <is>
          <t>https://kaspi.kz/shop/c/car%20interior%20fragrances/</t>
        </is>
      </c>
    </row>
    <row r="1715">
      <c r="A1715" s="2" t="n">
        <v>1714</v>
      </c>
      <c r="B1715" s="2" t="inlineStr">
        <is>
          <t>Утеплители для автомобиля</t>
        </is>
      </c>
      <c r="C1715" s="2" t="inlineStr">
        <is>
          <t>Автотовары</t>
        </is>
      </c>
      <c r="D1715" s="2" t="inlineStr">
        <is>
          <t>Автотовары → Автомобильное оборудование → Утеплители для автомобиля</t>
        </is>
      </c>
      <c r="E1715" s="3" t="n">
        <v>141270</v>
      </c>
      <c r="F1715" s="3" t="n">
        <v>9</v>
      </c>
      <c r="G1715" s="3">
        <f>IFERROR(E1715/F1715,0)</f>
        <v/>
      </c>
      <c r="H1715" s="3" t="n">
        <v>2</v>
      </c>
      <c r="I1715" s="2" t="n">
        <v>0</v>
      </c>
      <c r="J1715" s="3">
        <f>IFERROR(E1715/H1715,0)</f>
        <v/>
      </c>
      <c r="K1715" s="10">
        <f>E1715/'По разделам'!$B$21</f>
        <v/>
      </c>
      <c r="L1715" s="4">
        <f>L1714+K1715</f>
        <v/>
      </c>
      <c r="M1715" s="2" t="inlineStr">
        <is>
          <t>01298</t>
        </is>
      </c>
      <c r="N1715" s="2" t="inlineStr">
        <is>
          <t>https://app.redstat.kz/niche/01298?event_date=2026-08-01</t>
        </is>
      </c>
      <c r="O1715" s="2" t="inlineStr">
        <is>
          <t>https://kaspi.kz/shop/c/thermal%20insulation%20for%20car/</t>
        </is>
      </c>
    </row>
    <row r="1716">
      <c r="A1716" s="2" t="n">
        <v>1715</v>
      </c>
      <c r="B1716" s="2" t="inlineStr">
        <is>
          <t>Подставки и держатели для посуды</t>
        </is>
      </c>
      <c r="C1716" s="2" t="inlineStr">
        <is>
          <t>Товары для дома и дачи</t>
        </is>
      </c>
      <c r="D1716" s="2" t="inlineStr">
        <is>
          <t>Товары для дома и дачи → Посуда и принадлежности → Кухонные принадлежности → Подставки и держатели для посуды</t>
        </is>
      </c>
      <c r="E1716" s="3" t="n">
        <v>139061</v>
      </c>
      <c r="F1716" s="3" t="n">
        <v>126</v>
      </c>
      <c r="G1716" s="3">
        <f>IFERROR(E1716/F1716,0)</f>
        <v/>
      </c>
      <c r="H1716" s="3" t="n">
        <v>32</v>
      </c>
      <c r="I1716" s="2" t="n">
        <v>14</v>
      </c>
      <c r="J1716" s="3">
        <f>IFERROR(E1716/H1716,0)</f>
        <v/>
      </c>
      <c r="K1716" s="10">
        <f>E1716/'По разделам'!$B$21</f>
        <v/>
      </c>
      <c r="L1716" s="4">
        <f>L1715+K1716</f>
        <v/>
      </c>
      <c r="M1716" s="2" t="inlineStr">
        <is>
          <t>03341</t>
        </is>
      </c>
      <c r="N1716" s="2" t="inlineStr">
        <is>
          <t>https://app.redstat.kz/niche/03341?event_date=2026-08-01</t>
        </is>
      </c>
      <c r="O1716" s="2" t="inlineStr">
        <is>
          <t>https://kaspi.kz/shop/c/dish%20stands/</t>
        </is>
      </c>
    </row>
    <row r="1717">
      <c r="A1717" s="2" t="n">
        <v>1716</v>
      </c>
      <c r="B1717" s="2" t="inlineStr">
        <is>
          <t>Воздушные компрессоры</t>
        </is>
      </c>
      <c r="C1717" s="2" t="inlineStr">
        <is>
          <t>Строительство, ремонт</t>
        </is>
      </c>
      <c r="D1717" s="2" t="inlineStr">
        <is>
          <t>Строительство, ремонт → Инструменты → Пневмоинструменты → Воздушные компрессоры</t>
        </is>
      </c>
      <c r="E1717" s="3" t="n">
        <v>139041</v>
      </c>
      <c r="F1717" s="3" t="n">
        <v>21</v>
      </c>
      <c r="G1717" s="3">
        <f>IFERROR(E1717/F1717,0)</f>
        <v/>
      </c>
      <c r="H1717" s="3" t="n">
        <v>7</v>
      </c>
      <c r="I1717" s="2" t="n">
        <v>3</v>
      </c>
      <c r="J1717" s="3">
        <f>IFERROR(E1717/H1717,0)</f>
        <v/>
      </c>
      <c r="K1717" s="10">
        <f>E1717/'По разделам'!$B$21</f>
        <v/>
      </c>
      <c r="L1717" s="4">
        <f>L1716+K1717</f>
        <v/>
      </c>
      <c r="M1717" s="2" t="inlineStr">
        <is>
          <t>03538</t>
        </is>
      </c>
      <c r="N1717" s="2" t="inlineStr">
        <is>
          <t>https://app.redstat.kz/niche/03538?event_date=2026-08-01</t>
        </is>
      </c>
      <c r="O1717" s="2" t="inlineStr">
        <is>
          <t>https://kaspi.kz/shop/c/air%20compressors/</t>
        </is>
      </c>
    </row>
    <row r="1718">
      <c r="A1718" s="2" t="n">
        <v>1717</v>
      </c>
      <c r="B1718" s="2" t="inlineStr">
        <is>
          <t>Сэндвичницы и вафельницы</t>
        </is>
      </c>
      <c r="C1718" s="2" t="inlineStr">
        <is>
          <t>Бытовая техника</t>
        </is>
      </c>
      <c r="D1718" s="2" t="inlineStr">
        <is>
          <t>Бытовая техника → Мелкая техника для кухни → Техника для приготовления десертов → Сэндвичницы и вафельницы</t>
        </is>
      </c>
      <c r="E1718" s="3" t="n">
        <v>137795</v>
      </c>
      <c r="F1718" s="3" t="n">
        <v>9</v>
      </c>
      <c r="G1718" s="3">
        <f>IFERROR(E1718/F1718,0)</f>
        <v/>
      </c>
      <c r="H1718" s="3" t="n">
        <v>9</v>
      </c>
      <c r="I1718" s="2" t="n">
        <v>6</v>
      </c>
      <c r="J1718" s="3">
        <f>IFERROR(E1718/H1718,0)</f>
        <v/>
      </c>
      <c r="K1718" s="10">
        <f>E1718/'По разделам'!$B$21</f>
        <v/>
      </c>
      <c r="L1718" s="4">
        <f>L1717+K1718</f>
        <v/>
      </c>
      <c r="M1718" s="2" t="inlineStr">
        <is>
          <t>03485</t>
        </is>
      </c>
      <c r="N1718" s="2" t="inlineStr">
        <is>
          <t>https://app.redstat.kz/niche/03485?event_date=2026-08-01</t>
        </is>
      </c>
      <c r="O1718" s="2" t="inlineStr">
        <is>
          <t>https://kaspi.kz/shop/c/sandwich%20and%20waffle%20makers/</t>
        </is>
      </c>
    </row>
    <row r="1719">
      <c r="A1719" s="2" t="n">
        <v>1718</v>
      </c>
      <c r="B1719" s="2" t="inlineStr">
        <is>
          <t>Кабели для автопроводки</t>
        </is>
      </c>
      <c r="C1719" s="2" t="inlineStr">
        <is>
          <t>Автотовары</t>
        </is>
      </c>
      <c r="D1719" s="2" t="inlineStr">
        <is>
          <t>Автотовары → Автоэлектроника → Кабели для автопроводки</t>
        </is>
      </c>
      <c r="E1719" s="3" t="n">
        <v>137628</v>
      </c>
      <c r="F1719" s="3" t="n">
        <v>31</v>
      </c>
      <c r="G1719" s="3">
        <f>IFERROR(E1719/F1719,0)</f>
        <v/>
      </c>
      <c r="H1719" s="3" t="n">
        <v>9</v>
      </c>
      <c r="I1719" s="2" t="n">
        <v>4</v>
      </c>
      <c r="J1719" s="3">
        <f>IFERROR(E1719/H1719,0)</f>
        <v/>
      </c>
      <c r="K1719" s="10">
        <f>E1719/'По разделам'!$B$21</f>
        <v/>
      </c>
      <c r="L1719" s="4">
        <f>L1718+K1719</f>
        <v/>
      </c>
      <c r="M1719" s="2" t="inlineStr">
        <is>
          <t>06991</t>
        </is>
      </c>
      <c r="N1719" s="2" t="inlineStr">
        <is>
          <t>https://app.redstat.kz/niche/06991?event_date=2026-08-01</t>
        </is>
      </c>
      <c r="O1719" s="2" t="inlineStr">
        <is>
          <t>https://kaspi.kz/shop/c/cables%20for%20car%20wiring/</t>
        </is>
      </c>
    </row>
    <row r="1720">
      <c r="A1720" s="2" t="n">
        <v>1719</v>
      </c>
      <c r="B1720" s="2" t="inlineStr">
        <is>
          <t>Рули для самокатов</t>
        </is>
      </c>
      <c r="C1720" s="2" t="inlineStr">
        <is>
          <t>Спорт, туризм</t>
        </is>
      </c>
      <c r="D1720" s="2" t="inlineStr">
        <is>
          <t>Спорт, туризм → Самокаты, гироскутеры, моноколеса → Рули для самокатов</t>
        </is>
      </c>
      <c r="E1720" s="3" t="n">
        <v>137260</v>
      </c>
      <c r="F1720" s="3" t="n">
        <v>10</v>
      </c>
      <c r="G1720" s="3">
        <f>IFERROR(E1720/F1720,0)</f>
        <v/>
      </c>
      <c r="H1720" s="3" t="n">
        <v>6</v>
      </c>
      <c r="I1720" s="2" t="n">
        <v>5</v>
      </c>
      <c r="J1720" s="3">
        <f>IFERROR(E1720/H1720,0)</f>
        <v/>
      </c>
      <c r="K1720" s="10">
        <f>E1720/'По разделам'!$B$21</f>
        <v/>
      </c>
      <c r="L1720" s="4">
        <f>L1719+K1720</f>
        <v/>
      </c>
      <c r="M1720" s="2" t="inlineStr">
        <is>
          <t>04088</t>
        </is>
      </c>
      <c r="N1720" s="2" t="inlineStr">
        <is>
          <t>https://app.redstat.kz/niche/04088?event_date=2026-08-01</t>
        </is>
      </c>
      <c r="O1720" s="2" t="inlineStr">
        <is>
          <t>https://kaspi.kz/shop/c/scooter%20handlebars/</t>
        </is>
      </c>
    </row>
    <row r="1721">
      <c r="A1721" s="2" t="n">
        <v>1720</v>
      </c>
      <c r="B1721" s="2" t="inlineStr">
        <is>
          <t>Кухонные комбайны</t>
        </is>
      </c>
      <c r="C1721" s="2" t="inlineStr">
        <is>
          <t>Бытовая техника</t>
        </is>
      </c>
      <c r="D1721" s="2" t="inlineStr">
        <is>
          <t>Бытовая техника → Мелкая техника для кухни → Кухонные комбайны и мясорубки → Кухонные комбайны</t>
        </is>
      </c>
      <c r="E1721" s="3" t="n">
        <v>136580</v>
      </c>
      <c r="F1721" s="3" t="n">
        <v>2</v>
      </c>
      <c r="G1721" s="3">
        <f>IFERROR(E1721/F1721,0)</f>
        <v/>
      </c>
      <c r="H1721" s="3" t="n">
        <v>1</v>
      </c>
      <c r="I1721" s="2" t="n">
        <v>1</v>
      </c>
      <c r="J1721" s="3">
        <f>IFERROR(E1721/H1721,0)</f>
        <v/>
      </c>
      <c r="K1721" s="10">
        <f>E1721/'По разделам'!$B$21</f>
        <v/>
      </c>
      <c r="L1721" s="4">
        <f>L1720+K1721</f>
        <v/>
      </c>
      <c r="M1721" s="2" t="inlineStr">
        <is>
          <t>03513</t>
        </is>
      </c>
      <c r="N1721" s="2" t="inlineStr">
        <is>
          <t>https://app.redstat.kz/niche/03513?event_date=2026-08-01</t>
        </is>
      </c>
      <c r="O1721" s="2" t="inlineStr">
        <is>
          <t>https://kaspi.kz/shop/c/food%20processors/</t>
        </is>
      </c>
    </row>
    <row r="1722">
      <c r="A1722" s="2" t="n">
        <v>1721</v>
      </c>
      <c r="B1722" s="2" t="inlineStr">
        <is>
          <t>Аксессуары для холодильников и морозильников</t>
        </is>
      </c>
      <c r="C1722" s="2" t="inlineStr">
        <is>
          <t>Бытовая техника</t>
        </is>
      </c>
      <c r="D1722" s="2" t="inlineStr">
        <is>
          <t>Бытовая техника → Крупная техника для дома → Аксессуары для крупной бытовой техники → Аксессуары для холодильников и морозильников</t>
        </is>
      </c>
      <c r="E1722" s="3" t="n">
        <v>134494</v>
      </c>
      <c r="F1722" s="3" t="n">
        <v>12</v>
      </c>
      <c r="G1722" s="3">
        <f>IFERROR(E1722/F1722,0)</f>
        <v/>
      </c>
      <c r="H1722" s="3" t="n">
        <v>4</v>
      </c>
      <c r="I1722" s="2" t="n">
        <v>0</v>
      </c>
      <c r="J1722" s="3">
        <f>IFERROR(E1722/H1722,0)</f>
        <v/>
      </c>
      <c r="K1722" s="10">
        <f>E1722/'По разделам'!$B$21</f>
        <v/>
      </c>
      <c r="L1722" s="4">
        <f>L1721+K1722</f>
        <v/>
      </c>
      <c r="M1722" s="2" t="inlineStr">
        <is>
          <t>04494</t>
        </is>
      </c>
      <c r="N1722" s="2" t="inlineStr">
        <is>
          <t>https://app.redstat.kz/niche/04494?event_date=2026-08-01</t>
        </is>
      </c>
      <c r="O1722" s="2" t="inlineStr">
        <is>
          <t>https://kaspi.kz/shop/c/refrigerator%20accessories/</t>
        </is>
      </c>
    </row>
    <row r="1723">
      <c r="A1723" s="2" t="n">
        <v>1722</v>
      </c>
      <c r="B1723" s="2" t="inlineStr">
        <is>
          <t>Кусторезы</t>
        </is>
      </c>
      <c r="C1723" s="2" t="inlineStr">
        <is>
          <t>Товары для дома и дачи</t>
        </is>
      </c>
      <c r="D1723" s="2" t="inlineStr">
        <is>
          <t>Товары для дома и дачи → Дача, сад и огород → Садовая техника → Кусторезы</t>
        </is>
      </c>
      <c r="E1723" s="3" t="n">
        <v>133595</v>
      </c>
      <c r="F1723" s="3" t="n">
        <v>3</v>
      </c>
      <c r="G1723" s="3">
        <f>IFERROR(E1723/F1723,0)</f>
        <v/>
      </c>
      <c r="H1723" s="3" t="n">
        <v>3</v>
      </c>
      <c r="I1723" s="2" t="n">
        <v>3</v>
      </c>
      <c r="J1723" s="3">
        <f>IFERROR(E1723/H1723,0)</f>
        <v/>
      </c>
      <c r="K1723" s="10">
        <f>E1723/'По разделам'!$B$21</f>
        <v/>
      </c>
      <c r="L1723" s="4">
        <f>L1722+K1723</f>
        <v/>
      </c>
      <c r="M1723" s="2" t="inlineStr">
        <is>
          <t>00829</t>
        </is>
      </c>
      <c r="N1723" s="2" t="inlineStr">
        <is>
          <t>https://app.redstat.kz/niche/00829?event_date=2026-08-01</t>
        </is>
      </c>
      <c r="O1723" s="2" t="inlineStr">
        <is>
          <t>https://kaspi.kz/shop/c/hedge%20trimmers/</t>
        </is>
      </c>
    </row>
    <row r="1724">
      <c r="A1724" s="2" t="n">
        <v>1723</v>
      </c>
      <c r="B1724" s="2" t="inlineStr">
        <is>
          <t>Бутылки для напитков</t>
        </is>
      </c>
      <c r="C1724" s="2" t="inlineStr">
        <is>
          <t>Товары для дома и дачи</t>
        </is>
      </c>
      <c r="D1724" s="2" t="inlineStr">
        <is>
          <t>Товары для дома и дачи → Посуда и принадлежности → Посуда для хранения продуктов → Бутылки для напитков</t>
        </is>
      </c>
      <c r="E1724" s="3" t="n">
        <v>132718</v>
      </c>
      <c r="F1724" s="3" t="n">
        <v>38</v>
      </c>
      <c r="G1724" s="3">
        <f>IFERROR(E1724/F1724,0)</f>
        <v/>
      </c>
      <c r="H1724" s="3" t="n">
        <v>18</v>
      </c>
      <c r="I1724" s="2" t="n">
        <v>8</v>
      </c>
      <c r="J1724" s="3">
        <f>IFERROR(E1724/H1724,0)</f>
        <v/>
      </c>
      <c r="K1724" s="10">
        <f>E1724/'По разделам'!$B$21</f>
        <v/>
      </c>
      <c r="L1724" s="4">
        <f>L1723+K1724</f>
        <v/>
      </c>
      <c r="M1724" s="2" t="inlineStr">
        <is>
          <t>03870</t>
        </is>
      </c>
      <c r="N1724" s="2" t="inlineStr">
        <is>
          <t>https://app.redstat.kz/niche/03870?event_date=2026-08-01</t>
        </is>
      </c>
      <c r="O1724" s="2" t="inlineStr">
        <is>
          <t>https://kaspi.kz/shop/c/beverage%20bottles/</t>
        </is>
      </c>
    </row>
    <row r="1725">
      <c r="A1725" s="2" t="n">
        <v>1724</v>
      </c>
      <c r="B1725" s="2" t="inlineStr">
        <is>
          <t>Берн машины</t>
        </is>
      </c>
      <c r="C1725" s="2" t="inlineStr">
        <is>
          <t>Спорт, туризм</t>
        </is>
      </c>
      <c r="D1725" s="2" t="inlineStr">
        <is>
          <t>Спорт, туризм → Единоборства → Берн машины</t>
        </is>
      </c>
      <c r="E1725" s="3" t="n">
        <v>131866</v>
      </c>
      <c r="F1725" s="3" t="n">
        <v>7</v>
      </c>
      <c r="G1725" s="3">
        <f>IFERROR(E1725/F1725,0)</f>
        <v/>
      </c>
      <c r="H1725" s="3" t="n">
        <v>5</v>
      </c>
      <c r="I1725" s="2" t="n">
        <v>2</v>
      </c>
      <c r="J1725" s="3">
        <f>IFERROR(E1725/H1725,0)</f>
        <v/>
      </c>
      <c r="K1725" s="10">
        <f>E1725/'По разделам'!$B$21</f>
        <v/>
      </c>
      <c r="L1725" s="4">
        <f>L1724+K1725</f>
        <v/>
      </c>
      <c r="M1725" s="2" t="inlineStr">
        <is>
          <t>07213</t>
        </is>
      </c>
      <c r="N1725" s="2" t="inlineStr">
        <is>
          <t>https://app.redstat.kz/niche/07213?event_date=2026-08-01</t>
        </is>
      </c>
      <c r="O1725" s="2" t="inlineStr">
        <is>
          <t>https://kaspi.kz/shop/c/bern%20machines/</t>
        </is>
      </c>
    </row>
    <row r="1726">
      <c r="A1726" s="2" t="n">
        <v>1725</v>
      </c>
      <c r="B1726" s="2" t="inlineStr">
        <is>
          <t>Замки для грифов</t>
        </is>
      </c>
      <c r="C1726" s="2" t="inlineStr">
        <is>
          <t>Спорт, туризм</t>
        </is>
      </c>
      <c r="D1726" s="2" t="inlineStr">
        <is>
          <t>Спорт, туризм → Тренажеры → Замки для грифов</t>
        </is>
      </c>
      <c r="E1726" s="3" t="n">
        <v>130231</v>
      </c>
      <c r="F1726" s="3" t="n">
        <v>46</v>
      </c>
      <c r="G1726" s="3">
        <f>IFERROR(E1726/F1726,0)</f>
        <v/>
      </c>
      <c r="H1726" s="3" t="n">
        <v>8</v>
      </c>
      <c r="I1726" s="2" t="n">
        <v>3</v>
      </c>
      <c r="J1726" s="3">
        <f>IFERROR(E1726/H1726,0)</f>
        <v/>
      </c>
      <c r="K1726" s="10">
        <f>E1726/'По разделам'!$B$21</f>
        <v/>
      </c>
      <c r="L1726" s="4">
        <f>L1725+K1726</f>
        <v/>
      </c>
      <c r="M1726" s="2" t="inlineStr">
        <is>
          <t>04760</t>
        </is>
      </c>
      <c r="N1726" s="2" t="inlineStr">
        <is>
          <t>https://app.redstat.kz/niche/04760?event_date=2026-08-01</t>
        </is>
      </c>
      <c r="O1726" s="2" t="inlineStr">
        <is>
          <t>https://kaspi.kz/shop/c/locks%20for%20barbell%20bars/</t>
        </is>
      </c>
    </row>
    <row r="1727">
      <c r="A1727" s="2" t="n">
        <v>1726</v>
      </c>
      <c r="B1727" s="2" t="inlineStr">
        <is>
          <t>Сани для кроссфита</t>
        </is>
      </c>
      <c r="C1727" s="2" t="inlineStr">
        <is>
          <t>Спорт, туризм</t>
        </is>
      </c>
      <c r="D1727" s="2" t="inlineStr">
        <is>
          <t>Спорт, туризм → Тренажеры → Сани для кроссфита</t>
        </is>
      </c>
      <c r="E1727" s="3" t="n">
        <v>130000</v>
      </c>
      <c r="F1727" s="3" t="n">
        <v>1</v>
      </c>
      <c r="G1727" s="3">
        <f>IFERROR(E1727/F1727,0)</f>
        <v/>
      </c>
      <c r="H1727" s="3" t="n">
        <v>1</v>
      </c>
      <c r="I1727" s="2" t="n">
        <v>1</v>
      </c>
      <c r="J1727" s="3">
        <f>IFERROR(E1727/H1727,0)</f>
        <v/>
      </c>
      <c r="K1727" s="10">
        <f>E1727/'По разделам'!$B$21</f>
        <v/>
      </c>
      <c r="L1727" s="4">
        <f>L1726+K1727</f>
        <v/>
      </c>
      <c r="M1727" s="2" t="inlineStr">
        <is>
          <t>04682</t>
        </is>
      </c>
      <c r="N1727" s="2" t="inlineStr">
        <is>
          <t>https://app.redstat.kz/niche/04682?event_date=2026-08-01</t>
        </is>
      </c>
      <c r="O1727" s="2" t="inlineStr">
        <is>
          <t>https://kaspi.kz/shop/c/crossfit%20sled/</t>
        </is>
      </c>
    </row>
    <row r="1728">
      <c r="A1728" s="2" t="n">
        <v>1727</v>
      </c>
      <c r="B1728" s="2" t="inlineStr">
        <is>
          <t>Ракель</t>
        </is>
      </c>
      <c r="C1728" s="2" t="inlineStr">
        <is>
          <t>Канцелярские товары</t>
        </is>
      </c>
      <c r="D1728" s="2" t="inlineStr">
        <is>
          <t>Канцелярские товары → Постпечатное оборудование → Ракель</t>
        </is>
      </c>
      <c r="E1728" s="3" t="n">
        <v>129928</v>
      </c>
      <c r="F1728" s="3" t="n">
        <v>87</v>
      </c>
      <c r="G1728" s="3">
        <f>IFERROR(E1728/F1728,0)</f>
        <v/>
      </c>
      <c r="H1728" s="3" t="n">
        <v>23</v>
      </c>
      <c r="I1728" s="2" t="n">
        <v>6</v>
      </c>
      <c r="J1728" s="3">
        <f>IFERROR(E1728/H1728,0)</f>
        <v/>
      </c>
      <c r="K1728" s="10">
        <f>E1728/'По разделам'!$B$21</f>
        <v/>
      </c>
      <c r="L1728" s="4">
        <f>L1727+K1728</f>
        <v/>
      </c>
      <c r="M1728" s="2" t="inlineStr">
        <is>
          <t>06316</t>
        </is>
      </c>
      <c r="N1728" s="2" t="inlineStr">
        <is>
          <t>https://app.redstat.kz/niche/06316?event_date=2026-08-01</t>
        </is>
      </c>
      <c r="O1728" s="2" t="inlineStr">
        <is>
          <t>https://kaspi.kz/shop/c/raquel/</t>
        </is>
      </c>
    </row>
    <row r="1729">
      <c r="A1729" s="2" t="n">
        <v>1728</v>
      </c>
      <c r="B1729" s="2" t="inlineStr">
        <is>
          <t>Фейринги</t>
        </is>
      </c>
      <c r="C1729" s="2" t="inlineStr">
        <is>
          <t>Автотовары</t>
        </is>
      </c>
      <c r="D1729" s="2" t="inlineStr">
        <is>
          <t>Автотовары → Багажные системы → Фейринги</t>
        </is>
      </c>
      <c r="E1729" s="3" t="n">
        <v>129500</v>
      </c>
      <c r="F1729" s="3" t="n">
        <v>3</v>
      </c>
      <c r="G1729" s="3">
        <f>IFERROR(E1729/F1729,0)</f>
        <v/>
      </c>
      <c r="H1729" s="3" t="n">
        <v>3</v>
      </c>
      <c r="I1729" s="2" t="n">
        <v>2</v>
      </c>
      <c r="J1729" s="3">
        <f>IFERROR(E1729/H1729,0)</f>
        <v/>
      </c>
      <c r="K1729" s="10">
        <f>E1729/'По разделам'!$B$21</f>
        <v/>
      </c>
      <c r="L1729" s="4">
        <f>L1728+K1729</f>
        <v/>
      </c>
      <c r="M1729" s="2" t="inlineStr">
        <is>
          <t>02321</t>
        </is>
      </c>
      <c r="N1729" s="2" t="inlineStr">
        <is>
          <t>https://app.redstat.kz/niche/02321?event_date=2026-08-01</t>
        </is>
      </c>
      <c r="O1729" s="2" t="inlineStr">
        <is>
          <t>https://kaspi.kz/shop/c/fairings/</t>
        </is>
      </c>
    </row>
    <row r="1730">
      <c r="A1730" s="2" t="n">
        <v>1729</v>
      </c>
      <c r="B1730" s="2" t="inlineStr">
        <is>
          <t>Сантехнические, разводные ключи</t>
        </is>
      </c>
      <c r="C1730" s="2" t="inlineStr">
        <is>
          <t>Строительство, ремонт</t>
        </is>
      </c>
      <c r="D1730" s="2" t="inlineStr">
        <is>
          <t>Строительство, ремонт → Ручные инструменты → Сантехнический инструмент → Сантехнические, разводные ключи</t>
        </is>
      </c>
      <c r="E1730" s="3" t="n">
        <v>129204</v>
      </c>
      <c r="F1730" s="3" t="n">
        <v>13</v>
      </c>
      <c r="G1730" s="3">
        <f>IFERROR(E1730/F1730,0)</f>
        <v/>
      </c>
      <c r="H1730" s="3" t="n">
        <v>5</v>
      </c>
      <c r="I1730" s="2" t="n">
        <v>3</v>
      </c>
      <c r="J1730" s="3">
        <f>IFERROR(E1730/H1730,0)</f>
        <v/>
      </c>
      <c r="K1730" s="10">
        <f>E1730/'По разделам'!$B$21</f>
        <v/>
      </c>
      <c r="L1730" s="4">
        <f>L1729+K1730</f>
        <v/>
      </c>
      <c r="M1730" s="2" t="inlineStr">
        <is>
          <t>03390</t>
        </is>
      </c>
      <c r="N1730" s="2" t="inlineStr">
        <is>
          <t>https://app.redstat.kz/niche/03390?event_date=2026-08-01</t>
        </is>
      </c>
      <c r="O1730" s="2" t="inlineStr">
        <is>
          <t>https://kaspi.kz/shop/c/plumbing%20wrenches/</t>
        </is>
      </c>
    </row>
    <row r="1731">
      <c r="A1731" s="2" t="n">
        <v>1730</v>
      </c>
      <c r="B1731" s="2" t="inlineStr">
        <is>
          <t>Заготовки для пластиковых карт</t>
        </is>
      </c>
      <c r="C1731" s="2" t="inlineStr">
        <is>
          <t>Канцелярские товары</t>
        </is>
      </c>
      <c r="D1731" s="2" t="inlineStr">
        <is>
          <t>Канцелярские товары → Торговые и рекламные принадлежности → Заготовки для пластиковых карт</t>
        </is>
      </c>
      <c r="E1731" s="3" t="n">
        <v>127500</v>
      </c>
      <c r="F1731" s="3" t="n">
        <v>12</v>
      </c>
      <c r="G1731" s="3">
        <f>IFERROR(E1731/F1731,0)</f>
        <v/>
      </c>
      <c r="H1731" s="3" t="n">
        <v>4</v>
      </c>
      <c r="I1731" s="2" t="n">
        <v>1</v>
      </c>
      <c r="J1731" s="3">
        <f>IFERROR(E1731/H1731,0)</f>
        <v/>
      </c>
      <c r="K1731" s="10">
        <f>E1731/'По разделам'!$B$21</f>
        <v/>
      </c>
      <c r="L1731" s="4">
        <f>L1730+K1731</f>
        <v/>
      </c>
      <c r="M1731" s="2" t="inlineStr">
        <is>
          <t>06436</t>
        </is>
      </c>
      <c r="N1731" s="2" t="inlineStr">
        <is>
          <t>https://app.redstat.kz/niche/06436?event_date=2026-08-01</t>
        </is>
      </c>
      <c r="O1731" s="2" t="inlineStr">
        <is>
          <t>https://kaspi.kz/shop/c/blanks%20for%20plastic%20cards/</t>
        </is>
      </c>
    </row>
    <row r="1732">
      <c r="A1732" s="2" t="n">
        <v>1731</v>
      </c>
      <c r="B1732" s="2" t="inlineStr">
        <is>
          <t>Наволочки</t>
        </is>
      </c>
      <c r="C1732" s="2" t="inlineStr">
        <is>
          <t>Товары для дома и дачи</t>
        </is>
      </c>
      <c r="D1732" s="2" t="inlineStr">
        <is>
          <t>Товары для дома и дачи → Домашний текстиль → Постельное белье → Наволочки</t>
        </is>
      </c>
      <c r="E1732" s="3" t="n">
        <v>127123</v>
      </c>
      <c r="F1732" s="3" t="n">
        <v>38</v>
      </c>
      <c r="G1732" s="3">
        <f>IFERROR(E1732/F1732,0)</f>
        <v/>
      </c>
      <c r="H1732" s="3" t="n">
        <v>20</v>
      </c>
      <c r="I1732" s="2" t="n">
        <v>9</v>
      </c>
      <c r="J1732" s="3">
        <f>IFERROR(E1732/H1732,0)</f>
        <v/>
      </c>
      <c r="K1732" s="10">
        <f>E1732/'По разделам'!$B$21</f>
        <v/>
      </c>
      <c r="L1732" s="4">
        <f>L1731+K1732</f>
        <v/>
      </c>
      <c r="M1732" s="2" t="inlineStr">
        <is>
          <t>02600</t>
        </is>
      </c>
      <c r="N1732" s="2" t="inlineStr">
        <is>
          <t>https://app.redstat.kz/niche/02600?event_date=2026-08-01</t>
        </is>
      </c>
      <c r="O1732" s="2" t="inlineStr">
        <is>
          <t>https://kaspi.kz/shop/c/pillowcases/</t>
        </is>
      </c>
    </row>
    <row r="1733">
      <c r="A1733" s="2" t="n">
        <v>1732</v>
      </c>
      <c r="B1733" s="2" t="inlineStr">
        <is>
          <t>Аксессуары для кассовых боксов</t>
        </is>
      </c>
      <c r="C1733" s="2" t="inlineStr">
        <is>
          <t>Канцелярские товары</t>
        </is>
      </c>
      <c r="D1733" s="2" t="inlineStr">
        <is>
          <t>Канцелярские товары → Торговые и рекламные принадлежности → Аксессуары для кассовых боксов</t>
        </is>
      </c>
      <c r="E1733" s="3" t="n">
        <v>126364</v>
      </c>
      <c r="F1733" s="3" t="n">
        <v>21</v>
      </c>
      <c r="G1733" s="3">
        <f>IFERROR(E1733/F1733,0)</f>
        <v/>
      </c>
      <c r="H1733" s="3" t="n">
        <v>7</v>
      </c>
      <c r="I1733" s="2" t="n">
        <v>2</v>
      </c>
      <c r="J1733" s="3">
        <f>IFERROR(E1733/H1733,0)</f>
        <v/>
      </c>
      <c r="K1733" s="10">
        <f>E1733/'По разделам'!$B$21</f>
        <v/>
      </c>
      <c r="L1733" s="4">
        <f>L1732+K1733</f>
        <v/>
      </c>
      <c r="M1733" s="2" t="inlineStr">
        <is>
          <t>06263</t>
        </is>
      </c>
      <c r="N1733" s="2" t="inlineStr">
        <is>
          <t>https://app.redstat.kz/niche/06263?event_date=2026-08-01</t>
        </is>
      </c>
      <c r="O1733" s="2" t="inlineStr">
        <is>
          <t>https://kaspi.kz/shop/c/checkout%20accessories/</t>
        </is>
      </c>
    </row>
    <row r="1734">
      <c r="A1734" s="2" t="n">
        <v>1733</v>
      </c>
      <c r="B1734" s="2" t="inlineStr">
        <is>
          <t>Аксессуары для ванной</t>
        </is>
      </c>
      <c r="C1734" s="2" t="inlineStr">
        <is>
          <t>Товары для дома и дачи</t>
        </is>
      </c>
      <c r="D1734" s="2" t="inlineStr">
        <is>
          <t>Товары для дома и дачи → Хозяйственные товары → Аксессуары для ванной и туалета → Аксессуары для ванной</t>
        </is>
      </c>
      <c r="E1734" s="3" t="n">
        <v>125492</v>
      </c>
      <c r="F1734" s="3" t="n">
        <v>17</v>
      </c>
      <c r="G1734" s="3">
        <f>IFERROR(E1734/F1734,0)</f>
        <v/>
      </c>
      <c r="H1734" s="3" t="n">
        <v>11</v>
      </c>
      <c r="I1734" s="2" t="n">
        <v>5</v>
      </c>
      <c r="J1734" s="3">
        <f>IFERROR(E1734/H1734,0)</f>
        <v/>
      </c>
      <c r="K1734" s="10">
        <f>E1734/'По разделам'!$B$21</f>
        <v/>
      </c>
      <c r="L1734" s="4">
        <f>L1733+K1734</f>
        <v/>
      </c>
      <c r="M1734" s="2" t="inlineStr">
        <is>
          <t>04709</t>
        </is>
      </c>
      <c r="N1734" s="2" t="inlineStr">
        <is>
          <t>https://app.redstat.kz/niche/04709?event_date=2026-08-01</t>
        </is>
      </c>
      <c r="O1734" s="2" t="inlineStr">
        <is>
          <t>https://kaspi.kz/shop/c/bath%20accessories/</t>
        </is>
      </c>
    </row>
    <row r="1735">
      <c r="A1735" s="2" t="n">
        <v>1734</v>
      </c>
      <c r="B1735" s="2" t="inlineStr">
        <is>
          <t>Наборы кофточек для малышей</t>
        </is>
      </c>
      <c r="C1735" s="2" t="inlineStr">
        <is>
          <t>Одежда</t>
        </is>
      </c>
      <c r="D1735" s="2" t="inlineStr">
        <is>
          <t>Одежда → Одежда для малышей → Наборы кофточек для малышей</t>
        </is>
      </c>
      <c r="E1735" s="3" t="n">
        <v>125372</v>
      </c>
      <c r="F1735" s="3" t="n">
        <v>34</v>
      </c>
      <c r="G1735" s="3">
        <f>IFERROR(E1735/F1735,0)</f>
        <v/>
      </c>
      <c r="H1735" s="3" t="n">
        <v>12</v>
      </c>
      <c r="I1735" s="2" t="n">
        <v>4</v>
      </c>
      <c r="J1735" s="3">
        <f>IFERROR(E1735/H1735,0)</f>
        <v/>
      </c>
      <c r="K1735" s="10">
        <f>E1735/'По разделам'!$B$21</f>
        <v/>
      </c>
      <c r="L1735" s="4">
        <f>L1734+K1735</f>
        <v/>
      </c>
      <c r="M1735" s="2" t="inlineStr">
        <is>
          <t>qb67e3959bf0c2bd</t>
        </is>
      </c>
      <c r="N1735" s="2" t="inlineStr">
        <is>
          <t>https://app.redstat.kz/niche/qb67e3959bf0c2bd?event_date=2026-08-01</t>
        </is>
      </c>
      <c r="O1735" s="2" t="inlineStr"/>
    </row>
    <row r="1736">
      <c r="A1736" s="2" t="n">
        <v>1735</v>
      </c>
      <c r="B1736" s="2" t="inlineStr">
        <is>
          <t>Адресники и брелки на ошейник</t>
        </is>
      </c>
      <c r="C1736" s="2" t="inlineStr">
        <is>
          <t>Товары для животных</t>
        </is>
      </c>
      <c r="D1736" s="2" t="inlineStr">
        <is>
          <t>Товары для животных → Аксессуары для животных → Адресники и брелки на ошейник</t>
        </is>
      </c>
      <c r="E1736" s="3" t="n">
        <v>124330</v>
      </c>
      <c r="F1736" s="3" t="n">
        <v>48</v>
      </c>
      <c r="G1736" s="3">
        <f>IFERROR(E1736/F1736,0)</f>
        <v/>
      </c>
      <c r="H1736" s="3" t="n">
        <v>11</v>
      </c>
      <c r="I1736" s="2" t="n">
        <v>4</v>
      </c>
      <c r="J1736" s="3">
        <f>IFERROR(E1736/H1736,0)</f>
        <v/>
      </c>
      <c r="K1736" s="10">
        <f>E1736/'По разделам'!$B$21</f>
        <v/>
      </c>
      <c r="L1736" s="4">
        <f>L1735+K1736</f>
        <v/>
      </c>
      <c r="M1736" s="2" t="inlineStr">
        <is>
          <t>04807</t>
        </is>
      </c>
      <c r="N1736" s="2" t="inlineStr">
        <is>
          <t>https://app.redstat.kz/niche/04807?event_date=2026-08-01</t>
        </is>
      </c>
      <c r="O1736" s="2" t="inlineStr">
        <is>
          <t>https://kaspi.kz/shop/c/id%20tags%20for%20pets/</t>
        </is>
      </c>
    </row>
    <row r="1737">
      <c r="A1737" s="2" t="n">
        <v>1736</v>
      </c>
      <c r="B1737" s="2" t="inlineStr">
        <is>
          <t>Инвентарь для бега</t>
        </is>
      </c>
      <c r="C1737" s="2" t="inlineStr">
        <is>
          <t>Спорт, туризм</t>
        </is>
      </c>
      <c r="D1737" s="2" t="inlineStr">
        <is>
          <t>Спорт, туризм → Бег и ходьба → Инвентарь для бега → Инвентарь для бега</t>
        </is>
      </c>
      <c r="E1737" s="3" t="n">
        <v>124199</v>
      </c>
      <c r="F1737" s="3" t="n">
        <v>15</v>
      </c>
      <c r="G1737" s="3">
        <f>IFERROR(E1737/F1737,0)</f>
        <v/>
      </c>
      <c r="H1737" s="3" t="n">
        <v>4</v>
      </c>
      <c r="I1737" s="2" t="n">
        <v>1</v>
      </c>
      <c r="J1737" s="3">
        <f>IFERROR(E1737/H1737,0)</f>
        <v/>
      </c>
      <c r="K1737" s="10">
        <f>E1737/'По разделам'!$B$21</f>
        <v/>
      </c>
      <c r="L1737" s="4">
        <f>L1736+K1737</f>
        <v/>
      </c>
      <c r="M1737" s="2" t="inlineStr">
        <is>
          <t>q72034c4abe8c85d</t>
        </is>
      </c>
      <c r="N1737" s="2" t="inlineStr">
        <is>
          <t>https://app.redstat.kz/niche/q72034c4abe8c85d?event_date=2026-08-01</t>
        </is>
      </c>
      <c r="O1737" s="2" t="inlineStr"/>
    </row>
    <row r="1738">
      <c r="A1738" s="2" t="n">
        <v>1737</v>
      </c>
      <c r="B1738" s="2" t="inlineStr">
        <is>
          <t>Напальчники, увлажнители для пальцев</t>
        </is>
      </c>
      <c r="C1738" s="2" t="inlineStr">
        <is>
          <t>Канцелярские товары</t>
        </is>
      </c>
      <c r="D1738" s="2" t="inlineStr">
        <is>
          <t>Канцелярские товары → Мелкоофисные принадлежности → Напальчники, увлажнители для пальцев</t>
        </is>
      </c>
      <c r="E1738" s="3" t="n">
        <v>123369</v>
      </c>
      <c r="F1738" s="3" t="n">
        <v>316</v>
      </c>
      <c r="G1738" s="3">
        <f>IFERROR(E1738/F1738,0)</f>
        <v/>
      </c>
      <c r="H1738" s="3" t="n">
        <v>18</v>
      </c>
      <c r="I1738" s="2" t="n">
        <v>7</v>
      </c>
      <c r="J1738" s="3">
        <f>IFERROR(E1738/H1738,0)</f>
        <v/>
      </c>
      <c r="K1738" s="10">
        <f>E1738/'По разделам'!$B$21</f>
        <v/>
      </c>
      <c r="L1738" s="4">
        <f>L1737+K1738</f>
        <v/>
      </c>
      <c r="M1738" s="2" t="inlineStr">
        <is>
          <t>05937</t>
        </is>
      </c>
      <c r="N1738" s="2" t="inlineStr">
        <is>
          <t>https://app.redstat.kz/niche/05937?event_date=2026-08-01</t>
        </is>
      </c>
      <c r="O1738" s="2" t="inlineStr">
        <is>
          <t>https://kaspi.kz/shop/c/finger%20moistener/</t>
        </is>
      </c>
    </row>
    <row r="1739">
      <c r="A1739" s="2" t="n">
        <v>1738</v>
      </c>
      <c r="B1739" s="2" t="inlineStr">
        <is>
          <t>Комплектующие для трек-систем и спотов</t>
        </is>
      </c>
      <c r="C1739" s="2" t="inlineStr">
        <is>
          <t>Товары для дома и дачи</t>
        </is>
      </c>
      <c r="D1739" s="2" t="inlineStr">
        <is>
          <t>Товары для дома и дачи → Освещение → Комплектующие и аксессуары для освещения → Комплектующие для трек-систем и спотов</t>
        </is>
      </c>
      <c r="E1739" s="3" t="n">
        <v>121935</v>
      </c>
      <c r="F1739" s="3" t="n">
        <v>8</v>
      </c>
      <c r="G1739" s="3">
        <f>IFERROR(E1739/F1739,0)</f>
        <v/>
      </c>
      <c r="H1739" s="3" t="n">
        <v>6</v>
      </c>
      <c r="I1739" s="2" t="n">
        <v>5</v>
      </c>
      <c r="J1739" s="3">
        <f>IFERROR(E1739/H1739,0)</f>
        <v/>
      </c>
      <c r="K1739" s="10">
        <f>E1739/'По разделам'!$B$21</f>
        <v/>
      </c>
      <c r="L1739" s="4">
        <f>L1738+K1739</f>
        <v/>
      </c>
      <c r="M1739" s="2" t="inlineStr">
        <is>
          <t>03721</t>
        </is>
      </c>
      <c r="N1739" s="2" t="inlineStr">
        <is>
          <t>https://app.redstat.kz/niche/03721?event_date=2026-08-01</t>
        </is>
      </c>
      <c r="O1739" s="2" t="inlineStr">
        <is>
          <t>https://kaspi.kz/shop/c/accessories%20for%20spots%20and%20tracks/</t>
        </is>
      </c>
    </row>
    <row r="1740">
      <c r="A1740" s="2" t="n">
        <v>1739</v>
      </c>
      <c r="B1740" s="2" t="inlineStr">
        <is>
          <t>Босоножки для девочек</t>
        </is>
      </c>
      <c r="C1740" s="2" t="inlineStr">
        <is>
          <t>Обувь</t>
        </is>
      </c>
      <c r="D1740" s="2" t="inlineStr">
        <is>
          <t>Обувь → Обувь для девочек → Босоножки для девочек</t>
        </is>
      </c>
      <c r="E1740" s="3" t="n">
        <v>121782</v>
      </c>
      <c r="F1740" s="3" t="n">
        <v>15</v>
      </c>
      <c r="G1740" s="3">
        <f>IFERROR(E1740/F1740,0)</f>
        <v/>
      </c>
      <c r="H1740" s="3" t="n">
        <v>10</v>
      </c>
      <c r="I1740" s="2" t="n">
        <v>1</v>
      </c>
      <c r="J1740" s="3">
        <f>IFERROR(E1740/H1740,0)</f>
        <v/>
      </c>
      <c r="K1740" s="10">
        <f>E1740/'По разделам'!$B$21</f>
        <v/>
      </c>
      <c r="L1740" s="4">
        <f>L1739+K1740</f>
        <v/>
      </c>
      <c r="M1740" s="2" t="inlineStr">
        <is>
          <t>02192</t>
        </is>
      </c>
      <c r="N1740" s="2" t="inlineStr">
        <is>
          <t>https://app.redstat.kz/niche/02192?event_date=2026-08-01</t>
        </is>
      </c>
      <c r="O1740" s="2" t="inlineStr">
        <is>
          <t>https://kaspi.kz/shop/c/girl%20heeled%20sandals/</t>
        </is>
      </c>
    </row>
    <row r="1741">
      <c r="A1741" s="2" t="n">
        <v>1740</v>
      </c>
      <c r="B1741" s="2" t="inlineStr">
        <is>
          <t>Бумажные салфетки и полотенца</t>
        </is>
      </c>
      <c r="C1741" s="2" t="inlineStr">
        <is>
          <t>Товары для дома и дачи</t>
        </is>
      </c>
      <c r="D1741" s="2" t="inlineStr">
        <is>
          <t>Товары для дома и дачи → Хозяйственные товары → Бумажная продукция для дома → Бумажные салфетки и полотенца</t>
        </is>
      </c>
      <c r="E1741" s="3" t="n">
        <v>120666</v>
      </c>
      <c r="F1741" s="3" t="n">
        <v>55</v>
      </c>
      <c r="G1741" s="3">
        <f>IFERROR(E1741/F1741,0)</f>
        <v/>
      </c>
      <c r="H1741" s="3" t="n">
        <v>24</v>
      </c>
      <c r="I1741" s="2" t="n">
        <v>13</v>
      </c>
      <c r="J1741" s="3">
        <f>IFERROR(E1741/H1741,0)</f>
        <v/>
      </c>
      <c r="K1741" s="10">
        <f>E1741/'По разделам'!$B$21</f>
        <v/>
      </c>
      <c r="L1741" s="4">
        <f>L1740+K1741</f>
        <v/>
      </c>
      <c r="M1741" s="2" t="inlineStr">
        <is>
          <t>03213</t>
        </is>
      </c>
      <c r="N1741" s="2" t="inlineStr">
        <is>
          <t>https://app.redstat.kz/niche/03213?event_date=2026-08-01</t>
        </is>
      </c>
      <c r="O1741" s="2" t="inlineStr">
        <is>
          <t>https://kaspi.kz/shop/c/table%20paper%20napkins/</t>
        </is>
      </c>
    </row>
    <row r="1742">
      <c r="A1742" s="2" t="n">
        <v>1741</v>
      </c>
      <c r="B1742" s="2" t="inlineStr">
        <is>
          <t>Шиномонтажные станки</t>
        </is>
      </c>
      <c r="C1742" s="2" t="inlineStr">
        <is>
          <t>Автотовары</t>
        </is>
      </c>
      <c r="D1742" s="2" t="inlineStr">
        <is>
          <t>Автотовары → Автосервисное оборудование → Шиномонтажное оборудование → Шиномонтажные станки</t>
        </is>
      </c>
      <c r="E1742" s="3" t="n">
        <v>120150</v>
      </c>
      <c r="F1742" s="3" t="n">
        <v>7</v>
      </c>
      <c r="G1742" s="3">
        <f>IFERROR(E1742/F1742,0)</f>
        <v/>
      </c>
      <c r="H1742" s="3" t="n">
        <v>2</v>
      </c>
      <c r="I1742" s="2" t="n">
        <v>2</v>
      </c>
      <c r="J1742" s="3">
        <f>IFERROR(E1742/H1742,0)</f>
        <v/>
      </c>
      <c r="K1742" s="10">
        <f>E1742/'По разделам'!$B$21</f>
        <v/>
      </c>
      <c r="L1742" s="4">
        <f>L1741+K1742</f>
        <v/>
      </c>
      <c r="M1742" s="2" t="inlineStr">
        <is>
          <t>02843</t>
        </is>
      </c>
      <c r="N1742" s="2" t="inlineStr">
        <is>
          <t>https://app.redstat.kz/niche/02843?event_date=2026-08-01</t>
        </is>
      </c>
      <c r="O1742" s="2" t="inlineStr">
        <is>
          <t>https://kaspi.kz/shop/c/car%20tire%20changers/</t>
        </is>
      </c>
    </row>
    <row r="1743">
      <c r="A1743" s="2" t="n">
        <v>1742</v>
      </c>
      <c r="B1743" s="2" t="inlineStr">
        <is>
          <t>Пилки и пемзы</t>
        </is>
      </c>
      <c r="C1743" s="2" t="inlineStr">
        <is>
          <t>Красота и здоровье</t>
        </is>
      </c>
      <c r="D1743" s="2" t="inlineStr">
        <is>
          <t>Красота и здоровье → Для маникюра и педикюра → Инструменты для маникюра и педикюра → Пилки и пемзы</t>
        </is>
      </c>
      <c r="E1743" s="3" t="n">
        <v>120052</v>
      </c>
      <c r="F1743" s="3" t="n">
        <v>83</v>
      </c>
      <c r="G1743" s="3">
        <f>IFERROR(E1743/F1743,0)</f>
        <v/>
      </c>
      <c r="H1743" s="3" t="n">
        <v>34</v>
      </c>
      <c r="I1743" s="2" t="n">
        <v>19</v>
      </c>
      <c r="J1743" s="3">
        <f>IFERROR(E1743/H1743,0)</f>
        <v/>
      </c>
      <c r="K1743" s="10">
        <f>E1743/'По разделам'!$B$21</f>
        <v/>
      </c>
      <c r="L1743" s="4">
        <f>L1742+K1743</f>
        <v/>
      </c>
      <c r="M1743" s="2" t="inlineStr">
        <is>
          <t>06546</t>
        </is>
      </c>
      <c r="N1743" s="2" t="inlineStr">
        <is>
          <t>https://app.redstat.kz/niche/06546?event_date=2026-08-01</t>
        </is>
      </c>
      <c r="O1743" s="2" t="inlineStr">
        <is>
          <t>https://kaspi.kz/shop/c/files%20and%20pumice%20stones/</t>
        </is>
      </c>
    </row>
    <row r="1744">
      <c r="A1744" s="2" t="n">
        <v>1743</v>
      </c>
      <c r="B1744" s="2" t="inlineStr">
        <is>
          <t>Шарики для сухих бассейнов</t>
        </is>
      </c>
      <c r="C1744" s="2" t="inlineStr">
        <is>
          <t>Детские товары</t>
        </is>
      </c>
      <c r="D1744" s="2" t="inlineStr">
        <is>
          <t>Детские товары → Игровая площадка → Сухие бассейны, игровые манежи и шарики → Шарики для сухих бассейнов</t>
        </is>
      </c>
      <c r="E1744" s="3" t="n">
        <v>120000</v>
      </c>
      <c r="F1744" s="3" t="n">
        <v>6</v>
      </c>
      <c r="G1744" s="3">
        <f>IFERROR(E1744/F1744,0)</f>
        <v/>
      </c>
      <c r="H1744" s="3" t="n">
        <v>1</v>
      </c>
      <c r="I1744" s="2" t="n">
        <v>0</v>
      </c>
      <c r="J1744" s="3">
        <f>IFERROR(E1744/H1744,0)</f>
        <v/>
      </c>
      <c r="K1744" s="10">
        <f>E1744/'По разделам'!$B$21</f>
        <v/>
      </c>
      <c r="L1744" s="4">
        <f>L1743+K1744</f>
        <v/>
      </c>
      <c r="M1744" s="2" t="inlineStr">
        <is>
          <t>03777</t>
        </is>
      </c>
      <c r="N1744" s="2" t="inlineStr">
        <is>
          <t>https://app.redstat.kz/niche/03777?event_date=2026-08-01</t>
        </is>
      </c>
      <c r="O1744" s="2" t="inlineStr">
        <is>
          <t>https://kaspi.kz/shop/c/pool%20balls/</t>
        </is>
      </c>
    </row>
    <row r="1745">
      <c r="A1745" s="2" t="n">
        <v>1744</v>
      </c>
      <c r="B1745" s="2" t="inlineStr">
        <is>
          <t>Топливные насосы</t>
        </is>
      </c>
      <c r="C1745" s="2" t="inlineStr">
        <is>
          <t>Автотовары</t>
        </is>
      </c>
      <c r="D1745" s="2" t="inlineStr">
        <is>
          <t>Автотовары → Автозапчасти → Топливная система → Топливные насосы</t>
        </is>
      </c>
      <c r="E1745" s="3" t="n">
        <v>120000</v>
      </c>
      <c r="F1745" s="3" t="n">
        <v>4</v>
      </c>
      <c r="G1745" s="3">
        <f>IFERROR(E1745/F1745,0)</f>
        <v/>
      </c>
      <c r="H1745" s="3" t="n">
        <v>1</v>
      </c>
      <c r="I1745" s="2" t="n">
        <v>1</v>
      </c>
      <c r="J1745" s="3">
        <f>IFERROR(E1745/H1745,0)</f>
        <v/>
      </c>
      <c r="K1745" s="10">
        <f>E1745/'По разделам'!$B$21</f>
        <v/>
      </c>
      <c r="L1745" s="4">
        <f>L1744+K1745</f>
        <v/>
      </c>
      <c r="M1745" s="2" t="inlineStr">
        <is>
          <t>03796</t>
        </is>
      </c>
      <c r="N1745" s="2" t="inlineStr">
        <is>
          <t>https://app.redstat.kz/niche/03796?event_date=2026-08-01</t>
        </is>
      </c>
      <c r="O1745" s="2" t="inlineStr">
        <is>
          <t>https://kaspi.kz/shop/c/fuel%20pumps/</t>
        </is>
      </c>
    </row>
    <row r="1746">
      <c r="A1746" s="2" t="n">
        <v>1745</v>
      </c>
      <c r="B1746" s="2" t="inlineStr">
        <is>
          <t>Гибкий мрамор</t>
        </is>
      </c>
      <c r="C1746" s="2" t="inlineStr">
        <is>
          <t>Строительство, ремонт</t>
        </is>
      </c>
      <c r="D1746" s="2" t="inlineStr">
        <is>
          <t>Строительство, ремонт → Отделочные материалы → Отделка стен → Гибкий мрамор</t>
        </is>
      </c>
      <c r="E1746" s="3" t="n">
        <v>120000</v>
      </c>
      <c r="F1746" s="3" t="n">
        <v>1</v>
      </c>
      <c r="G1746" s="3">
        <f>IFERROR(E1746/F1746,0)</f>
        <v/>
      </c>
      <c r="H1746" s="3" t="n">
        <v>1</v>
      </c>
      <c r="I1746" s="2" t="n">
        <v>0</v>
      </c>
      <c r="J1746" s="3">
        <f>IFERROR(E1746/H1746,0)</f>
        <v/>
      </c>
      <c r="K1746" s="10">
        <f>E1746/'По разделам'!$B$21</f>
        <v/>
      </c>
      <c r="L1746" s="4">
        <f>L1745+K1746</f>
        <v/>
      </c>
      <c r="M1746" s="2" t="inlineStr">
        <is>
          <t>09233</t>
        </is>
      </c>
      <c r="N1746" s="2" t="inlineStr">
        <is>
          <t>https://app.redstat.kz/niche/09233?event_date=2026-08-01</t>
        </is>
      </c>
      <c r="O1746" s="2" t="inlineStr">
        <is>
          <t>https://kaspi.kz/shop/c/flexible%20marble/</t>
        </is>
      </c>
    </row>
    <row r="1747">
      <c r="A1747" s="2" t="n">
        <v>1746</v>
      </c>
      <c r="B1747" s="2" t="inlineStr">
        <is>
          <t>Импульсный свет</t>
        </is>
      </c>
      <c r="C1747" s="2" t="inlineStr">
        <is>
          <t>ТВ, Аудио, Видео</t>
        </is>
      </c>
      <c r="D1747" s="2" t="inlineStr">
        <is>
          <t>ТВ, Аудио, Видео → Фото- и видеокамеры → Студийный свет → Импульсный свет</t>
        </is>
      </c>
      <c r="E1747" s="3" t="n">
        <v>117499</v>
      </c>
      <c r="F1747" s="3" t="n">
        <v>2</v>
      </c>
      <c r="G1747" s="3">
        <f>IFERROR(E1747/F1747,0)</f>
        <v/>
      </c>
      <c r="H1747" s="3" t="n">
        <v>2</v>
      </c>
      <c r="I1747" s="2" t="n">
        <v>1</v>
      </c>
      <c r="J1747" s="3">
        <f>IFERROR(E1747/H1747,0)</f>
        <v/>
      </c>
      <c r="K1747" s="10">
        <f>E1747/'По разделам'!$B$21</f>
        <v/>
      </c>
      <c r="L1747" s="4">
        <f>L1746+K1747</f>
        <v/>
      </c>
      <c r="M1747" s="2" t="inlineStr">
        <is>
          <t>03687</t>
        </is>
      </c>
      <c r="N1747" s="2" t="inlineStr">
        <is>
          <t>https://app.redstat.kz/niche/03687?event_date=2026-08-01</t>
        </is>
      </c>
      <c r="O1747" s="2" t="inlineStr">
        <is>
          <t>https://kaspi.kz/shop/c/pulse%20light/</t>
        </is>
      </c>
    </row>
    <row r="1748">
      <c r="A1748" s="2" t="n">
        <v>1747</v>
      </c>
      <c r="B1748" s="2" t="inlineStr">
        <is>
          <t>Подставки для ноутбуков</t>
        </is>
      </c>
      <c r="C1748" s="2" t="inlineStr">
        <is>
          <t>Компьютеры</t>
        </is>
      </c>
      <c r="D1748" s="2" t="inlineStr">
        <is>
          <t>Компьютеры → Ноутбуки и аксессуары → Аксессуары для ноутбуков → Подставки для ноутбуков</t>
        </is>
      </c>
      <c r="E1748" s="3" t="n">
        <v>117250</v>
      </c>
      <c r="F1748" s="3" t="n">
        <v>10</v>
      </c>
      <c r="G1748" s="3">
        <f>IFERROR(E1748/F1748,0)</f>
        <v/>
      </c>
      <c r="H1748" s="3" t="n">
        <v>7</v>
      </c>
      <c r="I1748" s="2" t="n">
        <v>1</v>
      </c>
      <c r="J1748" s="3">
        <f>IFERROR(E1748/H1748,0)</f>
        <v/>
      </c>
      <c r="K1748" s="10">
        <f>E1748/'По разделам'!$B$21</f>
        <v/>
      </c>
      <c r="L1748" s="4">
        <f>L1747+K1748</f>
        <v/>
      </c>
      <c r="M1748" s="2" t="inlineStr">
        <is>
          <t>04523</t>
        </is>
      </c>
      <c r="N1748" s="2" t="inlineStr">
        <is>
          <t>https://app.redstat.kz/niche/04523?event_date=2026-08-01</t>
        </is>
      </c>
      <c r="O1748" s="2" t="inlineStr">
        <is>
          <t>https://kaspi.kz/shop/c/laptop%20stands/</t>
        </is>
      </c>
    </row>
    <row r="1749">
      <c r="A1749" s="2" t="n">
        <v>1748</v>
      </c>
      <c r="B1749" s="2" t="inlineStr">
        <is>
          <t>Стулья и скамьи для йоги</t>
        </is>
      </c>
      <c r="C1749" s="2" t="inlineStr">
        <is>
          <t>Спорт, туризм</t>
        </is>
      </c>
      <c r="D1749" s="2" t="inlineStr">
        <is>
          <t>Спорт, туризм → Йога и пилатес → Стулья и скамьи для йоги</t>
        </is>
      </c>
      <c r="E1749" s="3" t="n">
        <v>116744</v>
      </c>
      <c r="F1749" s="3" t="n">
        <v>4</v>
      </c>
      <c r="G1749" s="3">
        <f>IFERROR(E1749/F1749,0)</f>
        <v/>
      </c>
      <c r="H1749" s="3" t="n">
        <v>3</v>
      </c>
      <c r="I1749" s="2" t="n">
        <v>2</v>
      </c>
      <c r="J1749" s="3">
        <f>IFERROR(E1749/H1749,0)</f>
        <v/>
      </c>
      <c r="K1749" s="10">
        <f>E1749/'По разделам'!$B$21</f>
        <v/>
      </c>
      <c r="L1749" s="4">
        <f>L1748+K1749</f>
        <v/>
      </c>
      <c r="M1749" s="2" t="inlineStr">
        <is>
          <t>06969</t>
        </is>
      </c>
      <c r="N1749" s="2" t="inlineStr">
        <is>
          <t>https://app.redstat.kz/niche/06969?event_date=2026-08-01</t>
        </is>
      </c>
      <c r="O1749" s="2" t="inlineStr">
        <is>
          <t>https://kaspi.kz/shop/c/yoga%20chairs/</t>
        </is>
      </c>
    </row>
    <row r="1750">
      <c r="A1750" s="2" t="n">
        <v>1749</v>
      </c>
      <c r="B1750" s="2" t="inlineStr">
        <is>
          <t>Комнатные растения</t>
        </is>
      </c>
      <c r="C1750" s="2" t="inlineStr">
        <is>
          <t>Товары для дома и дачи</t>
        </is>
      </c>
      <c r="D1750" s="2" t="inlineStr">
        <is>
          <t>Товары для дома и дачи → Интерьер → Растения, деревья, вазы и горшки → Комнатные растения</t>
        </is>
      </c>
      <c r="E1750" s="3" t="n">
        <v>116246</v>
      </c>
      <c r="F1750" s="3" t="n">
        <v>13</v>
      </c>
      <c r="G1750" s="3">
        <f>IFERROR(E1750/F1750,0)</f>
        <v/>
      </c>
      <c r="H1750" s="3" t="n">
        <v>9</v>
      </c>
      <c r="I1750" s="2" t="n">
        <v>2</v>
      </c>
      <c r="J1750" s="3">
        <f>IFERROR(E1750/H1750,0)</f>
        <v/>
      </c>
      <c r="K1750" s="10">
        <f>E1750/'По разделам'!$B$21</f>
        <v/>
      </c>
      <c r="L1750" s="4">
        <f>L1749+K1750</f>
        <v/>
      </c>
      <c r="M1750" s="2" t="inlineStr">
        <is>
          <t>02537</t>
        </is>
      </c>
      <c r="N1750" s="2" t="inlineStr">
        <is>
          <t>https://app.redstat.kz/niche/02537?event_date=2026-08-01</t>
        </is>
      </c>
      <c r="O1750" s="2" t="inlineStr">
        <is>
          <t>https://kaspi.kz/shop/c/indoor%20house%20plants/</t>
        </is>
      </c>
    </row>
    <row r="1751">
      <c r="A1751" s="2" t="n">
        <v>1750</v>
      </c>
      <c r="B1751" s="2" t="inlineStr">
        <is>
          <t>Фруктовницы, менажницы и тортницы</t>
        </is>
      </c>
      <c r="C1751" s="2" t="inlineStr">
        <is>
          <t>Товары для дома и дачи</t>
        </is>
      </c>
      <c r="D1751" s="2" t="inlineStr">
        <is>
          <t>Товары для дома и дачи → Посуда и принадлежности → Сервировка стола → Фруктовницы, менажницы и тортницы</t>
        </is>
      </c>
      <c r="E1751" s="3" t="n">
        <v>116126</v>
      </c>
      <c r="F1751" s="3" t="n">
        <v>8</v>
      </c>
      <c r="G1751" s="3">
        <f>IFERROR(E1751/F1751,0)</f>
        <v/>
      </c>
      <c r="H1751" s="3" t="n">
        <v>8</v>
      </c>
      <c r="I1751" s="2" t="n">
        <v>7</v>
      </c>
      <c r="J1751" s="3">
        <f>IFERROR(E1751/H1751,0)</f>
        <v/>
      </c>
      <c r="K1751" s="10">
        <f>E1751/'По разделам'!$B$21</f>
        <v/>
      </c>
      <c r="L1751" s="4">
        <f>L1750+K1751</f>
        <v/>
      </c>
      <c r="M1751" s="2" t="inlineStr">
        <is>
          <t>06422</t>
        </is>
      </c>
      <c r="N1751" s="2" t="inlineStr">
        <is>
          <t>https://app.redstat.kz/niche/06422?event_date=2026-08-01</t>
        </is>
      </c>
      <c r="O1751" s="2" t="inlineStr">
        <is>
          <t>https://kaspi.kz/shop/c/mangers%20and%20cake%20bowls/</t>
        </is>
      </c>
    </row>
    <row r="1752">
      <c r="A1752" s="2" t="n">
        <v>1751</v>
      </c>
      <c r="B1752" s="2" t="inlineStr">
        <is>
          <t>Зонты от солнца</t>
        </is>
      </c>
      <c r="C1752" s="2" t="inlineStr">
        <is>
          <t>Товары для дома и дачи</t>
        </is>
      </c>
      <c r="D1752" s="2" t="inlineStr">
        <is>
          <t>Товары для дома и дачи → Дача, сад и огород → Садовая мебель → Зонты от солнца</t>
        </is>
      </c>
      <c r="E1752" s="3" t="n">
        <v>113990</v>
      </c>
      <c r="F1752" s="3" t="n">
        <v>2</v>
      </c>
      <c r="G1752" s="3">
        <f>IFERROR(E1752/F1752,0)</f>
        <v/>
      </c>
      <c r="H1752" s="3" t="n">
        <v>2</v>
      </c>
      <c r="I1752" s="2" t="n">
        <v>1</v>
      </c>
      <c r="J1752" s="3">
        <f>IFERROR(E1752/H1752,0)</f>
        <v/>
      </c>
      <c r="K1752" s="10">
        <f>E1752/'По разделам'!$B$21</f>
        <v/>
      </c>
      <c r="L1752" s="4">
        <f>L1751+K1752</f>
        <v/>
      </c>
      <c r="M1752" s="2" t="inlineStr">
        <is>
          <t>01966</t>
        </is>
      </c>
      <c r="N1752" s="2" t="inlineStr">
        <is>
          <t>https://app.redstat.kz/niche/01966?event_date=2026-08-01</t>
        </is>
      </c>
      <c r="O1752" s="2" t="inlineStr">
        <is>
          <t>https://kaspi.kz/shop/c/sun%20parasols/</t>
        </is>
      </c>
    </row>
    <row r="1753">
      <c r="A1753" s="2" t="n">
        <v>1752</v>
      </c>
      <c r="B1753" s="2" t="inlineStr">
        <is>
          <t>Жалюзи</t>
        </is>
      </c>
      <c r="C1753" s="2" t="inlineStr">
        <is>
          <t>Товары для дома и дачи</t>
        </is>
      </c>
      <c r="D1753" s="2" t="inlineStr">
        <is>
          <t>Товары для дома и дачи → Домашний текстиль → Шторы и карнизы → Жалюзи</t>
        </is>
      </c>
      <c r="E1753" s="3" t="n">
        <v>113990</v>
      </c>
      <c r="F1753" s="3" t="n">
        <v>5</v>
      </c>
      <c r="G1753" s="3">
        <f>IFERROR(E1753/F1753,0)</f>
        <v/>
      </c>
      <c r="H1753" s="3" t="n">
        <v>4</v>
      </c>
      <c r="I1753" s="2" t="n">
        <v>2</v>
      </c>
      <c r="J1753" s="3">
        <f>IFERROR(E1753/H1753,0)</f>
        <v/>
      </c>
      <c r="K1753" s="10">
        <f>E1753/'По разделам'!$B$21</f>
        <v/>
      </c>
      <c r="L1753" s="4">
        <f>L1752+K1753</f>
        <v/>
      </c>
      <c r="M1753" s="2" t="inlineStr">
        <is>
          <t>02576</t>
        </is>
      </c>
      <c r="N1753" s="2" t="inlineStr">
        <is>
          <t>https://app.redstat.kz/niche/02576?event_date=2026-08-01</t>
        </is>
      </c>
      <c r="O1753" s="2" t="inlineStr">
        <is>
          <t>https://kaspi.kz/shop/c/blinds/</t>
        </is>
      </c>
    </row>
    <row r="1754">
      <c r="A1754" s="2" t="n">
        <v>1753</v>
      </c>
      <c r="B1754" s="2" t="inlineStr">
        <is>
          <t>Тумбы для кроссфита и плиобоксы</t>
        </is>
      </c>
      <c r="C1754" s="2" t="inlineStr">
        <is>
          <t>Спорт, туризм</t>
        </is>
      </c>
      <c r="D1754" s="2" t="inlineStr">
        <is>
          <t>Спорт, туризм → Товары для фитнеса → Тумбы для кроссфита и плиобоксы</t>
        </is>
      </c>
      <c r="E1754" s="3" t="n">
        <v>113990</v>
      </c>
      <c r="F1754" s="3" t="n">
        <v>2</v>
      </c>
      <c r="G1754" s="3">
        <f>IFERROR(E1754/F1754,0)</f>
        <v/>
      </c>
      <c r="H1754" s="3" t="n">
        <v>2</v>
      </c>
      <c r="I1754" s="2" t="n">
        <v>1</v>
      </c>
      <c r="J1754" s="3">
        <f>IFERROR(E1754/H1754,0)</f>
        <v/>
      </c>
      <c r="K1754" s="10">
        <f>E1754/'По разделам'!$B$21</f>
        <v/>
      </c>
      <c r="L1754" s="4">
        <f>L1753+K1754</f>
        <v/>
      </c>
      <c r="M1754" s="2" t="inlineStr">
        <is>
          <t>07441</t>
        </is>
      </c>
      <c r="N1754" s="2" t="inlineStr">
        <is>
          <t>https://app.redstat.kz/niche/07441?event_date=2026-08-01</t>
        </is>
      </c>
      <c r="O1754" s="2" t="inlineStr">
        <is>
          <t>https://kaspi.kz/shop/c/crossfit%20and%20plyo%20boxes/</t>
        </is>
      </c>
    </row>
    <row r="1755">
      <c r="A1755" s="2" t="n">
        <v>1754</v>
      </c>
      <c r="B1755" s="2" t="inlineStr">
        <is>
          <t>Ножки и опоры мебельные</t>
        </is>
      </c>
      <c r="C1755" s="2" t="inlineStr">
        <is>
          <t>Мебель</t>
        </is>
      </c>
      <c r="D1755" s="2" t="inlineStr">
        <is>
          <t>Мебель → Фурнитура и комплектующие для мебели → Комплектующие для мебели → Ножки и опоры мебельные</t>
        </is>
      </c>
      <c r="E1755" s="3" t="n">
        <v>113525</v>
      </c>
      <c r="F1755" s="3" t="n">
        <v>44</v>
      </c>
      <c r="G1755" s="3">
        <f>IFERROR(E1755/F1755,0)</f>
        <v/>
      </c>
      <c r="H1755" s="3" t="n">
        <v>18</v>
      </c>
      <c r="I1755" s="2" t="n">
        <v>7</v>
      </c>
      <c r="J1755" s="3">
        <f>IFERROR(E1755/H1755,0)</f>
        <v/>
      </c>
      <c r="K1755" s="10">
        <f>E1755/'По разделам'!$B$21</f>
        <v/>
      </c>
      <c r="L1755" s="4">
        <f>L1754+K1755</f>
        <v/>
      </c>
      <c r="M1755" s="2" t="inlineStr">
        <is>
          <t>07349</t>
        </is>
      </c>
      <c r="N1755" s="2" t="inlineStr">
        <is>
          <t>https://app.redstat.kz/niche/07349?event_date=2026-08-01</t>
        </is>
      </c>
      <c r="O1755" s="2" t="inlineStr">
        <is>
          <t>https://kaspi.kz/shop/c/furniture%20legs/</t>
        </is>
      </c>
    </row>
    <row r="1756">
      <c r="A1756" s="2" t="n">
        <v>1755</v>
      </c>
      <c r="B1756" s="2" t="inlineStr">
        <is>
          <t>Контейнеры и ланч-боксы</t>
        </is>
      </c>
      <c r="C1756" s="2" t="inlineStr">
        <is>
          <t>Товары для дома и дачи</t>
        </is>
      </c>
      <c r="D1756" s="2" t="inlineStr">
        <is>
          <t>Товары для дома и дачи → Посуда и принадлежности → Посуда для хранения продуктов → Контейнеры и ланч-боксы</t>
        </is>
      </c>
      <c r="E1756" s="3" t="n">
        <v>112903</v>
      </c>
      <c r="F1756" s="3" t="n">
        <v>49</v>
      </c>
      <c r="G1756" s="3">
        <f>IFERROR(E1756/F1756,0)</f>
        <v/>
      </c>
      <c r="H1756" s="3" t="n">
        <v>27</v>
      </c>
      <c r="I1756" s="2" t="n">
        <v>16</v>
      </c>
      <c r="J1756" s="3">
        <f>IFERROR(E1756/H1756,0)</f>
        <v/>
      </c>
      <c r="K1756" s="10">
        <f>E1756/'По разделам'!$B$21</f>
        <v/>
      </c>
      <c r="L1756" s="4">
        <f>L1755+K1756</f>
        <v/>
      </c>
      <c r="M1756" s="2" t="inlineStr">
        <is>
          <t>02590</t>
        </is>
      </c>
      <c r="N1756" s="2" t="inlineStr">
        <is>
          <t>https://app.redstat.kz/niche/02590?event_date=2026-08-01</t>
        </is>
      </c>
      <c r="O1756" s="2" t="inlineStr">
        <is>
          <t>https://kaspi.kz/shop/c/containers%20and%20lunchboxes/</t>
        </is>
      </c>
    </row>
    <row r="1757">
      <c r="A1757" s="2" t="n">
        <v>1756</v>
      </c>
      <c r="B1757" s="2" t="inlineStr">
        <is>
          <t>Пульты ДУ для фотоаппаратов</t>
        </is>
      </c>
      <c r="C1757" s="2" t="inlineStr">
        <is>
          <t>ТВ, Аудио, Видео</t>
        </is>
      </c>
      <c r="D1757" s="2" t="inlineStr">
        <is>
          <t>ТВ, Аудио, Видео → Фото- и видеокамеры → Пульты ДУ для фотоаппаратов</t>
        </is>
      </c>
      <c r="E1757" s="3" t="n">
        <v>112696</v>
      </c>
      <c r="F1757" s="3" t="n">
        <v>51</v>
      </c>
      <c r="G1757" s="3">
        <f>IFERROR(E1757/F1757,0)</f>
        <v/>
      </c>
      <c r="H1757" s="3" t="n">
        <v>5</v>
      </c>
      <c r="I1757" s="2" t="n">
        <v>5</v>
      </c>
      <c r="J1757" s="3">
        <f>IFERROR(E1757/H1757,0)</f>
        <v/>
      </c>
      <c r="K1757" s="10">
        <f>E1757/'По разделам'!$B$21</f>
        <v/>
      </c>
      <c r="L1757" s="4">
        <f>L1756+K1757</f>
        <v/>
      </c>
      <c r="M1757" s="2" t="inlineStr">
        <is>
          <t>04075</t>
        </is>
      </c>
      <c r="N1757" s="2" t="inlineStr">
        <is>
          <t>https://app.redstat.kz/niche/04075?event_date=2026-08-01</t>
        </is>
      </c>
      <c r="O1757" s="2" t="inlineStr">
        <is>
          <t>https://kaspi.kz/shop/c/remote%20controls%20for%20cameras/</t>
        </is>
      </c>
    </row>
    <row r="1758">
      <c r="A1758" s="2" t="n">
        <v>1757</v>
      </c>
      <c r="B1758" s="2" t="inlineStr">
        <is>
          <t>Монтировки для телескопов</t>
        </is>
      </c>
      <c r="C1758" s="2" t="inlineStr">
        <is>
          <t>Досуг, книги</t>
        </is>
      </c>
      <c r="D1758" s="2" t="inlineStr">
        <is>
          <t>Досуг, книги → Оптические приборы → Монтировки для телескопов</t>
        </is>
      </c>
      <c r="E1758" s="3" t="n">
        <v>111985</v>
      </c>
      <c r="F1758" s="3" t="n">
        <v>1</v>
      </c>
      <c r="G1758" s="3">
        <f>IFERROR(E1758/F1758,0)</f>
        <v/>
      </c>
      <c r="H1758" s="3" t="n">
        <v>1</v>
      </c>
      <c r="I1758" s="2" t="n">
        <v>1</v>
      </c>
      <c r="J1758" s="3">
        <f>IFERROR(E1758/H1758,0)</f>
        <v/>
      </c>
      <c r="K1758" s="10">
        <f>E1758/'По разделам'!$B$21</f>
        <v/>
      </c>
      <c r="L1758" s="4">
        <f>L1757+K1758</f>
        <v/>
      </c>
      <c r="M1758" s="2" t="inlineStr">
        <is>
          <t>04707</t>
        </is>
      </c>
      <c r="N1758" s="2" t="inlineStr">
        <is>
          <t>https://app.redstat.kz/niche/04707?event_date=2026-08-01</t>
        </is>
      </c>
      <c r="O1758" s="2" t="inlineStr">
        <is>
          <t>https://kaspi.kz/shop/c/telescope%20mounts/</t>
        </is>
      </c>
    </row>
    <row r="1759">
      <c r="A1759" s="2" t="n">
        <v>1758</v>
      </c>
      <c r="B1759" s="2" t="inlineStr">
        <is>
          <t>Счетницы для кафе и ресторанов</t>
        </is>
      </c>
      <c r="C1759" s="2" t="inlineStr">
        <is>
          <t>Канцелярские товары</t>
        </is>
      </c>
      <c r="D1759" s="2" t="inlineStr">
        <is>
          <t>Канцелярские товары → Торговые и рекламные принадлежности → Счетницы для кафе и ресторанов</t>
        </is>
      </c>
      <c r="E1759" s="3" t="n">
        <v>111011</v>
      </c>
      <c r="F1759" s="3" t="n">
        <v>9</v>
      </c>
      <c r="G1759" s="3">
        <f>IFERROR(E1759/F1759,0)</f>
        <v/>
      </c>
      <c r="H1759" s="3" t="n">
        <v>6</v>
      </c>
      <c r="I1759" s="2" t="n">
        <v>2</v>
      </c>
      <c r="J1759" s="3">
        <f>IFERROR(E1759/H1759,0)</f>
        <v/>
      </c>
      <c r="K1759" s="10">
        <f>E1759/'По разделам'!$B$21</f>
        <v/>
      </c>
      <c r="L1759" s="4">
        <f>L1758+K1759</f>
        <v/>
      </c>
      <c r="M1759" s="2" t="inlineStr">
        <is>
          <t>06720</t>
        </is>
      </c>
      <c r="N1759" s="2" t="inlineStr">
        <is>
          <t>https://app.redstat.kz/niche/06720?event_date=2026-08-01</t>
        </is>
      </c>
      <c r="O1759" s="2" t="inlineStr">
        <is>
          <t>https://kaspi.kz/shop/c/accountants/</t>
        </is>
      </c>
    </row>
    <row r="1760">
      <c r="A1760" s="2" t="n">
        <v>1759</v>
      </c>
      <c r="B1760" s="2" t="inlineStr">
        <is>
          <t>Статуэтки и фигурки</t>
        </is>
      </c>
      <c r="C1760" s="2" t="inlineStr">
        <is>
          <t>Товары для дома и дачи</t>
        </is>
      </c>
      <c r="D1760" s="2" t="inlineStr">
        <is>
          <t>Товары для дома и дачи → Интерьер → Оформление интерьера → Статуэтки и фигурки</t>
        </is>
      </c>
      <c r="E1760" s="3" t="n">
        <v>110022</v>
      </c>
      <c r="F1760" s="3" t="n">
        <v>22</v>
      </c>
      <c r="G1760" s="3">
        <f>IFERROR(E1760/F1760,0)</f>
        <v/>
      </c>
      <c r="H1760" s="3" t="n">
        <v>16</v>
      </c>
      <c r="I1760" s="2" t="n">
        <v>3</v>
      </c>
      <c r="J1760" s="3">
        <f>IFERROR(E1760/H1760,0)</f>
        <v/>
      </c>
      <c r="K1760" s="10">
        <f>E1760/'По разделам'!$B$21</f>
        <v/>
      </c>
      <c r="L1760" s="4">
        <f>L1759+K1760</f>
        <v/>
      </c>
      <c r="M1760" s="2" t="inlineStr">
        <is>
          <t>02253</t>
        </is>
      </c>
      <c r="N1760" s="2" t="inlineStr">
        <is>
          <t>https://app.redstat.kz/niche/02253?event_date=2026-08-01</t>
        </is>
      </c>
      <c r="O1760" s="2" t="inlineStr">
        <is>
          <t>https://kaspi.kz/shop/c/statues%20and%20figurines/</t>
        </is>
      </c>
    </row>
    <row r="1761">
      <c r="A1761" s="2" t="n">
        <v>1760</v>
      </c>
      <c r="B1761" s="2" t="inlineStr">
        <is>
          <t>Фасадные панели и декоративные элементы</t>
        </is>
      </c>
      <c r="C1761" s="2" t="inlineStr">
        <is>
          <t>Строительство, ремонт</t>
        </is>
      </c>
      <c r="D1761" s="2" t="inlineStr">
        <is>
          <t>Строительство, ремонт → Кровля, фасад, ворота → Фасадные материалы → Фасадные панели и декоративные элементы</t>
        </is>
      </c>
      <c r="E1761" s="3" t="n">
        <v>110000</v>
      </c>
      <c r="F1761" s="3" t="n">
        <v>1</v>
      </c>
      <c r="G1761" s="3">
        <f>IFERROR(E1761/F1761,0)</f>
        <v/>
      </c>
      <c r="H1761" s="3" t="n">
        <v>1</v>
      </c>
      <c r="I1761" s="2" t="n">
        <v>1</v>
      </c>
      <c r="J1761" s="3">
        <f>IFERROR(E1761/H1761,0)</f>
        <v/>
      </c>
      <c r="K1761" s="10">
        <f>E1761/'По разделам'!$B$21</f>
        <v/>
      </c>
      <c r="L1761" s="4">
        <f>L1760+K1761</f>
        <v/>
      </c>
      <c r="M1761" s="2" t="inlineStr">
        <is>
          <t>03629</t>
        </is>
      </c>
      <c r="N1761" s="2" t="inlineStr">
        <is>
          <t>https://app.redstat.kz/niche/03629?event_date=2026-08-01</t>
        </is>
      </c>
      <c r="O1761" s="2" t="inlineStr">
        <is>
          <t>https://kaspi.kz/shop/c/facade%20panels/</t>
        </is>
      </c>
    </row>
    <row r="1762">
      <c r="A1762" s="2" t="n">
        <v>1761</v>
      </c>
      <c r="B1762" s="2" t="inlineStr">
        <is>
          <t>Прочие компоненты ходовой части</t>
        </is>
      </c>
      <c r="C1762" s="2" t="inlineStr">
        <is>
          <t>Автотовары</t>
        </is>
      </c>
      <c r="D1762" s="2" t="inlineStr">
        <is>
          <t>Автотовары → Автозапчасти → Ходовая часть → Прочие компоненты ходовой части</t>
        </is>
      </c>
      <c r="E1762" s="3" t="n">
        <v>110000</v>
      </c>
      <c r="F1762" s="3" t="n">
        <v>1</v>
      </c>
      <c r="G1762" s="3">
        <f>IFERROR(E1762/F1762,0)</f>
        <v/>
      </c>
      <c r="H1762" s="3" t="n">
        <v>1</v>
      </c>
      <c r="I1762" s="2" t="n">
        <v>1</v>
      </c>
      <c r="J1762" s="3">
        <f>IFERROR(E1762/H1762,0)</f>
        <v/>
      </c>
      <c r="K1762" s="10">
        <f>E1762/'По разделам'!$B$21</f>
        <v/>
      </c>
      <c r="L1762" s="4">
        <f>L1761+K1762</f>
        <v/>
      </c>
      <c r="M1762" s="2" t="inlineStr">
        <is>
          <t>07043</t>
        </is>
      </c>
      <c r="N1762" s="2" t="inlineStr">
        <is>
          <t>https://app.redstat.kz/niche/07043?event_date=2026-08-01</t>
        </is>
      </c>
      <c r="O1762" s="2" t="inlineStr">
        <is>
          <t>https://kaspi.kz/shop/c/chassis/</t>
        </is>
      </c>
    </row>
    <row r="1763">
      <c r="A1763" s="2" t="n">
        <v>1762</v>
      </c>
      <c r="B1763" s="2" t="inlineStr">
        <is>
          <t>Коконы и позиционеры</t>
        </is>
      </c>
      <c r="C1763" s="2" t="inlineStr">
        <is>
          <t>Детские товары</t>
        </is>
      </c>
      <c r="D1763" s="2" t="inlineStr">
        <is>
          <t>Детские товары → Для малыша и мамы → Для детской комнаты → Коконы и позиционеры</t>
        </is>
      </c>
      <c r="E1763" s="3" t="n">
        <v>109995</v>
      </c>
      <c r="F1763" s="3" t="n">
        <v>6</v>
      </c>
      <c r="G1763" s="3">
        <f>IFERROR(E1763/F1763,0)</f>
        <v/>
      </c>
      <c r="H1763" s="3" t="n">
        <v>2</v>
      </c>
      <c r="I1763" s="2" t="n">
        <v>2</v>
      </c>
      <c r="J1763" s="3">
        <f>IFERROR(E1763/H1763,0)</f>
        <v/>
      </c>
      <c r="K1763" s="10">
        <f>E1763/'По разделам'!$B$21</f>
        <v/>
      </c>
      <c r="L1763" s="4">
        <f>L1762+K1763</f>
        <v/>
      </c>
      <c r="M1763" s="2" t="inlineStr">
        <is>
          <t>09287</t>
        </is>
      </c>
      <c r="N1763" s="2" t="inlineStr">
        <is>
          <t>https://app.redstat.kz/niche/09287?event_date=2026-08-01</t>
        </is>
      </c>
      <c r="O1763" s="2" t="inlineStr">
        <is>
          <t>https://kaspi.kz/shop/c/baby%20cocoons%20and%20positioners/</t>
        </is>
      </c>
    </row>
    <row r="1764">
      <c r="A1764" s="2" t="n">
        <v>1763</v>
      </c>
      <c r="B1764" s="2" t="inlineStr">
        <is>
          <t>Рамки для телевизоров</t>
        </is>
      </c>
      <c r="C1764" s="2" t="inlineStr">
        <is>
          <t>ТВ, Аудио, Видео</t>
        </is>
      </c>
      <c r="D1764" s="2" t="inlineStr">
        <is>
          <t>ТВ, Аудио, Видео → Видеотехника → Рамки для телевизоров</t>
        </is>
      </c>
      <c r="E1764" s="3" t="n">
        <v>109965</v>
      </c>
      <c r="F1764" s="3" t="n">
        <v>4</v>
      </c>
      <c r="G1764" s="3">
        <f>IFERROR(E1764/F1764,0)</f>
        <v/>
      </c>
      <c r="H1764" s="3" t="n">
        <v>4</v>
      </c>
      <c r="I1764" s="2" t="n">
        <v>1</v>
      </c>
      <c r="J1764" s="3">
        <f>IFERROR(E1764/H1764,0)</f>
        <v/>
      </c>
      <c r="K1764" s="10">
        <f>E1764/'По разделам'!$B$21</f>
        <v/>
      </c>
      <c r="L1764" s="4">
        <f>L1763+K1764</f>
        <v/>
      </c>
      <c r="M1764" s="2" t="inlineStr">
        <is>
          <t>03868</t>
        </is>
      </c>
      <c r="N1764" s="2" t="inlineStr">
        <is>
          <t>https://app.redstat.kz/niche/03868?event_date=2026-08-01</t>
        </is>
      </c>
      <c r="O1764" s="2" t="inlineStr">
        <is>
          <t>https://kaspi.kz/shop/c/frames%20for%20tvs/</t>
        </is>
      </c>
    </row>
    <row r="1765">
      <c r="A1765" s="2" t="n">
        <v>1764</v>
      </c>
      <c r="B1765" s="2" t="inlineStr">
        <is>
          <t>Инструмент для поршневой группы</t>
        </is>
      </c>
      <c r="C1765" s="2" t="inlineStr">
        <is>
          <t>Автотовары</t>
        </is>
      </c>
      <c r="D1765" s="2" t="inlineStr">
        <is>
          <t>Автотовары → Автоинструменты → Инструмент для поршневой группы</t>
        </is>
      </c>
      <c r="E1765" s="3" t="n">
        <v>109788</v>
      </c>
      <c r="F1765" s="3" t="n">
        <v>10</v>
      </c>
      <c r="G1765" s="3">
        <f>IFERROR(E1765/F1765,0)</f>
        <v/>
      </c>
      <c r="H1765" s="3" t="n">
        <v>3</v>
      </c>
      <c r="I1765" s="2" t="n">
        <v>3</v>
      </c>
      <c r="J1765" s="3">
        <f>IFERROR(E1765/H1765,0)</f>
        <v/>
      </c>
      <c r="K1765" s="10">
        <f>E1765/'По разделам'!$B$21</f>
        <v/>
      </c>
      <c r="L1765" s="4">
        <f>L1764+K1765</f>
        <v/>
      </c>
      <c r="M1765" s="2" t="inlineStr">
        <is>
          <t>05471</t>
        </is>
      </c>
      <c r="N1765" s="2" t="inlineStr">
        <is>
          <t>https://app.redstat.kz/niche/05471?event_date=2026-08-01</t>
        </is>
      </c>
      <c r="O1765" s="2" t="inlineStr">
        <is>
          <t>https://kaspi.kz/shop/c/tool%20for%20piston%20group/</t>
        </is>
      </c>
    </row>
    <row r="1766">
      <c r="A1766" s="2" t="n">
        <v>1765</v>
      </c>
      <c r="B1766" s="2" t="inlineStr">
        <is>
          <t>Детские пуфы</t>
        </is>
      </c>
      <c r="C1766" s="2" t="inlineStr">
        <is>
          <t>Мебель</t>
        </is>
      </c>
      <c r="D1766" s="2" t="inlineStr">
        <is>
          <t>Мебель → Детская комната → Детские пуфы</t>
        </is>
      </c>
      <c r="E1766" s="3" t="n">
        <v>109641</v>
      </c>
      <c r="F1766" s="3" t="n">
        <v>28</v>
      </c>
      <c r="G1766" s="3">
        <f>IFERROR(E1766/F1766,0)</f>
        <v/>
      </c>
      <c r="H1766" s="3" t="n">
        <v>12</v>
      </c>
      <c r="I1766" s="2" t="n">
        <v>3</v>
      </c>
      <c r="J1766" s="3">
        <f>IFERROR(E1766/H1766,0)</f>
        <v/>
      </c>
      <c r="K1766" s="10">
        <f>E1766/'По разделам'!$B$21</f>
        <v/>
      </c>
      <c r="L1766" s="4">
        <f>L1765+K1766</f>
        <v/>
      </c>
      <c r="M1766" s="2" t="inlineStr">
        <is>
          <t>06834</t>
        </is>
      </c>
      <c r="N1766" s="2" t="inlineStr">
        <is>
          <t>https://app.redstat.kz/niche/06834?event_date=2026-08-01</t>
        </is>
      </c>
      <c r="O1766" s="2" t="inlineStr">
        <is>
          <t>https://kaspi.kz/shop/c/childrens%20puffs/</t>
        </is>
      </c>
    </row>
    <row r="1767">
      <c r="A1767" s="2" t="n">
        <v>1766</v>
      </c>
      <c r="B1767" s="2" t="inlineStr">
        <is>
          <t>Строительные вакуумные присоски, стеклодомкраты</t>
        </is>
      </c>
      <c r="C1767" s="2" t="inlineStr">
        <is>
          <t>Строительство, ремонт</t>
        </is>
      </c>
      <c r="D1767" s="2" t="inlineStr">
        <is>
          <t>Строительство, ремонт → Ручные инструменты → Слесарно-монтажный инструмент → Строительные вакуумные присоски, стеклодомкраты</t>
        </is>
      </c>
      <c r="E1767" s="3" t="n">
        <v>108900</v>
      </c>
      <c r="F1767" s="3" t="n">
        <v>5</v>
      </c>
      <c r="G1767" s="3">
        <f>IFERROR(E1767/F1767,0)</f>
        <v/>
      </c>
      <c r="H1767" s="3" t="n">
        <v>3</v>
      </c>
      <c r="I1767" s="2" t="n">
        <v>3</v>
      </c>
      <c r="J1767" s="3">
        <f>IFERROR(E1767/H1767,0)</f>
        <v/>
      </c>
      <c r="K1767" s="10">
        <f>E1767/'По разделам'!$B$21</f>
        <v/>
      </c>
      <c r="L1767" s="4">
        <f>L1766+K1767</f>
        <v/>
      </c>
      <c r="M1767" s="2" t="inlineStr">
        <is>
          <t>05585</t>
        </is>
      </c>
      <c r="N1767" s="2" t="inlineStr">
        <is>
          <t>https://app.redstat.kz/niche/05585?event_date=2026-08-01</t>
        </is>
      </c>
      <c r="O1767" s="2" t="inlineStr">
        <is>
          <t>https://kaspi.kz/shop/c/glass%20removers/</t>
        </is>
      </c>
    </row>
    <row r="1768">
      <c r="A1768" s="2" t="n">
        <v>1767</v>
      </c>
      <c r="B1768" s="2" t="inlineStr">
        <is>
          <t>Лыжероллеры</t>
        </is>
      </c>
      <c r="C1768" s="2" t="inlineStr">
        <is>
          <t>Спорт, туризм</t>
        </is>
      </c>
      <c r="D1768" s="2" t="inlineStr">
        <is>
          <t>Спорт, туризм → Роликовые коньки и лыжероллеры → Лыжероллеры</t>
        </is>
      </c>
      <c r="E1768" s="3" t="n">
        <v>107950</v>
      </c>
      <c r="F1768" s="3" t="n">
        <v>2</v>
      </c>
      <c r="G1768" s="3">
        <f>IFERROR(E1768/F1768,0)</f>
        <v/>
      </c>
      <c r="H1768" s="3" t="n">
        <v>2</v>
      </c>
      <c r="I1768" s="2" t="n">
        <v>1</v>
      </c>
      <c r="J1768" s="3">
        <f>IFERROR(E1768/H1768,0)</f>
        <v/>
      </c>
      <c r="K1768" s="10">
        <f>E1768/'По разделам'!$B$21</f>
        <v/>
      </c>
      <c r="L1768" s="4">
        <f>L1767+K1768</f>
        <v/>
      </c>
      <c r="M1768" s="2" t="inlineStr">
        <is>
          <t>04406</t>
        </is>
      </c>
      <c r="N1768" s="2" t="inlineStr">
        <is>
          <t>https://app.redstat.kz/niche/04406?event_date=2026-08-01</t>
        </is>
      </c>
      <c r="O1768" s="2" t="inlineStr">
        <is>
          <t>https://kaspi.kz/shop/c/roller%20skis/</t>
        </is>
      </c>
    </row>
    <row r="1769">
      <c r="A1769" s="2" t="n">
        <v>1768</v>
      </c>
      <c r="B1769" s="2" t="inlineStr">
        <is>
          <t>Комплектующие для водонагревателей</t>
        </is>
      </c>
      <c r="C1769" s="2" t="inlineStr">
        <is>
          <t>Бытовая техника</t>
        </is>
      </c>
      <c r="D1769" s="2" t="inlineStr">
        <is>
          <t>Бытовая техника → Климатическая техника → Комплектующие для климатической техники → Комплектующие для водонагревателей</t>
        </is>
      </c>
      <c r="E1769" s="3" t="n">
        <v>107640</v>
      </c>
      <c r="F1769" s="3" t="n">
        <v>194</v>
      </c>
      <c r="G1769" s="3">
        <f>IFERROR(E1769/F1769,0)</f>
        <v/>
      </c>
      <c r="H1769" s="3" t="n">
        <v>7</v>
      </c>
      <c r="I1769" s="2" t="n">
        <v>2</v>
      </c>
      <c r="J1769" s="3">
        <f>IFERROR(E1769/H1769,0)</f>
        <v/>
      </c>
      <c r="K1769" s="10">
        <f>E1769/'По разделам'!$B$21</f>
        <v/>
      </c>
      <c r="L1769" s="4">
        <f>L1768+K1769</f>
        <v/>
      </c>
      <c r="M1769" s="2" t="inlineStr">
        <is>
          <t>05781</t>
        </is>
      </c>
      <c r="N1769" s="2" t="inlineStr">
        <is>
          <t>https://app.redstat.kz/niche/05781?event_date=2026-08-01</t>
        </is>
      </c>
      <c r="O1769" s="2" t="inlineStr">
        <is>
          <t>https://kaspi.kz/shop/c/accessories%20for%20water%20heaters/</t>
        </is>
      </c>
    </row>
    <row r="1770">
      <c r="A1770" s="2" t="n">
        <v>1769</v>
      </c>
      <c r="B1770" s="2" t="inlineStr">
        <is>
          <t>Мыльницы и стаканы для ванной</t>
        </is>
      </c>
      <c r="C1770" s="2" t="inlineStr">
        <is>
          <t>Товары для дома и дачи</t>
        </is>
      </c>
      <c r="D1770" s="2" t="inlineStr">
        <is>
          <t>Товары для дома и дачи → Хозяйственные товары → Аксессуары для ванной и туалета → Мыльницы и стаканы для ванной</t>
        </is>
      </c>
      <c r="E1770" s="3" t="n">
        <v>106566</v>
      </c>
      <c r="F1770" s="3" t="n">
        <v>61</v>
      </c>
      <c r="G1770" s="3">
        <f>IFERROR(E1770/F1770,0)</f>
        <v/>
      </c>
      <c r="H1770" s="3" t="n">
        <v>20</v>
      </c>
      <c r="I1770" s="2" t="n">
        <v>9</v>
      </c>
      <c r="J1770" s="3">
        <f>IFERROR(E1770/H1770,0)</f>
        <v/>
      </c>
      <c r="K1770" s="10">
        <f>E1770/'По разделам'!$B$21</f>
        <v/>
      </c>
      <c r="L1770" s="4">
        <f>L1769+K1770</f>
        <v/>
      </c>
      <c r="M1770" s="2" t="inlineStr">
        <is>
          <t>05420</t>
        </is>
      </c>
      <c r="N1770" s="2" t="inlineStr">
        <is>
          <t>https://app.redstat.kz/niche/05420?event_date=2026-08-01</t>
        </is>
      </c>
      <c r="O1770" s="2" t="inlineStr">
        <is>
          <t>https://kaspi.kz/shop/c/bathroom%20soap%20dishes%20and%20glasses/</t>
        </is>
      </c>
    </row>
    <row r="1771">
      <c r="A1771" s="2" t="n">
        <v>1770</v>
      </c>
      <c r="B1771" s="2" t="inlineStr">
        <is>
          <t>Чистящие средства для обуви</t>
        </is>
      </c>
      <c r="C1771" s="2" t="inlineStr">
        <is>
          <t>Товары для дома и дачи</t>
        </is>
      </c>
      <c r="D1771" s="2" t="inlineStr">
        <is>
          <t>Товары для дома и дачи → Хозяйственные товары → Уход за обувью → Чистящие средства для обуви</t>
        </is>
      </c>
      <c r="E1771" s="3" t="n">
        <v>105007</v>
      </c>
      <c r="F1771" s="3" t="n">
        <v>169</v>
      </c>
      <c r="G1771" s="3">
        <f>IFERROR(E1771/F1771,0)</f>
        <v/>
      </c>
      <c r="H1771" s="3" t="n">
        <v>15</v>
      </c>
      <c r="I1771" s="2" t="n">
        <v>7</v>
      </c>
      <c r="J1771" s="3">
        <f>IFERROR(E1771/H1771,0)</f>
        <v/>
      </c>
      <c r="K1771" s="10">
        <f>E1771/'По разделам'!$B$21</f>
        <v/>
      </c>
      <c r="L1771" s="4">
        <f>L1770+K1771</f>
        <v/>
      </c>
      <c r="M1771" s="2" t="inlineStr">
        <is>
          <t>04072</t>
        </is>
      </c>
      <c r="N1771" s="2" t="inlineStr">
        <is>
          <t>https://app.redstat.kz/niche/04072?event_date=2026-08-01</t>
        </is>
      </c>
      <c r="O1771" s="2" t="inlineStr">
        <is>
          <t>https://kaspi.kz/shop/c/shoe%20cleaners/</t>
        </is>
      </c>
    </row>
    <row r="1772">
      <c r="A1772" s="2" t="n">
        <v>1771</v>
      </c>
      <c r="B1772" s="2" t="inlineStr">
        <is>
          <t>Бетономешалки</t>
        </is>
      </c>
      <c r="C1772" s="2" t="inlineStr">
        <is>
          <t>Строительство, ремонт</t>
        </is>
      </c>
      <c r="D1772" s="2" t="inlineStr">
        <is>
          <t>Строительство, ремонт → Строительное оборудование → Бетономешалки и комплектующие → Бетономешалки</t>
        </is>
      </c>
      <c r="E1772" s="3" t="n">
        <v>105000</v>
      </c>
      <c r="F1772" s="3" t="n">
        <v>1</v>
      </c>
      <c r="G1772" s="3">
        <f>IFERROR(E1772/F1772,0)</f>
        <v/>
      </c>
      <c r="H1772" s="3" t="n">
        <v>1</v>
      </c>
      <c r="I1772" s="2" t="n">
        <v>1</v>
      </c>
      <c r="J1772" s="3">
        <f>IFERROR(E1772/H1772,0)</f>
        <v/>
      </c>
      <c r="K1772" s="10">
        <f>E1772/'По разделам'!$B$21</f>
        <v/>
      </c>
      <c r="L1772" s="4">
        <f>L1771+K1772</f>
        <v/>
      </c>
      <c r="M1772" s="2" t="inlineStr">
        <is>
          <t>01231</t>
        </is>
      </c>
      <c r="N1772" s="2" t="inlineStr">
        <is>
          <t>https://app.redstat.kz/niche/01231?event_date=2026-08-01</t>
        </is>
      </c>
      <c r="O1772" s="2" t="inlineStr">
        <is>
          <t>https://kaspi.kz/shop/c/concrete%20mixers/</t>
        </is>
      </c>
    </row>
    <row r="1773">
      <c r="A1773" s="2" t="n">
        <v>1772</v>
      </c>
      <c r="B1773" s="2" t="inlineStr">
        <is>
          <t>Кейсы для оборудования</t>
        </is>
      </c>
      <c r="C1773" s="2" t="inlineStr">
        <is>
          <t>ТВ, Аудио, Видео</t>
        </is>
      </c>
      <c r="D1773" s="2" t="inlineStr">
        <is>
          <t>ТВ, Аудио, Видео → Сценическое оборудование → Кейсы для оборудования</t>
        </is>
      </c>
      <c r="E1773" s="3" t="n">
        <v>104695</v>
      </c>
      <c r="F1773" s="3" t="n">
        <v>3</v>
      </c>
      <c r="G1773" s="3">
        <f>IFERROR(E1773/F1773,0)</f>
        <v/>
      </c>
      <c r="H1773" s="3" t="n">
        <v>3</v>
      </c>
      <c r="I1773" s="2" t="n">
        <v>1</v>
      </c>
      <c r="J1773" s="3">
        <f>IFERROR(E1773/H1773,0)</f>
        <v/>
      </c>
      <c r="K1773" s="10">
        <f>E1773/'По разделам'!$B$21</f>
        <v/>
      </c>
      <c r="L1773" s="4">
        <f>L1772+K1773</f>
        <v/>
      </c>
      <c r="M1773" s="2" t="inlineStr">
        <is>
          <t>06954</t>
        </is>
      </c>
      <c r="N1773" s="2" t="inlineStr">
        <is>
          <t>https://app.redstat.kz/niche/06954?event_date=2026-08-01</t>
        </is>
      </c>
      <c r="O1773" s="2" t="inlineStr">
        <is>
          <t>https://kaspi.kz/shop/c/cases%20for%20equipment/</t>
        </is>
      </c>
    </row>
    <row r="1774">
      <c r="A1774" s="2" t="n">
        <v>1773</v>
      </c>
      <c r="B1774" s="2" t="inlineStr">
        <is>
          <t>Двери для бани и сауны</t>
        </is>
      </c>
      <c r="C1774" s="2" t="inlineStr">
        <is>
          <t>Товары для дома и дачи</t>
        </is>
      </c>
      <c r="D1774" s="2" t="inlineStr">
        <is>
          <t>Товары для дома и дачи → Дача, сад и огород → Баня и сауна → Двери для бани и сауны</t>
        </is>
      </c>
      <c r="E1774" s="3" t="n">
        <v>104500</v>
      </c>
      <c r="F1774" s="3" t="n">
        <v>2</v>
      </c>
      <c r="G1774" s="3">
        <f>IFERROR(E1774/F1774,0)</f>
        <v/>
      </c>
      <c r="H1774" s="3" t="n">
        <v>2</v>
      </c>
      <c r="I1774" s="2" t="n">
        <v>2</v>
      </c>
      <c r="J1774" s="3">
        <f>IFERROR(E1774/H1774,0)</f>
        <v/>
      </c>
      <c r="K1774" s="10">
        <f>E1774/'По разделам'!$B$21</f>
        <v/>
      </c>
      <c r="L1774" s="4">
        <f>L1773+K1774</f>
        <v/>
      </c>
      <c r="M1774" s="2" t="inlineStr">
        <is>
          <t>05654</t>
        </is>
      </c>
      <c r="N1774" s="2" t="inlineStr">
        <is>
          <t>https://app.redstat.kz/niche/05654?event_date=2026-08-01</t>
        </is>
      </c>
      <c r="O1774" s="2" t="inlineStr">
        <is>
          <t>https://kaspi.kz/shop/c/bath%20and%20sauna%20doors/</t>
        </is>
      </c>
    </row>
    <row r="1775">
      <c r="A1775" s="2" t="n">
        <v>1774</v>
      </c>
      <c r="B1775" s="2" t="inlineStr">
        <is>
          <t>Печи для казанов</t>
        </is>
      </c>
      <c r="C1775" s="2" t="inlineStr">
        <is>
          <t>Товары для дома и дачи</t>
        </is>
      </c>
      <c r="D1775" s="2" t="inlineStr">
        <is>
          <t>Товары для дома и дачи → Дача, сад и огород → Пикник, барбекю, гриль → Печи для казанов</t>
        </is>
      </c>
      <c r="E1775" s="3" t="n">
        <v>104400</v>
      </c>
      <c r="F1775" s="3" t="n">
        <v>2</v>
      </c>
      <c r="G1775" s="3">
        <f>IFERROR(E1775/F1775,0)</f>
        <v/>
      </c>
      <c r="H1775" s="3" t="n">
        <v>2</v>
      </c>
      <c r="I1775" s="2" t="n">
        <v>1</v>
      </c>
      <c r="J1775" s="3">
        <f>IFERROR(E1775/H1775,0)</f>
        <v/>
      </c>
      <c r="K1775" s="10">
        <f>E1775/'По разделам'!$B$21</f>
        <v/>
      </c>
      <c r="L1775" s="4">
        <f>L1774+K1775</f>
        <v/>
      </c>
      <c r="M1775" s="2" t="inlineStr">
        <is>
          <t>03907</t>
        </is>
      </c>
      <c r="N1775" s="2" t="inlineStr">
        <is>
          <t>https://app.redstat.kz/niche/03907?event_date=2026-08-01</t>
        </is>
      </c>
      <c r="O1775" s="2" t="inlineStr">
        <is>
          <t>https://kaspi.kz/shop/c/ovens%20for%20cauldrons/</t>
        </is>
      </c>
    </row>
    <row r="1776">
      <c r="A1776" s="2" t="n">
        <v>1775</v>
      </c>
      <c r="B1776" s="2" t="inlineStr">
        <is>
          <t>Тормозные диски</t>
        </is>
      </c>
      <c r="C1776" s="2" t="inlineStr">
        <is>
          <t>Автотовары</t>
        </is>
      </c>
      <c r="D1776" s="2" t="inlineStr">
        <is>
          <t>Автотовары → Автозапчасти → Тормозная система → Тормозные диски</t>
        </is>
      </c>
      <c r="E1776" s="3" t="n">
        <v>104000</v>
      </c>
      <c r="F1776" s="3" t="n">
        <v>3</v>
      </c>
      <c r="G1776" s="3">
        <f>IFERROR(E1776/F1776,0)</f>
        <v/>
      </c>
      <c r="H1776" s="3" t="n">
        <v>2</v>
      </c>
      <c r="I1776" s="2" t="n">
        <v>2</v>
      </c>
      <c r="J1776" s="3">
        <f>IFERROR(E1776/H1776,0)</f>
        <v/>
      </c>
      <c r="K1776" s="10">
        <f>E1776/'По разделам'!$B$21</f>
        <v/>
      </c>
      <c r="L1776" s="4">
        <f>L1775+K1776</f>
        <v/>
      </c>
      <c r="M1776" s="2" t="inlineStr">
        <is>
          <t>03782</t>
        </is>
      </c>
      <c r="N1776" s="2" t="inlineStr">
        <is>
          <t>https://app.redstat.kz/niche/03782?event_date=2026-08-01</t>
        </is>
      </c>
      <c r="O1776" s="2" t="inlineStr">
        <is>
          <t>https://kaspi.kz/shop/c/brake%20discs/</t>
        </is>
      </c>
    </row>
    <row r="1777">
      <c r="A1777" s="2" t="n">
        <v>1776</v>
      </c>
      <c r="B1777" s="2" t="inlineStr">
        <is>
          <t>Комплектующие для дымоходов</t>
        </is>
      </c>
      <c r="C1777" s="2" t="inlineStr">
        <is>
          <t>Строительство, ремонт</t>
        </is>
      </c>
      <c r="D1777" s="2" t="inlineStr">
        <is>
          <t>Строительство, ремонт → Системы отопления → Отопительные котлы, оборудование для котельных → Комплектующие для дымоходов</t>
        </is>
      </c>
      <c r="E1777" s="3" t="n">
        <v>103800</v>
      </c>
      <c r="F1777" s="3" t="n">
        <v>7</v>
      </c>
      <c r="G1777" s="3">
        <f>IFERROR(E1777/F1777,0)</f>
        <v/>
      </c>
      <c r="H1777" s="3" t="n">
        <v>5</v>
      </c>
      <c r="I1777" s="2" t="n">
        <v>3</v>
      </c>
      <c r="J1777" s="3">
        <f>IFERROR(E1777/H1777,0)</f>
        <v/>
      </c>
      <c r="K1777" s="10">
        <f>E1777/'По разделам'!$B$21</f>
        <v/>
      </c>
      <c r="L1777" s="4">
        <f>L1776+K1777</f>
        <v/>
      </c>
      <c r="M1777" s="2" t="inlineStr">
        <is>
          <t>06549</t>
        </is>
      </c>
      <c r="N1777" s="2" t="inlineStr">
        <is>
          <t>https://app.redstat.kz/niche/06549?event_date=2026-08-01</t>
        </is>
      </c>
      <c r="O1777" s="2" t="inlineStr">
        <is>
          <t>https://kaspi.kz/shop/c/accessories%20for%20chimneys/</t>
        </is>
      </c>
    </row>
    <row r="1778">
      <c r="A1778" s="2" t="n">
        <v>1777</v>
      </c>
      <c r="B1778" s="2" t="inlineStr">
        <is>
          <t>Аккумуляторы для ноутбуков</t>
        </is>
      </c>
      <c r="C1778" s="2" t="inlineStr">
        <is>
          <t>Компьютеры</t>
        </is>
      </c>
      <c r="D1778" s="2" t="inlineStr">
        <is>
          <t>Компьютеры → Ноутбуки и аксессуары → Аксессуары для ноутбуков → Аккумуляторы для ноутбуков</t>
        </is>
      </c>
      <c r="E1778" s="3" t="n">
        <v>103700</v>
      </c>
      <c r="F1778" s="3" t="n">
        <v>6</v>
      </c>
      <c r="G1778" s="3">
        <f>IFERROR(E1778/F1778,0)</f>
        <v/>
      </c>
      <c r="H1778" s="3" t="n">
        <v>6</v>
      </c>
      <c r="I1778" s="2" t="n">
        <v>2</v>
      </c>
      <c r="J1778" s="3">
        <f>IFERROR(E1778/H1778,0)</f>
        <v/>
      </c>
      <c r="K1778" s="10">
        <f>E1778/'По разделам'!$B$21</f>
        <v/>
      </c>
      <c r="L1778" s="4">
        <f>L1777+K1778</f>
        <v/>
      </c>
      <c r="M1778" s="2" t="inlineStr">
        <is>
          <t>01786</t>
        </is>
      </c>
      <c r="N1778" s="2" t="inlineStr">
        <is>
          <t>https://app.redstat.kz/niche/01786?event_date=2026-08-01</t>
        </is>
      </c>
      <c r="O1778" s="2" t="inlineStr">
        <is>
          <t>https://kaspi.kz/shop/c/laptop%20batteries/</t>
        </is>
      </c>
    </row>
    <row r="1779">
      <c r="A1779" s="2" t="n">
        <v>1778</v>
      </c>
      <c r="B1779" s="2" t="inlineStr">
        <is>
          <t>Электрические шлифовальные машины</t>
        </is>
      </c>
      <c r="C1779" s="2" t="inlineStr">
        <is>
          <t>Строительство, ремонт</t>
        </is>
      </c>
      <c r="D1779" s="2" t="inlineStr">
        <is>
          <t>Строительство, ремонт → Инструменты → Электроинструменты → Электрические шлифовальные машины</t>
        </is>
      </c>
      <c r="E1779" s="3" t="n">
        <v>103499</v>
      </c>
      <c r="F1779" s="3" t="n">
        <v>5</v>
      </c>
      <c r="G1779" s="3">
        <f>IFERROR(E1779/F1779,0)</f>
        <v/>
      </c>
      <c r="H1779" s="3" t="n">
        <v>4</v>
      </c>
      <c r="I1779" s="2" t="n">
        <v>4</v>
      </c>
      <c r="J1779" s="3">
        <f>IFERROR(E1779/H1779,0)</f>
        <v/>
      </c>
      <c r="K1779" s="10">
        <f>E1779/'По разделам'!$B$21</f>
        <v/>
      </c>
      <c r="L1779" s="4">
        <f>L1778+K1779</f>
        <v/>
      </c>
      <c r="M1779" s="2" t="inlineStr">
        <is>
          <t>05964</t>
        </is>
      </c>
      <c r="N1779" s="2" t="inlineStr">
        <is>
          <t>https://app.redstat.kz/niche/05964?event_date=2026-08-01</t>
        </is>
      </c>
      <c r="O1779" s="2" t="inlineStr">
        <is>
          <t>https://kaspi.kz/shop/c/angle%20grinders/</t>
        </is>
      </c>
    </row>
    <row r="1780">
      <c r="A1780" s="2" t="n">
        <v>1779</v>
      </c>
      <c r="B1780" s="2" t="inlineStr">
        <is>
          <t>Запасные части к электроинструментам и бензоинструментам</t>
        </is>
      </c>
      <c r="C1780" s="2" t="inlineStr">
        <is>
          <t>Строительство, ремонт</t>
        </is>
      </c>
      <c r="D1780" s="2" t="inlineStr">
        <is>
          <t>Строительство, ремонт → Инструменты → Оснастка и расходники для инструмента → Запасные части к электроинструментам и бензоинструментам</t>
        </is>
      </c>
      <c r="E1780" s="3" t="n">
        <v>102889</v>
      </c>
      <c r="F1780" s="3" t="n">
        <v>61</v>
      </c>
      <c r="G1780" s="3">
        <f>IFERROR(E1780/F1780,0)</f>
        <v/>
      </c>
      <c r="H1780" s="3" t="n">
        <v>13</v>
      </c>
      <c r="I1780" s="2" t="n">
        <v>2</v>
      </c>
      <c r="J1780" s="3">
        <f>IFERROR(E1780/H1780,0)</f>
        <v/>
      </c>
      <c r="K1780" s="10">
        <f>E1780/'По разделам'!$B$21</f>
        <v/>
      </c>
      <c r="L1780" s="4">
        <f>L1779+K1780</f>
        <v/>
      </c>
      <c r="M1780" s="2" t="inlineStr">
        <is>
          <t>05468</t>
        </is>
      </c>
      <c r="N1780" s="2" t="inlineStr">
        <is>
          <t>https://app.redstat.kz/niche/05468?event_date=2026-08-01</t>
        </is>
      </c>
      <c r="O1780" s="2" t="inlineStr">
        <is>
          <t>https://kaspi.kz/shop/c/spare%20parts%20for%20power%20tools/</t>
        </is>
      </c>
    </row>
    <row r="1781">
      <c r="A1781" s="2" t="n">
        <v>1780</v>
      </c>
      <c r="B1781" s="2" t="inlineStr">
        <is>
          <t>Барометры</t>
        </is>
      </c>
      <c r="C1781" s="2" t="inlineStr">
        <is>
          <t>Бытовая техника</t>
        </is>
      </c>
      <c r="D1781" s="2" t="inlineStr">
        <is>
          <t>Бытовая техника → Климатическая техника → Барометры</t>
        </is>
      </c>
      <c r="E1781" s="3" t="n">
        <v>101594</v>
      </c>
      <c r="F1781" s="3" t="n">
        <v>6</v>
      </c>
      <c r="G1781" s="3">
        <f>IFERROR(E1781/F1781,0)</f>
        <v/>
      </c>
      <c r="H1781" s="3" t="n">
        <v>4</v>
      </c>
      <c r="I1781" s="2" t="n">
        <v>1</v>
      </c>
      <c r="J1781" s="3">
        <f>IFERROR(E1781/H1781,0)</f>
        <v/>
      </c>
      <c r="K1781" s="10">
        <f>E1781/'По разделам'!$B$21</f>
        <v/>
      </c>
      <c r="L1781" s="4">
        <f>L1780+K1781</f>
        <v/>
      </c>
      <c r="M1781" s="2" t="inlineStr">
        <is>
          <t>02367</t>
        </is>
      </c>
      <c r="N1781" s="2" t="inlineStr">
        <is>
          <t>https://app.redstat.kz/niche/02367?event_date=2026-08-01</t>
        </is>
      </c>
      <c r="O1781" s="2" t="inlineStr">
        <is>
          <t>https://kaspi.kz/shop/c/barometers/</t>
        </is>
      </c>
    </row>
    <row r="1782">
      <c r="A1782" s="2" t="n">
        <v>1781</v>
      </c>
      <c r="B1782" s="2" t="inlineStr">
        <is>
          <t>Строительные затирки</t>
        </is>
      </c>
      <c r="C1782" s="2" t="inlineStr">
        <is>
          <t>Строительство, ремонт</t>
        </is>
      </c>
      <c r="D1782" s="2" t="inlineStr">
        <is>
          <t>Строительство, ремонт → Строительные материалы → Строительные смеси → Строительные затирки</t>
        </is>
      </c>
      <c r="E1782" s="3" t="n">
        <v>101495</v>
      </c>
      <c r="F1782" s="3" t="n">
        <v>5</v>
      </c>
      <c r="G1782" s="3">
        <f>IFERROR(E1782/F1782,0)</f>
        <v/>
      </c>
      <c r="H1782" s="3" t="n">
        <v>2</v>
      </c>
      <c r="I1782" s="2" t="n">
        <v>2</v>
      </c>
      <c r="J1782" s="3">
        <f>IFERROR(E1782/H1782,0)</f>
        <v/>
      </c>
      <c r="K1782" s="10">
        <f>E1782/'По разделам'!$B$21</f>
        <v/>
      </c>
      <c r="L1782" s="4">
        <f>L1781+K1782</f>
        <v/>
      </c>
      <c r="M1782" s="2" t="inlineStr">
        <is>
          <t>01236</t>
        </is>
      </c>
      <c r="N1782" s="2" t="inlineStr">
        <is>
          <t>https://app.redstat.kz/niche/01236?event_date=2026-08-01</t>
        </is>
      </c>
      <c r="O1782" s="2" t="inlineStr">
        <is>
          <t>https://kaspi.kz/shop/c/building%20grout/</t>
        </is>
      </c>
    </row>
    <row r="1783">
      <c r="A1783" s="2" t="n">
        <v>1782</v>
      </c>
      <c r="B1783" s="2" t="inlineStr">
        <is>
          <t>Печать по требованию</t>
        </is>
      </c>
      <c r="C1783" s="2" t="inlineStr">
        <is>
          <t>Досуг, книги</t>
        </is>
      </c>
      <c r="D1783" s="2" t="inlineStr">
        <is>
          <t>Досуг, книги → Книги → Печать по требованию</t>
        </is>
      </c>
      <c r="E1783" s="3" t="n">
        <v>101128</v>
      </c>
      <c r="F1783" s="3" t="n">
        <v>10</v>
      </c>
      <c r="G1783" s="3">
        <f>IFERROR(E1783/F1783,0)</f>
        <v/>
      </c>
      <c r="H1783" s="3" t="n">
        <v>9</v>
      </c>
      <c r="I1783" s="2" t="n">
        <v>1</v>
      </c>
      <c r="J1783" s="3">
        <f>IFERROR(E1783/H1783,0)</f>
        <v/>
      </c>
      <c r="K1783" s="10">
        <f>E1783/'По разделам'!$B$21</f>
        <v/>
      </c>
      <c r="L1783" s="4">
        <f>L1782+K1783</f>
        <v/>
      </c>
      <c r="M1783" s="2" t="inlineStr">
        <is>
          <t>07130</t>
        </is>
      </c>
      <c r="N1783" s="2" t="inlineStr">
        <is>
          <t>https://app.redstat.kz/niche/07130?event_date=2026-08-01</t>
        </is>
      </c>
      <c r="O1783" s="2" t="inlineStr">
        <is>
          <t>https://kaspi.kz/shop/c/print%20on%20demand/</t>
        </is>
      </c>
    </row>
    <row r="1784">
      <c r="A1784" s="2" t="n">
        <v>1783</v>
      </c>
      <c r="B1784" s="2" t="inlineStr">
        <is>
          <t>Вешалки-плечики для одежды</t>
        </is>
      </c>
      <c r="C1784" s="2" t="inlineStr">
        <is>
          <t>Товары для дома и дачи</t>
        </is>
      </c>
      <c r="D1784" s="2" t="inlineStr">
        <is>
          <t>Товары для дома и дачи → Хозяйственные товары → Уход за одеждой → Вешалки-плечики для одежды</t>
        </is>
      </c>
      <c r="E1784" s="3" t="n">
        <v>100474</v>
      </c>
      <c r="F1784" s="3" t="n">
        <v>21</v>
      </c>
      <c r="G1784" s="3">
        <f>IFERROR(E1784/F1784,0)</f>
        <v/>
      </c>
      <c r="H1784" s="3" t="n">
        <v>14</v>
      </c>
      <c r="I1784" s="2" t="n">
        <v>2</v>
      </c>
      <c r="J1784" s="3">
        <f>IFERROR(E1784/H1784,0)</f>
        <v/>
      </c>
      <c r="K1784" s="10">
        <f>E1784/'По разделам'!$B$21</f>
        <v/>
      </c>
      <c r="L1784" s="4">
        <f>L1783+K1784</f>
        <v/>
      </c>
      <c r="M1784" s="2" t="inlineStr">
        <is>
          <t>02739</t>
        </is>
      </c>
      <c r="N1784" s="2" t="inlineStr">
        <is>
          <t>https://app.redstat.kz/niche/02739?event_date=2026-08-01</t>
        </is>
      </c>
      <c r="O1784" s="2" t="inlineStr">
        <is>
          <t>https://kaspi.kz/shop/c/coat%20hangers/</t>
        </is>
      </c>
    </row>
    <row r="1785">
      <c r="A1785" s="2" t="n">
        <v>1784</v>
      </c>
      <c r="B1785" s="2" t="inlineStr">
        <is>
          <t>Датчики давления в шинах</t>
        </is>
      </c>
      <c r="C1785" s="2" t="inlineStr">
        <is>
          <t>Автотовары</t>
        </is>
      </c>
      <c r="D1785" s="2" t="inlineStr">
        <is>
          <t>Автотовары → Шины → Аксессуары для шин → Датчики давления в шинах</t>
        </is>
      </c>
      <c r="E1785" s="3" t="n">
        <v>100000</v>
      </c>
      <c r="F1785" s="3" t="n">
        <v>2</v>
      </c>
      <c r="G1785" s="3">
        <f>IFERROR(E1785/F1785,0)</f>
        <v/>
      </c>
      <c r="H1785" s="3" t="n">
        <v>1</v>
      </c>
      <c r="I1785" s="2" t="n">
        <v>1</v>
      </c>
      <c r="J1785" s="3">
        <f>IFERROR(E1785/H1785,0)</f>
        <v/>
      </c>
      <c r="K1785" s="10">
        <f>E1785/'По разделам'!$B$21</f>
        <v/>
      </c>
      <c r="L1785" s="4">
        <f>L1784+K1785</f>
        <v/>
      </c>
      <c r="M1785" s="2" t="inlineStr">
        <is>
          <t>02311</t>
        </is>
      </c>
      <c r="N1785" s="2" t="inlineStr">
        <is>
          <t>https://app.redstat.kz/niche/02311?event_date=2026-08-01</t>
        </is>
      </c>
      <c r="O1785" s="2" t="inlineStr">
        <is>
          <t>https://kaspi.kz/shop/c/tire%20pressure%20sensors/</t>
        </is>
      </c>
    </row>
    <row r="1786">
      <c r="A1786" s="2" t="n">
        <v>1785</v>
      </c>
      <c r="B1786" s="2" t="inlineStr">
        <is>
          <t>Лапомойки для животных</t>
        </is>
      </c>
      <c r="C1786" s="2" t="inlineStr">
        <is>
          <t>Товары для животных</t>
        </is>
      </c>
      <c r="D1786" s="2" t="inlineStr">
        <is>
          <t>Товары для животных → Гигиена и уход за животными → Лапомойки для животных</t>
        </is>
      </c>
      <c r="E1786" s="3" t="n">
        <v>99220</v>
      </c>
      <c r="F1786" s="3" t="n">
        <v>20</v>
      </c>
      <c r="G1786" s="3">
        <f>IFERROR(E1786/F1786,0)</f>
        <v/>
      </c>
      <c r="H1786" s="3" t="n">
        <v>13</v>
      </c>
      <c r="I1786" s="2" t="n">
        <v>7</v>
      </c>
      <c r="J1786" s="3">
        <f>IFERROR(E1786/H1786,0)</f>
        <v/>
      </c>
      <c r="K1786" s="10">
        <f>E1786/'По разделам'!$B$21</f>
        <v/>
      </c>
      <c r="L1786" s="4">
        <f>L1785+K1786</f>
        <v/>
      </c>
      <c r="M1786" s="2" t="inlineStr">
        <is>
          <t>03106</t>
        </is>
      </c>
      <c r="N1786" s="2" t="inlineStr">
        <is>
          <t>https://app.redstat.kz/niche/03106?event_date=2026-08-01</t>
        </is>
      </c>
      <c r="O1786" s="2" t="inlineStr">
        <is>
          <t>https://kaspi.kz/shop/c/pet%20paw%20washing%20machine/</t>
        </is>
      </c>
    </row>
    <row r="1787">
      <c r="A1787" s="2" t="n">
        <v>1786</v>
      </c>
      <c r="B1787" s="2" t="inlineStr">
        <is>
          <t>Радиаторы отопления</t>
        </is>
      </c>
      <c r="C1787" s="2" t="inlineStr">
        <is>
          <t>Строительство, ремонт</t>
        </is>
      </c>
      <c r="D1787" s="2" t="inlineStr">
        <is>
          <t>Строительство, ремонт → Системы отопления → Радиаторы и конвекторы → Радиаторы отопления</t>
        </is>
      </c>
      <c r="E1787" s="3" t="n">
        <v>99000</v>
      </c>
      <c r="F1787" s="3" t="n">
        <v>1</v>
      </c>
      <c r="G1787" s="3">
        <f>IFERROR(E1787/F1787,0)</f>
        <v/>
      </c>
      <c r="H1787" s="3" t="n">
        <v>1</v>
      </c>
      <c r="I1787" s="2" t="n">
        <v>1</v>
      </c>
      <c r="J1787" s="3">
        <f>IFERROR(E1787/H1787,0)</f>
        <v/>
      </c>
      <c r="K1787" s="10">
        <f>E1787/'По разделам'!$B$21</f>
        <v/>
      </c>
      <c r="L1787" s="4">
        <f>L1786+K1787</f>
        <v/>
      </c>
      <c r="M1787" s="2" t="inlineStr">
        <is>
          <t>06093</t>
        </is>
      </c>
      <c r="N1787" s="2" t="inlineStr">
        <is>
          <t>https://app.redstat.kz/niche/06093?event_date=2026-08-01</t>
        </is>
      </c>
      <c r="O1787" s="2" t="inlineStr">
        <is>
          <t>https://kaspi.kz/shop/c/heating%20radiators/</t>
        </is>
      </c>
    </row>
    <row r="1788">
      <c r="A1788" s="2" t="n">
        <v>1787</v>
      </c>
      <c r="B1788" s="2" t="inlineStr">
        <is>
          <t>Ступица колеса, составляющие</t>
        </is>
      </c>
      <c r="C1788" s="2" t="inlineStr">
        <is>
          <t>Автотовары</t>
        </is>
      </c>
      <c r="D1788" s="2" t="inlineStr">
        <is>
          <t>Автотовары → Автозапчасти → Ходовая часть → Ступица колеса, составляющие</t>
        </is>
      </c>
      <c r="E1788" s="3" t="n">
        <v>98500</v>
      </c>
      <c r="F1788" s="3" t="n">
        <v>4</v>
      </c>
      <c r="G1788" s="3">
        <f>IFERROR(E1788/F1788,0)</f>
        <v/>
      </c>
      <c r="H1788" s="3" t="n">
        <v>4</v>
      </c>
      <c r="I1788" s="2" t="n">
        <v>4</v>
      </c>
      <c r="J1788" s="3">
        <f>IFERROR(E1788/H1788,0)</f>
        <v/>
      </c>
      <c r="K1788" s="10">
        <f>E1788/'По разделам'!$B$21</f>
        <v/>
      </c>
      <c r="L1788" s="4">
        <f>L1787+K1788</f>
        <v/>
      </c>
      <c r="M1788" s="2" t="inlineStr">
        <is>
          <t>07329</t>
        </is>
      </c>
      <c r="N1788" s="2" t="inlineStr">
        <is>
          <t>https://app.redstat.kz/niche/07329?event_date=2026-08-01</t>
        </is>
      </c>
      <c r="O1788" s="2" t="inlineStr">
        <is>
          <t>https://kaspi.kz/shop/c/wheel%20hub/</t>
        </is>
      </c>
    </row>
    <row r="1789">
      <c r="A1789" s="2" t="n">
        <v>1788</v>
      </c>
      <c r="B1789" s="2" t="inlineStr">
        <is>
          <t>Детская вода</t>
        </is>
      </c>
      <c r="C1789" s="2" t="inlineStr">
        <is>
          <t>Детские товары</t>
        </is>
      </c>
      <c r="D1789" s="2" t="inlineStr">
        <is>
          <t>Детские товары → Детское питание → Детская вода</t>
        </is>
      </c>
      <c r="E1789" s="3" t="n">
        <v>98401</v>
      </c>
      <c r="F1789" s="3" t="n">
        <v>40</v>
      </c>
      <c r="G1789" s="3">
        <f>IFERROR(E1789/F1789,0)</f>
        <v/>
      </c>
      <c r="H1789" s="3" t="n">
        <v>7</v>
      </c>
      <c r="I1789" s="2" t="n">
        <v>4</v>
      </c>
      <c r="J1789" s="3">
        <f>IFERROR(E1789/H1789,0)</f>
        <v/>
      </c>
      <c r="K1789" s="10">
        <f>E1789/'По разделам'!$B$21</f>
        <v/>
      </c>
      <c r="L1789" s="4">
        <f>L1788+K1789</f>
        <v/>
      </c>
      <c r="M1789" s="2" t="inlineStr">
        <is>
          <t>07271</t>
        </is>
      </c>
      <c r="N1789" s="2" t="inlineStr">
        <is>
          <t>https://app.redstat.kz/niche/07271?event_date=2026-08-01</t>
        </is>
      </c>
      <c r="O1789" s="2" t="inlineStr">
        <is>
          <t>https://kaspi.kz/shop/c/baby%20water/</t>
        </is>
      </c>
    </row>
    <row r="1790">
      <c r="A1790" s="2" t="n">
        <v>1789</v>
      </c>
      <c r="B1790" s="2" t="inlineStr">
        <is>
          <t>Оправки и съемники для поршневых колец</t>
        </is>
      </c>
      <c r="C1790" s="2" t="inlineStr">
        <is>
          <t>Автотовары</t>
        </is>
      </c>
      <c r="D1790" s="2" t="inlineStr">
        <is>
          <t>Автотовары → Автоинструменты → Оправки и съемники для поршневых колец</t>
        </is>
      </c>
      <c r="E1790" s="3" t="n">
        <v>98256</v>
      </c>
      <c r="F1790" s="3" t="n">
        <v>13</v>
      </c>
      <c r="G1790" s="3">
        <f>IFERROR(E1790/F1790,0)</f>
        <v/>
      </c>
      <c r="H1790" s="3" t="n">
        <v>5</v>
      </c>
      <c r="I1790" s="2" t="n">
        <v>4</v>
      </c>
      <c r="J1790" s="3">
        <f>IFERROR(E1790/H1790,0)</f>
        <v/>
      </c>
      <c r="K1790" s="10">
        <f>E1790/'По разделам'!$B$21</f>
        <v/>
      </c>
      <c r="L1790" s="4">
        <f>L1789+K1790</f>
        <v/>
      </c>
      <c r="M1790" s="2" t="inlineStr">
        <is>
          <t>06625</t>
        </is>
      </c>
      <c r="N1790" s="2" t="inlineStr">
        <is>
          <t>https://app.redstat.kz/niche/06625?event_date=2026-08-01</t>
        </is>
      </c>
      <c r="O1790" s="2" t="inlineStr">
        <is>
          <t>https://kaspi.kz/shop/c/piston%20ring%20mandrels%20and%20extractors/</t>
        </is>
      </c>
    </row>
    <row r="1791">
      <c r="A1791" s="2" t="n">
        <v>1790</v>
      </c>
      <c r="B1791" s="2" t="inlineStr">
        <is>
          <t>Верстаки</t>
        </is>
      </c>
      <c r="C1791" s="2" t="inlineStr">
        <is>
          <t>Строительство, ремонт</t>
        </is>
      </c>
      <c r="D1791" s="2" t="inlineStr">
        <is>
          <t>Строительство, ремонт → Ручные инструменты → Столярные инструменты → Верстаки</t>
        </is>
      </c>
      <c r="E1791" s="3" t="n">
        <v>97800</v>
      </c>
      <c r="F1791" s="3" t="n">
        <v>3</v>
      </c>
      <c r="G1791" s="3">
        <f>IFERROR(E1791/F1791,0)</f>
        <v/>
      </c>
      <c r="H1791" s="3" t="n">
        <v>2</v>
      </c>
      <c r="I1791" s="2" t="n">
        <v>2</v>
      </c>
      <c r="J1791" s="3">
        <f>IFERROR(E1791/H1791,0)</f>
        <v/>
      </c>
      <c r="K1791" s="10">
        <f>E1791/'По разделам'!$B$21</f>
        <v/>
      </c>
      <c r="L1791" s="4">
        <f>L1790+K1791</f>
        <v/>
      </c>
      <c r="M1791" s="2" t="inlineStr">
        <is>
          <t>05027</t>
        </is>
      </c>
      <c r="N1791" s="2" t="inlineStr">
        <is>
          <t>https://app.redstat.kz/niche/05027?event_date=2026-08-01</t>
        </is>
      </c>
      <c r="O1791" s="2" t="inlineStr">
        <is>
          <t>https://kaspi.kz/shop/c/workbenches/</t>
        </is>
      </c>
    </row>
    <row r="1792">
      <c r="A1792" s="2" t="n">
        <v>1791</v>
      </c>
      <c r="B1792" s="2" t="inlineStr">
        <is>
          <t>Баннерная ткань</t>
        </is>
      </c>
      <c r="C1792" s="2" t="inlineStr">
        <is>
          <t>Канцелярские товары</t>
        </is>
      </c>
      <c r="D1792" s="2" t="inlineStr">
        <is>
          <t>Канцелярские товары → Торговые и рекламные принадлежности → Баннерная ткань</t>
        </is>
      </c>
      <c r="E1792" s="3" t="n">
        <v>97571</v>
      </c>
      <c r="F1792" s="3" t="n">
        <v>2</v>
      </c>
      <c r="G1792" s="3">
        <f>IFERROR(E1792/F1792,0)</f>
        <v/>
      </c>
      <c r="H1792" s="3" t="n">
        <v>2</v>
      </c>
      <c r="I1792" s="2" t="n">
        <v>1</v>
      </c>
      <c r="J1792" s="3">
        <f>IFERROR(E1792/H1792,0)</f>
        <v/>
      </c>
      <c r="K1792" s="10">
        <f>E1792/'По разделам'!$B$21</f>
        <v/>
      </c>
      <c r="L1792" s="4">
        <f>L1791+K1792</f>
        <v/>
      </c>
      <c r="M1792" s="2" t="inlineStr">
        <is>
          <t>06550</t>
        </is>
      </c>
      <c r="N1792" s="2" t="inlineStr">
        <is>
          <t>https://app.redstat.kz/niche/06550?event_date=2026-08-01</t>
        </is>
      </c>
      <c r="O1792" s="2" t="inlineStr">
        <is>
          <t>https://kaspi.kz/shop/c/banner%20fabric/</t>
        </is>
      </c>
    </row>
    <row r="1793">
      <c r="A1793" s="2" t="n">
        <v>1792</v>
      </c>
      <c r="B1793" s="2" t="inlineStr">
        <is>
          <t>Трансформаторы и блоки питания</t>
        </is>
      </c>
      <c r="C1793" s="2" t="inlineStr">
        <is>
          <t>Строительство, ремонт</t>
        </is>
      </c>
      <c r="D1793" s="2" t="inlineStr">
        <is>
          <t>Строительство, ремонт → Электрика → Устройства электропитания и электростанции → Трансформаторы и блоки питания</t>
        </is>
      </c>
      <c r="E1793" s="3" t="n">
        <v>96580</v>
      </c>
      <c r="F1793" s="3" t="n">
        <v>3</v>
      </c>
      <c r="G1793" s="3">
        <f>IFERROR(E1793/F1793,0)</f>
        <v/>
      </c>
      <c r="H1793" s="3" t="n">
        <v>2</v>
      </c>
      <c r="I1793" s="2" t="n">
        <v>1</v>
      </c>
      <c r="J1793" s="3">
        <f>IFERROR(E1793/H1793,0)</f>
        <v/>
      </c>
      <c r="K1793" s="10">
        <f>E1793/'По разделам'!$B$21</f>
        <v/>
      </c>
      <c r="L1793" s="4">
        <f>L1792+K1793</f>
        <v/>
      </c>
      <c r="M1793" s="2" t="inlineStr">
        <is>
          <t>06014</t>
        </is>
      </c>
      <c r="N1793" s="2" t="inlineStr">
        <is>
          <t>https://app.redstat.kz/niche/06014?event_date=2026-08-01</t>
        </is>
      </c>
      <c r="O1793" s="2" t="inlineStr">
        <is>
          <t>https://kaspi.kz/shop/c/current%20transformers/</t>
        </is>
      </c>
    </row>
    <row r="1794">
      <c r="A1794" s="2" t="n">
        <v>1793</v>
      </c>
      <c r="B1794" s="2" t="inlineStr">
        <is>
          <t>Интерьерные наклейки</t>
        </is>
      </c>
      <c r="C1794" s="2" t="inlineStr">
        <is>
          <t>Товары для дома и дачи</t>
        </is>
      </c>
      <c r="D1794" s="2" t="inlineStr">
        <is>
          <t>Товары для дома и дачи → Интерьер → Оформление интерьера → Интерьерные наклейки</t>
        </is>
      </c>
      <c r="E1794" s="3" t="n">
        <v>94229</v>
      </c>
      <c r="F1794" s="3" t="n">
        <v>25</v>
      </c>
      <c r="G1794" s="3">
        <f>IFERROR(E1794/F1794,0)</f>
        <v/>
      </c>
      <c r="H1794" s="3" t="n">
        <v>9</v>
      </c>
      <c r="I1794" s="2" t="n">
        <v>5</v>
      </c>
      <c r="J1794" s="3">
        <f>IFERROR(E1794/H1794,0)</f>
        <v/>
      </c>
      <c r="K1794" s="10">
        <f>E1794/'По разделам'!$B$21</f>
        <v/>
      </c>
      <c r="L1794" s="4">
        <f>L1793+K1794</f>
        <v/>
      </c>
      <c r="M1794" s="2" t="inlineStr">
        <is>
          <t>04151</t>
        </is>
      </c>
      <c r="N1794" s="2" t="inlineStr">
        <is>
          <t>https://app.redstat.kz/niche/04151?event_date=2026-08-01</t>
        </is>
      </c>
      <c r="O1794" s="2" t="inlineStr">
        <is>
          <t>https://kaspi.kz/shop/c/interior%20stickers/</t>
        </is>
      </c>
    </row>
    <row r="1795">
      <c r="A1795" s="2" t="n">
        <v>1794</v>
      </c>
      <c r="B1795" s="2" t="inlineStr">
        <is>
          <t>Запчасти и комплектующие для принтеров</t>
        </is>
      </c>
      <c r="C1795" s="2" t="inlineStr">
        <is>
          <t>Компьютеры</t>
        </is>
      </c>
      <c r="D1795" s="2" t="inlineStr">
        <is>
          <t>Компьютеры → Оргтехника и расходные материалы → Другая оргтехника → Запчасти и комплектующие для принтеров</t>
        </is>
      </c>
      <c r="E1795" s="3" t="n">
        <v>94002</v>
      </c>
      <c r="F1795" s="3" t="n">
        <v>9</v>
      </c>
      <c r="G1795" s="3">
        <f>IFERROR(E1795/F1795,0)</f>
        <v/>
      </c>
      <c r="H1795" s="3" t="n">
        <v>6</v>
      </c>
      <c r="I1795" s="2" t="n">
        <v>4</v>
      </c>
      <c r="J1795" s="3">
        <f>IFERROR(E1795/H1795,0)</f>
        <v/>
      </c>
      <c r="K1795" s="10">
        <f>E1795/'По разделам'!$B$21</f>
        <v/>
      </c>
      <c r="L1795" s="4">
        <f>L1794+K1795</f>
        <v/>
      </c>
      <c r="M1795" s="2" t="inlineStr">
        <is>
          <t>06821</t>
        </is>
      </c>
      <c r="N1795" s="2" t="inlineStr">
        <is>
          <t>https://app.redstat.kz/niche/06821?event_date=2026-08-01</t>
        </is>
      </c>
      <c r="O1795" s="2" t="inlineStr">
        <is>
          <t>https://kaspi.kz/shop/c/spare%20parts%20and%20accessories%20for%20printers/</t>
        </is>
      </c>
    </row>
    <row r="1796">
      <c r="A1796" s="2" t="n">
        <v>1795</v>
      </c>
      <c r="B1796" s="2" t="inlineStr">
        <is>
          <t>Триммеры для газона</t>
        </is>
      </c>
      <c r="C1796" s="2" t="inlineStr">
        <is>
          <t>Товары для дома и дачи</t>
        </is>
      </c>
      <c r="D1796" s="2" t="inlineStr">
        <is>
          <t>Товары для дома и дачи → Дача, сад и огород → Садовая техника → Триммеры для газона</t>
        </is>
      </c>
      <c r="E1796" s="3" t="n">
        <v>93000</v>
      </c>
      <c r="F1796" s="3" t="n">
        <v>3</v>
      </c>
      <c r="G1796" s="3">
        <f>IFERROR(E1796/F1796,0)</f>
        <v/>
      </c>
      <c r="H1796" s="3" t="n">
        <v>2</v>
      </c>
      <c r="I1796" s="2" t="n">
        <v>1</v>
      </c>
      <c r="J1796" s="3">
        <f>IFERROR(E1796/H1796,0)</f>
        <v/>
      </c>
      <c r="K1796" s="10">
        <f>E1796/'По разделам'!$B$21</f>
        <v/>
      </c>
      <c r="L1796" s="4">
        <f>L1795+K1796</f>
        <v/>
      </c>
      <c r="M1796" s="2" t="inlineStr">
        <is>
          <t>00762</t>
        </is>
      </c>
      <c r="N1796" s="2" t="inlineStr">
        <is>
          <t>https://app.redstat.kz/niche/00762?event_date=2026-08-01</t>
        </is>
      </c>
      <c r="O1796" s="2" t="inlineStr">
        <is>
          <t>https://kaspi.kz/shop/c/lawn%20trimmers/</t>
        </is>
      </c>
    </row>
    <row r="1797">
      <c r="A1797" s="2" t="n">
        <v>1796</v>
      </c>
      <c r="B1797" s="2" t="inlineStr">
        <is>
          <t>Средства для обеззараживания воды</t>
        </is>
      </c>
      <c r="C1797" s="2" t="inlineStr">
        <is>
          <t>Спорт, туризм</t>
        </is>
      </c>
      <c r="D1797" s="2" t="inlineStr">
        <is>
          <t>Спорт, туризм → Туризм и отдых на природе → Средства для обеззараживания воды</t>
        </is>
      </c>
      <c r="E1797" s="3" t="n">
        <v>91480</v>
      </c>
      <c r="F1797" s="3" t="n">
        <v>16</v>
      </c>
      <c r="G1797" s="3">
        <f>IFERROR(E1797/F1797,0)</f>
        <v/>
      </c>
      <c r="H1797" s="3" t="n">
        <v>3</v>
      </c>
      <c r="I1797" s="2" t="n">
        <v>2</v>
      </c>
      <c r="J1797" s="3">
        <f>IFERROR(E1797/H1797,0)</f>
        <v/>
      </c>
      <c r="K1797" s="10">
        <f>E1797/'По разделам'!$B$21</f>
        <v/>
      </c>
      <c r="L1797" s="4">
        <f>L1796+K1797</f>
        <v/>
      </c>
      <c r="M1797" s="2" t="inlineStr">
        <is>
          <t>07382</t>
        </is>
      </c>
      <c r="N1797" s="2" t="inlineStr">
        <is>
          <t>https://app.redstat.kz/niche/07382?event_date=2026-08-01</t>
        </is>
      </c>
      <c r="O1797" s="2" t="inlineStr">
        <is>
          <t>https://kaspi.kz/shop/c/water%20disinfectants/</t>
        </is>
      </c>
    </row>
    <row r="1798">
      <c r="A1798" s="2" t="n">
        <v>1797</v>
      </c>
      <c r="B1798" s="2" t="inlineStr">
        <is>
          <t>Ключницы настенные</t>
        </is>
      </c>
      <c r="C1798" s="2" t="inlineStr">
        <is>
          <t>Товары для дома и дачи</t>
        </is>
      </c>
      <c r="D1798" s="2" t="inlineStr">
        <is>
          <t>Товары для дома и дачи → Интерьер → Оформление интерьера → Ключницы настенные</t>
        </is>
      </c>
      <c r="E1798" s="3" t="n">
        <v>91180</v>
      </c>
      <c r="F1798" s="3" t="n">
        <v>19</v>
      </c>
      <c r="G1798" s="3">
        <f>IFERROR(E1798/F1798,0)</f>
        <v/>
      </c>
      <c r="H1798" s="3" t="n">
        <v>5</v>
      </c>
      <c r="I1798" s="2" t="n">
        <v>1</v>
      </c>
      <c r="J1798" s="3">
        <f>IFERROR(E1798/H1798,0)</f>
        <v/>
      </c>
      <c r="K1798" s="10">
        <f>E1798/'По разделам'!$B$21</f>
        <v/>
      </c>
      <c r="L1798" s="4">
        <f>L1797+K1798</f>
        <v/>
      </c>
      <c r="M1798" s="2" t="inlineStr">
        <is>
          <t>05370</t>
        </is>
      </c>
      <c r="N1798" s="2" t="inlineStr">
        <is>
          <t>https://app.redstat.kz/niche/05370?event_date=2026-08-01</t>
        </is>
      </c>
      <c r="O1798" s="2" t="inlineStr">
        <is>
          <t>https://kaspi.kz/shop/c/wall%20key%20holders/</t>
        </is>
      </c>
    </row>
    <row r="1799">
      <c r="A1799" s="2" t="n">
        <v>1798</v>
      </c>
      <c r="B1799" s="2" t="inlineStr">
        <is>
          <t>Плашки и метчики</t>
        </is>
      </c>
      <c r="C1799" s="2" t="inlineStr">
        <is>
          <t>Строительство, ремонт</t>
        </is>
      </c>
      <c r="D1799" s="2" t="inlineStr">
        <is>
          <t>Строительство, ремонт → Ручные инструменты → Резьбонарезной инструмент → Плашки и метчики</t>
        </is>
      </c>
      <c r="E1799" s="3" t="n">
        <v>91164</v>
      </c>
      <c r="F1799" s="3" t="n">
        <v>10</v>
      </c>
      <c r="G1799" s="3">
        <f>IFERROR(E1799/F1799,0)</f>
        <v/>
      </c>
      <c r="H1799" s="3" t="n">
        <v>5</v>
      </c>
      <c r="I1799" s="2" t="n">
        <v>4</v>
      </c>
      <c r="J1799" s="3">
        <f>IFERROR(E1799/H1799,0)</f>
        <v/>
      </c>
      <c r="K1799" s="10">
        <f>E1799/'По разделам'!$B$21</f>
        <v/>
      </c>
      <c r="L1799" s="4">
        <f>L1798+K1799</f>
        <v/>
      </c>
      <c r="M1799" s="2" t="inlineStr">
        <is>
          <t>06387</t>
        </is>
      </c>
      <c r="N1799" s="2" t="inlineStr">
        <is>
          <t>https://app.redstat.kz/niche/06387?event_date=2026-08-01</t>
        </is>
      </c>
      <c r="O1799" s="2" t="inlineStr">
        <is>
          <t>https://kaspi.kz/shop/c/building%20dies%20and%20taps/</t>
        </is>
      </c>
    </row>
    <row r="1800">
      <c r="A1800" s="2" t="n">
        <v>1799</v>
      </c>
      <c r="B1800" s="2" t="inlineStr">
        <is>
          <t>Запасные части для автосервисного оборудования</t>
        </is>
      </c>
      <c r="C1800" s="2" t="inlineStr">
        <is>
          <t>Автотовары</t>
        </is>
      </c>
      <c r="D1800" s="2" t="inlineStr">
        <is>
          <t>Автотовары → Автосервисное оборудование → Запасные части для автосервисного оборудования → Запасные части для автосервисного оборудования</t>
        </is>
      </c>
      <c r="E1800" s="3" t="n">
        <v>91000</v>
      </c>
      <c r="F1800" s="3" t="n">
        <v>4</v>
      </c>
      <c r="G1800" s="3">
        <f>IFERROR(E1800/F1800,0)</f>
        <v/>
      </c>
      <c r="H1800" s="3" t="n">
        <v>3</v>
      </c>
      <c r="I1800" s="2" t="n">
        <v>2</v>
      </c>
      <c r="J1800" s="3">
        <f>IFERROR(E1800/H1800,0)</f>
        <v/>
      </c>
      <c r="K1800" s="10">
        <f>E1800/'По разделам'!$B$21</f>
        <v/>
      </c>
      <c r="L1800" s="4">
        <f>L1799+K1800</f>
        <v/>
      </c>
      <c r="M1800" s="2" t="inlineStr">
        <is>
          <t>qa48177a1b829831</t>
        </is>
      </c>
      <c r="N1800" s="2" t="inlineStr">
        <is>
          <t>https://app.redstat.kz/niche/qa48177a1b829831?event_date=2026-08-01</t>
        </is>
      </c>
      <c r="O1800" s="2" t="inlineStr"/>
    </row>
    <row r="1801">
      <c r="A1801" s="2" t="n">
        <v>1800</v>
      </c>
      <c r="B1801" s="2" t="inlineStr">
        <is>
          <t>Органайзеры для косметики и техники</t>
        </is>
      </c>
      <c r="C1801" s="2" t="inlineStr">
        <is>
          <t>Красота и здоровье</t>
        </is>
      </c>
      <c r="D1801" s="2" t="inlineStr">
        <is>
          <t>Красота и здоровье → Аксессуары для красоты → Органайзеры, косметички и несессеры → Органайзеры для косметики и техники</t>
        </is>
      </c>
      <c r="E1801" s="3" t="n">
        <v>90999</v>
      </c>
      <c r="F1801" s="3" t="n">
        <v>43</v>
      </c>
      <c r="G1801" s="3">
        <f>IFERROR(E1801/F1801,0)</f>
        <v/>
      </c>
      <c r="H1801" s="3" t="n">
        <v>16</v>
      </c>
      <c r="I1801" s="2" t="n">
        <v>4</v>
      </c>
      <c r="J1801" s="3">
        <f>IFERROR(E1801/H1801,0)</f>
        <v/>
      </c>
      <c r="K1801" s="10">
        <f>E1801/'По разделам'!$B$21</f>
        <v/>
      </c>
      <c r="L1801" s="4">
        <f>L1800+K1801</f>
        <v/>
      </c>
      <c r="M1801" s="2" t="inlineStr">
        <is>
          <t>01511</t>
        </is>
      </c>
      <c r="N1801" s="2" t="inlineStr">
        <is>
          <t>https://app.redstat.kz/niche/01511?event_date=2026-08-01</t>
        </is>
      </c>
      <c r="O1801" s="2" t="inlineStr">
        <is>
          <t>https://kaspi.kz/shop/c/makeup%20organizers/</t>
        </is>
      </c>
    </row>
    <row r="1802">
      <c r="A1802" s="2" t="n">
        <v>1801</v>
      </c>
      <c r="B1802" s="2" t="inlineStr">
        <is>
          <t>Генераторы</t>
        </is>
      </c>
      <c r="C1802" s="2" t="inlineStr">
        <is>
          <t>Автотовары</t>
        </is>
      </c>
      <c r="D1802" s="2" t="inlineStr">
        <is>
          <t>Автотовары → Автозапчасти → Автоэлектрика → Генераторы и комплектующие → Генераторы</t>
        </is>
      </c>
      <c r="E1802" s="3" t="n">
        <v>90995</v>
      </c>
      <c r="F1802" s="3" t="n">
        <v>3</v>
      </c>
      <c r="G1802" s="3">
        <f>IFERROR(E1802/F1802,0)</f>
        <v/>
      </c>
      <c r="H1802" s="3" t="n">
        <v>3</v>
      </c>
      <c r="I1802" s="2" t="n">
        <v>3</v>
      </c>
      <c r="J1802" s="3">
        <f>IFERROR(E1802/H1802,0)</f>
        <v/>
      </c>
      <c r="K1802" s="10">
        <f>E1802/'По разделам'!$B$21</f>
        <v/>
      </c>
      <c r="L1802" s="4">
        <f>L1801+K1802</f>
        <v/>
      </c>
      <c r="M1802" s="2" t="inlineStr">
        <is>
          <t>02810</t>
        </is>
      </c>
      <c r="N1802" s="2" t="inlineStr">
        <is>
          <t>https://app.redstat.kz/niche/02810?event_date=2026-08-01</t>
        </is>
      </c>
      <c r="O1802" s="2" t="inlineStr">
        <is>
          <t>https://kaspi.kz/shop/c/car%20generators/</t>
        </is>
      </c>
    </row>
    <row r="1803">
      <c r="A1803" s="2" t="n">
        <v>1802</v>
      </c>
      <c r="B1803" s="2" t="inlineStr">
        <is>
          <t>Клей порошковый для DTF печати</t>
        </is>
      </c>
      <c r="C1803" s="2" t="inlineStr">
        <is>
          <t>Канцелярские товары</t>
        </is>
      </c>
      <c r="D1803" s="2" t="inlineStr">
        <is>
          <t>Канцелярские товары → Постпечатное оборудование → Клей порошковый для DTF печати</t>
        </is>
      </c>
      <c r="E1803" s="3" t="n">
        <v>90504</v>
      </c>
      <c r="F1803" s="3" t="n">
        <v>11</v>
      </c>
      <c r="G1803" s="3">
        <f>IFERROR(E1803/F1803,0)</f>
        <v/>
      </c>
      <c r="H1803" s="3" t="n">
        <v>4</v>
      </c>
      <c r="I1803" s="2" t="n">
        <v>1</v>
      </c>
      <c r="J1803" s="3">
        <f>IFERROR(E1803/H1803,0)</f>
        <v/>
      </c>
      <c r="K1803" s="10">
        <f>E1803/'По разделам'!$B$21</f>
        <v/>
      </c>
      <c r="L1803" s="4">
        <f>L1802+K1803</f>
        <v/>
      </c>
      <c r="M1803" s="2" t="inlineStr">
        <is>
          <t>07133</t>
        </is>
      </c>
      <c r="N1803" s="2" t="inlineStr">
        <is>
          <t>https://app.redstat.kz/niche/07133?event_date=2026-08-01</t>
        </is>
      </c>
      <c r="O1803" s="2" t="inlineStr">
        <is>
          <t>https://kaspi.kz/shop/c/powder%20glue%20for%20dtf%20printing/</t>
        </is>
      </c>
    </row>
    <row r="1804">
      <c r="A1804" s="2" t="n">
        <v>1803</v>
      </c>
      <c r="B1804" s="2" t="inlineStr">
        <is>
          <t>Кулеры (вентиляторы) для корпуса</t>
        </is>
      </c>
      <c r="C1804" s="2" t="inlineStr">
        <is>
          <t>Компьютеры</t>
        </is>
      </c>
      <c r="D1804" s="2" t="inlineStr">
        <is>
          <t>Компьютеры → Комплектующие → Кулеры и системы охлаждения → Кулеры (вентиляторы) для корпуса</t>
        </is>
      </c>
      <c r="E1804" s="3" t="n">
        <v>90303</v>
      </c>
      <c r="F1804" s="3" t="n">
        <v>17</v>
      </c>
      <c r="G1804" s="3">
        <f>IFERROR(E1804/F1804,0)</f>
        <v/>
      </c>
      <c r="H1804" s="3" t="n">
        <v>8</v>
      </c>
      <c r="I1804" s="2" t="n">
        <v>4</v>
      </c>
      <c r="J1804" s="3">
        <f>IFERROR(E1804/H1804,0)</f>
        <v/>
      </c>
      <c r="K1804" s="10">
        <f>E1804/'По разделам'!$B$21</f>
        <v/>
      </c>
      <c r="L1804" s="4">
        <f>L1803+K1804</f>
        <v/>
      </c>
      <c r="M1804" s="2" t="inlineStr">
        <is>
          <t>09326</t>
        </is>
      </c>
      <c r="N1804" s="2" t="inlineStr">
        <is>
          <t>https://app.redstat.kz/niche/09326?event_date=2026-08-01</t>
        </is>
      </c>
      <c r="O1804" s="2" t="inlineStr">
        <is>
          <t>https://kaspi.kz/shop/search/?text=%D0%9A%D1%83%D0%BB%D0%B5%D1%80%D1%8B%20%28%D0%B2%D0%B5%D0%BD%D1%82%D0%B8%D0%BB%D1%8F%D1%82%D0%BE%D1%80%D1%8B%29%20%D0%B4%D0%BB%D1%8F%20%D0%BA%D0%BE%D1%80%D0%BF%D1%83%D1%81%D0%B0</t>
        </is>
      </c>
    </row>
    <row r="1805">
      <c r="A1805" s="2" t="n">
        <v>1804</v>
      </c>
      <c r="B1805" s="2" t="inlineStr">
        <is>
          <t>Карнизы для ванной</t>
        </is>
      </c>
      <c r="C1805" s="2" t="inlineStr">
        <is>
          <t>Товары для дома и дачи</t>
        </is>
      </c>
      <c r="D1805" s="2" t="inlineStr">
        <is>
          <t>Товары для дома и дачи → Хозяйственные товары → Аксессуары для ванной и туалета → Карнизы для ванной</t>
        </is>
      </c>
      <c r="E1805" s="3" t="n">
        <v>90224</v>
      </c>
      <c r="F1805" s="3" t="n">
        <v>13</v>
      </c>
      <c r="G1805" s="3">
        <f>IFERROR(E1805/F1805,0)</f>
        <v/>
      </c>
      <c r="H1805" s="3" t="n">
        <v>11</v>
      </c>
      <c r="I1805" s="2" t="n">
        <v>9</v>
      </c>
      <c r="J1805" s="3">
        <f>IFERROR(E1805/H1805,0)</f>
        <v/>
      </c>
      <c r="K1805" s="10">
        <f>E1805/'По разделам'!$B$21</f>
        <v/>
      </c>
      <c r="L1805" s="4">
        <f>L1804+K1805</f>
        <v/>
      </c>
      <c r="M1805" s="2" t="inlineStr">
        <is>
          <t>06370</t>
        </is>
      </c>
      <c r="N1805" s="2" t="inlineStr">
        <is>
          <t>https://app.redstat.kz/niche/06370?event_date=2026-08-01</t>
        </is>
      </c>
      <c r="O1805" s="2" t="inlineStr">
        <is>
          <t>https://kaspi.kz/shop/c/bathroom%20cornices/</t>
        </is>
      </c>
    </row>
    <row r="1806">
      <c r="A1806" s="2" t="n">
        <v>1805</v>
      </c>
      <c r="B1806" s="2" t="inlineStr">
        <is>
          <t>Ветеринарные паспорта</t>
        </is>
      </c>
      <c r="C1806" s="2" t="inlineStr">
        <is>
          <t>Товары для животных</t>
        </is>
      </c>
      <c r="D1806" s="2" t="inlineStr">
        <is>
          <t>Товары для животных → Ветаптека → Ветеринарные паспорта</t>
        </is>
      </c>
      <c r="E1806" s="3" t="n">
        <v>90140</v>
      </c>
      <c r="F1806" s="3" t="n">
        <v>46</v>
      </c>
      <c r="G1806" s="3">
        <f>IFERROR(E1806/F1806,0)</f>
        <v/>
      </c>
      <c r="H1806" s="3" t="n">
        <v>8</v>
      </c>
      <c r="I1806" s="2" t="n">
        <v>4</v>
      </c>
      <c r="J1806" s="3">
        <f>IFERROR(E1806/H1806,0)</f>
        <v/>
      </c>
      <c r="K1806" s="10">
        <f>E1806/'По разделам'!$B$21</f>
        <v/>
      </c>
      <c r="L1806" s="4">
        <f>L1805+K1806</f>
        <v/>
      </c>
      <c r="M1806" s="2" t="inlineStr">
        <is>
          <t>06692</t>
        </is>
      </c>
      <c r="N1806" s="2" t="inlineStr">
        <is>
          <t>https://app.redstat.kz/niche/06692?event_date=2026-08-01</t>
        </is>
      </c>
      <c r="O1806" s="2" t="inlineStr">
        <is>
          <t>https://kaspi.kz/shop/c/veterinary%20passports/</t>
        </is>
      </c>
    </row>
    <row r="1807">
      <c r="A1807" s="2" t="n">
        <v>1806</v>
      </c>
      <c r="B1807" s="2" t="inlineStr">
        <is>
          <t>Маркеры</t>
        </is>
      </c>
      <c r="C1807" s="2" t="inlineStr">
        <is>
          <t>Канцелярские товары</t>
        </is>
      </c>
      <c r="D1807" s="2" t="inlineStr">
        <is>
          <t>Канцелярские товары → Письменные принадлежности → Маркеры и аксессуары → Маркеры</t>
        </is>
      </c>
      <c r="E1807" s="3" t="n">
        <v>90066</v>
      </c>
      <c r="F1807" s="3" t="n">
        <v>107</v>
      </c>
      <c r="G1807" s="3">
        <f>IFERROR(E1807/F1807,0)</f>
        <v/>
      </c>
      <c r="H1807" s="3" t="n">
        <v>31</v>
      </c>
      <c r="I1807" s="2" t="n">
        <v>18</v>
      </c>
      <c r="J1807" s="3">
        <f>IFERROR(E1807/H1807,0)</f>
        <v/>
      </c>
      <c r="K1807" s="10">
        <f>E1807/'По разделам'!$B$21</f>
        <v/>
      </c>
      <c r="L1807" s="4">
        <f>L1806+K1807</f>
        <v/>
      </c>
      <c r="M1807" s="2" t="inlineStr">
        <is>
          <t>04291</t>
        </is>
      </c>
      <c r="N1807" s="2" t="inlineStr">
        <is>
          <t>https://app.redstat.kz/niche/04291?event_date=2026-08-01</t>
        </is>
      </c>
      <c r="O1807" s="2" t="inlineStr">
        <is>
          <t>https://kaspi.kz/shop/c/writing%20markers/</t>
        </is>
      </c>
    </row>
    <row r="1808">
      <c r="A1808" s="2" t="n">
        <v>1807</v>
      </c>
      <c r="B1808" s="2" t="inlineStr">
        <is>
          <t>Вешала торговые</t>
        </is>
      </c>
      <c r="C1808" s="2" t="inlineStr">
        <is>
          <t>Мебель</t>
        </is>
      </c>
      <c r="D1808" s="2" t="inlineStr">
        <is>
          <t>Мебель → Торговое оборудование → Мебель для торгового зала → Вешала торговые</t>
        </is>
      </c>
      <c r="E1808" s="3" t="n">
        <v>90000</v>
      </c>
      <c r="F1808" s="3" t="n">
        <v>1</v>
      </c>
      <c r="G1808" s="3">
        <f>IFERROR(E1808/F1808,0)</f>
        <v/>
      </c>
      <c r="H1808" s="3" t="n">
        <v>1</v>
      </c>
      <c r="I1808" s="2" t="n">
        <v>1</v>
      </c>
      <c r="J1808" s="3">
        <f>IFERROR(E1808/H1808,0)</f>
        <v/>
      </c>
      <c r="K1808" s="10">
        <f>E1808/'По разделам'!$B$21</f>
        <v/>
      </c>
      <c r="L1808" s="4">
        <f>L1807+K1808</f>
        <v/>
      </c>
      <c r="M1808" s="2" t="inlineStr">
        <is>
          <t>06592</t>
        </is>
      </c>
      <c r="N1808" s="2" t="inlineStr">
        <is>
          <t>https://app.redstat.kz/niche/06592?event_date=2026-08-01</t>
        </is>
      </c>
      <c r="O1808" s="2" t="inlineStr">
        <is>
          <t>https://kaspi.kz/shop/c/hung%20trade/</t>
        </is>
      </c>
    </row>
    <row r="1809">
      <c r="A1809" s="2" t="n">
        <v>1808</v>
      </c>
      <c r="B1809" s="2" t="inlineStr">
        <is>
          <t>Разделители листов</t>
        </is>
      </c>
      <c r="C1809" s="2" t="inlineStr">
        <is>
          <t>Канцелярские товары</t>
        </is>
      </c>
      <c r="D1809" s="2" t="inlineStr">
        <is>
          <t>Канцелярские товары → Офисные принадлежности → Разделители листов</t>
        </is>
      </c>
      <c r="E1809" s="3" t="n">
        <v>89676</v>
      </c>
      <c r="F1809" s="3" t="n">
        <v>33</v>
      </c>
      <c r="G1809" s="3">
        <f>IFERROR(E1809/F1809,0)</f>
        <v/>
      </c>
      <c r="H1809" s="3" t="n">
        <v>15</v>
      </c>
      <c r="I1809" s="2" t="n">
        <v>6</v>
      </c>
      <c r="J1809" s="3">
        <f>IFERROR(E1809/H1809,0)</f>
        <v/>
      </c>
      <c r="K1809" s="10">
        <f>E1809/'По разделам'!$B$21</f>
        <v/>
      </c>
      <c r="L1809" s="4">
        <f>L1808+K1809</f>
        <v/>
      </c>
      <c r="M1809" s="2" t="inlineStr">
        <is>
          <t>02413</t>
        </is>
      </c>
      <c r="N1809" s="2" t="inlineStr">
        <is>
          <t>https://app.redstat.kz/niche/02413?event_date=2026-08-01</t>
        </is>
      </c>
      <c r="O1809" s="2" t="inlineStr">
        <is>
          <t>https://kaspi.kz/shop/c/dividers/</t>
        </is>
      </c>
    </row>
    <row r="1810">
      <c r="A1810" s="2" t="n">
        <v>1809</v>
      </c>
      <c r="B1810" s="2" t="inlineStr">
        <is>
          <t>Видеопроцессоры для LED экранов</t>
        </is>
      </c>
      <c r="C1810" s="2" t="inlineStr">
        <is>
          <t>ТВ, Аудио, Видео</t>
        </is>
      </c>
      <c r="D1810" s="2" t="inlineStr">
        <is>
          <t>ТВ, Аудио, Видео → Видеотехника → Видеопроцессоры для LED экранов</t>
        </is>
      </c>
      <c r="E1810" s="3" t="n">
        <v>88000</v>
      </c>
      <c r="F1810" s="3" t="n">
        <v>1</v>
      </c>
      <c r="G1810" s="3">
        <f>IFERROR(E1810/F1810,0)</f>
        <v/>
      </c>
      <c r="H1810" s="3" t="n">
        <v>1</v>
      </c>
      <c r="I1810" s="2" t="n">
        <v>1</v>
      </c>
      <c r="J1810" s="3">
        <f>IFERROR(E1810/H1810,0)</f>
        <v/>
      </c>
      <c r="K1810" s="10">
        <f>E1810/'По разделам'!$B$21</f>
        <v/>
      </c>
      <c r="L1810" s="4">
        <f>L1809+K1810</f>
        <v/>
      </c>
      <c r="M1810" s="2" t="inlineStr">
        <is>
          <t>09168</t>
        </is>
      </c>
      <c r="N1810" s="2" t="inlineStr">
        <is>
          <t>https://app.redstat.kz/niche/09168?event_date=2026-08-01</t>
        </is>
      </c>
      <c r="O1810" s="2" t="inlineStr">
        <is>
          <t>https://kaspi.kz/shop/c/led%20display%20video%20processor/</t>
        </is>
      </c>
    </row>
    <row r="1811">
      <c r="A1811" s="2" t="n">
        <v>1810</v>
      </c>
      <c r="B1811" s="2" t="inlineStr">
        <is>
          <t>Блок-ролики для альпинизма</t>
        </is>
      </c>
      <c r="C1811" s="2" t="inlineStr">
        <is>
          <t>Спорт, туризм</t>
        </is>
      </c>
      <c r="D1811" s="2" t="inlineStr">
        <is>
          <t>Спорт, туризм → Альпинизм и скалолазание → Блок-ролики для альпинизма</t>
        </is>
      </c>
      <c r="E1811" s="3" t="n">
        <v>87923</v>
      </c>
      <c r="F1811" s="3" t="n">
        <v>7</v>
      </c>
      <c r="G1811" s="3">
        <f>IFERROR(E1811/F1811,0)</f>
        <v/>
      </c>
      <c r="H1811" s="3" t="n">
        <v>4</v>
      </c>
      <c r="I1811" s="2" t="n">
        <v>2</v>
      </c>
      <c r="J1811" s="3">
        <f>IFERROR(E1811/H1811,0)</f>
        <v/>
      </c>
      <c r="K1811" s="10">
        <f>E1811/'По разделам'!$B$21</f>
        <v/>
      </c>
      <c r="L1811" s="4">
        <f>L1810+K1811</f>
        <v/>
      </c>
      <c r="M1811" s="2" t="inlineStr">
        <is>
          <t>03608</t>
        </is>
      </c>
      <c r="N1811" s="2" t="inlineStr">
        <is>
          <t>https://app.redstat.kz/niche/03608?event_date=2026-08-01</t>
        </is>
      </c>
      <c r="O1811" s="2" t="inlineStr">
        <is>
          <t>https://kaspi.kz/shop/c/climbing%20block-rollers/</t>
        </is>
      </c>
    </row>
    <row r="1812">
      <c r="A1812" s="2" t="n">
        <v>1811</v>
      </c>
      <c r="B1812" s="2" t="inlineStr">
        <is>
          <t>Полки и стойки для ванной</t>
        </is>
      </c>
      <c r="C1812" s="2" t="inlineStr">
        <is>
          <t>Товары для дома и дачи</t>
        </is>
      </c>
      <c r="D1812" s="2" t="inlineStr">
        <is>
          <t>Товары для дома и дачи → Хозяйственные товары → Аксессуары для ванной и туалета → Полки и стойки для ванной</t>
        </is>
      </c>
      <c r="E1812" s="3" t="n">
        <v>87914</v>
      </c>
      <c r="F1812" s="3" t="n">
        <v>12</v>
      </c>
      <c r="G1812" s="3">
        <f>IFERROR(E1812/F1812,0)</f>
        <v/>
      </c>
      <c r="H1812" s="3" t="n">
        <v>10</v>
      </c>
      <c r="I1812" s="2" t="n">
        <v>3</v>
      </c>
      <c r="J1812" s="3">
        <f>IFERROR(E1812/H1812,0)</f>
        <v/>
      </c>
      <c r="K1812" s="10">
        <f>E1812/'По разделам'!$B$21</f>
        <v/>
      </c>
      <c r="L1812" s="4">
        <f>L1811+K1812</f>
        <v/>
      </c>
      <c r="M1812" s="2" t="inlineStr">
        <is>
          <t>05419</t>
        </is>
      </c>
      <c r="N1812" s="2" t="inlineStr">
        <is>
          <t>https://app.redstat.kz/niche/05419?event_date=2026-08-01</t>
        </is>
      </c>
      <c r="O1812" s="2" t="inlineStr">
        <is>
          <t>https://kaspi.kz/shop/c/bathroom%20shelves%20and%20racks/</t>
        </is>
      </c>
    </row>
    <row r="1813">
      <c r="A1813" s="2" t="n">
        <v>1812</v>
      </c>
      <c r="B1813" s="2" t="inlineStr">
        <is>
          <t>Парфюмерия для животных</t>
        </is>
      </c>
      <c r="C1813" s="2" t="inlineStr">
        <is>
          <t>Товары для животных</t>
        </is>
      </c>
      <c r="D1813" s="2" t="inlineStr">
        <is>
          <t>Товары для животных → Гигиена и уход за животными → Парфюмерия для животных</t>
        </is>
      </c>
      <c r="E1813" s="3" t="n">
        <v>87869</v>
      </c>
      <c r="F1813" s="3" t="n">
        <v>20</v>
      </c>
      <c r="G1813" s="3">
        <f>IFERROR(E1813/F1813,0)</f>
        <v/>
      </c>
      <c r="H1813" s="3" t="n">
        <v>8</v>
      </c>
      <c r="I1813" s="2" t="n">
        <v>4</v>
      </c>
      <c r="J1813" s="3">
        <f>IFERROR(E1813/H1813,0)</f>
        <v/>
      </c>
      <c r="K1813" s="10">
        <f>E1813/'По разделам'!$B$21</f>
        <v/>
      </c>
      <c r="L1813" s="4">
        <f>L1812+K1813</f>
        <v/>
      </c>
      <c r="M1813" s="2" t="inlineStr">
        <is>
          <t>02278</t>
        </is>
      </c>
      <c r="N1813" s="2" t="inlineStr">
        <is>
          <t>https://app.redstat.kz/niche/02278?event_date=2026-08-01</t>
        </is>
      </c>
      <c r="O1813" s="2" t="inlineStr">
        <is>
          <t>https://kaspi.kz/shop/c/perfumes%20for%20pets/</t>
        </is>
      </c>
    </row>
    <row r="1814">
      <c r="A1814" s="2" t="n">
        <v>1813</v>
      </c>
      <c r="B1814" s="2" t="inlineStr">
        <is>
          <t>Рамки для фото и картин</t>
        </is>
      </c>
      <c r="C1814" s="2" t="inlineStr">
        <is>
          <t>Товары для дома и дачи</t>
        </is>
      </c>
      <c r="D1814" s="2" t="inlineStr">
        <is>
          <t>Товары для дома и дачи → Интерьер → Картины, панно и рамки → Рамки для фото и картин</t>
        </is>
      </c>
      <c r="E1814" s="3" t="n">
        <v>87017</v>
      </c>
      <c r="F1814" s="3" t="n">
        <v>10</v>
      </c>
      <c r="G1814" s="3">
        <f>IFERROR(E1814/F1814,0)</f>
        <v/>
      </c>
      <c r="H1814" s="3" t="n">
        <v>9</v>
      </c>
      <c r="I1814" s="2" t="n">
        <v>3</v>
      </c>
      <c r="J1814" s="3">
        <f>IFERROR(E1814/H1814,0)</f>
        <v/>
      </c>
      <c r="K1814" s="10">
        <f>E1814/'По разделам'!$B$21</f>
        <v/>
      </c>
      <c r="L1814" s="4">
        <f>L1813+K1814</f>
        <v/>
      </c>
      <c r="M1814" s="2" t="inlineStr">
        <is>
          <t>02840</t>
        </is>
      </c>
      <c r="N1814" s="2" t="inlineStr">
        <is>
          <t>https://app.redstat.kz/niche/02840?event_date=2026-08-01</t>
        </is>
      </c>
      <c r="O1814" s="2" t="inlineStr">
        <is>
          <t>https://kaspi.kz/shop/c/interior%20photo%20frames/</t>
        </is>
      </c>
    </row>
    <row r="1815">
      <c r="A1815" s="2" t="n">
        <v>1814</v>
      </c>
      <c r="B1815" s="2" t="inlineStr">
        <is>
          <t>Панели кузова</t>
        </is>
      </c>
      <c r="C1815" s="2" t="inlineStr">
        <is>
          <t>Автотовары</t>
        </is>
      </c>
      <c r="D1815" s="2" t="inlineStr">
        <is>
          <t>Автотовары → Автозапчасти → Кузовные детали → Панели кузова</t>
        </is>
      </c>
      <c r="E1815" s="3" t="n">
        <v>86990</v>
      </c>
      <c r="F1815" s="3" t="n">
        <v>2</v>
      </c>
      <c r="G1815" s="3">
        <f>IFERROR(E1815/F1815,0)</f>
        <v/>
      </c>
      <c r="H1815" s="3" t="n">
        <v>2</v>
      </c>
      <c r="I1815" s="2" t="n">
        <v>2</v>
      </c>
      <c r="J1815" s="3">
        <f>IFERROR(E1815/H1815,0)</f>
        <v/>
      </c>
      <c r="K1815" s="10">
        <f>E1815/'По разделам'!$B$21</f>
        <v/>
      </c>
      <c r="L1815" s="4">
        <f>L1814+K1815</f>
        <v/>
      </c>
      <c r="M1815" s="2" t="inlineStr">
        <is>
          <t>04356</t>
        </is>
      </c>
      <c r="N1815" s="2" t="inlineStr">
        <is>
          <t>https://app.redstat.kz/niche/04356?event_date=2026-08-01</t>
        </is>
      </c>
      <c r="O1815" s="2" t="inlineStr">
        <is>
          <t>https://kaspi.kz/shop/c/car%20body%20panels/</t>
        </is>
      </c>
    </row>
    <row r="1816">
      <c r="A1816" s="2" t="n">
        <v>1815</v>
      </c>
      <c r="B1816" s="2" t="inlineStr">
        <is>
          <t>Ведра, тазы и хозяйственные кувшины</t>
        </is>
      </c>
      <c r="C1816" s="2" t="inlineStr">
        <is>
          <t>Товары для дома и дачи</t>
        </is>
      </c>
      <c r="D1816" s="2" t="inlineStr">
        <is>
          <t>Товары для дома и дачи → Хозяйственные товары → Инвентарь для уборки → Ведра, тазы и хозяйственные кувшины</t>
        </is>
      </c>
      <c r="E1816" s="3" t="n">
        <v>86941</v>
      </c>
      <c r="F1816" s="3" t="n">
        <v>31</v>
      </c>
      <c r="G1816" s="3">
        <f>IFERROR(E1816/F1816,0)</f>
        <v/>
      </c>
      <c r="H1816" s="3" t="n">
        <v>21</v>
      </c>
      <c r="I1816" s="2" t="n">
        <v>12</v>
      </c>
      <c r="J1816" s="3">
        <f>IFERROR(E1816/H1816,0)</f>
        <v/>
      </c>
      <c r="K1816" s="10">
        <f>E1816/'По разделам'!$B$21</f>
        <v/>
      </c>
      <c r="L1816" s="4">
        <f>L1815+K1816</f>
        <v/>
      </c>
      <c r="M1816" s="2" t="inlineStr">
        <is>
          <t>03264</t>
        </is>
      </c>
      <c r="N1816" s="2" t="inlineStr">
        <is>
          <t>https://app.redstat.kz/niche/03264?event_date=2026-08-01</t>
        </is>
      </c>
      <c r="O1816" s="2" t="inlineStr">
        <is>
          <t>https://kaspi.kz/shop/c/buckets%20and%20basins/</t>
        </is>
      </c>
    </row>
    <row r="1817">
      <c r="A1817" s="2" t="n">
        <v>1816</v>
      </c>
      <c r="B1817" s="2" t="inlineStr">
        <is>
          <t>Сетки малярные, серпянки</t>
        </is>
      </c>
      <c r="C1817" s="2" t="inlineStr">
        <is>
          <t>Строительство, ремонт</t>
        </is>
      </c>
      <c r="D1817" s="2" t="inlineStr">
        <is>
          <t>Строительство, ремонт → Строительные материалы → Ленты и сетки строительные → Сетки малярные, серпянки</t>
        </is>
      </c>
      <c r="E1817" s="3" t="n">
        <v>86429</v>
      </c>
      <c r="F1817" s="3" t="n">
        <v>13</v>
      </c>
      <c r="G1817" s="3">
        <f>IFERROR(E1817/F1817,0)</f>
        <v/>
      </c>
      <c r="H1817" s="3" t="n">
        <v>6</v>
      </c>
      <c r="I1817" s="2" t="n">
        <v>5</v>
      </c>
      <c r="J1817" s="3">
        <f>IFERROR(E1817/H1817,0)</f>
        <v/>
      </c>
      <c r="K1817" s="10">
        <f>E1817/'По разделам'!$B$21</f>
        <v/>
      </c>
      <c r="L1817" s="4">
        <f>L1816+K1817</f>
        <v/>
      </c>
      <c r="M1817" s="2" t="inlineStr">
        <is>
          <t>04920</t>
        </is>
      </c>
      <c r="N1817" s="2" t="inlineStr">
        <is>
          <t>https://app.redstat.kz/niche/04920?event_date=2026-08-01</t>
        </is>
      </c>
      <c r="O1817" s="2" t="inlineStr">
        <is>
          <t>https://kaspi.kz/shop/c/nets%20and%20ribbons/</t>
        </is>
      </c>
    </row>
    <row r="1818">
      <c r="A1818" s="2" t="n">
        <v>1817</v>
      </c>
      <c r="B1818" s="2" t="inlineStr">
        <is>
          <t>Отрезные диски</t>
        </is>
      </c>
      <c r="C1818" s="2" t="inlineStr">
        <is>
          <t>Строительство, ремонт</t>
        </is>
      </c>
      <c r="D1818" s="2" t="inlineStr">
        <is>
          <t>Строительство, ремонт → Инструменты → Оснастка и расходники для инструмента → Пильные и отрезные диски → Отрезные диски</t>
        </is>
      </c>
      <c r="E1818" s="3" t="n">
        <v>86275</v>
      </c>
      <c r="F1818" s="3" t="n">
        <v>5</v>
      </c>
      <c r="G1818" s="3">
        <f>IFERROR(E1818/F1818,0)</f>
        <v/>
      </c>
      <c r="H1818" s="3" t="n">
        <v>4</v>
      </c>
      <c r="I1818" s="2" t="n">
        <v>4</v>
      </c>
      <c r="J1818" s="3">
        <f>IFERROR(E1818/H1818,0)</f>
        <v/>
      </c>
      <c r="K1818" s="10">
        <f>E1818/'По разделам'!$B$21</f>
        <v/>
      </c>
      <c r="L1818" s="4">
        <f>L1817+K1818</f>
        <v/>
      </c>
      <c r="M1818" s="2" t="inlineStr">
        <is>
          <t>06114</t>
        </is>
      </c>
      <c r="N1818" s="2" t="inlineStr">
        <is>
          <t>https://app.redstat.kz/niche/06114?event_date=2026-08-01</t>
        </is>
      </c>
      <c r="O1818" s="2" t="inlineStr">
        <is>
          <t>https://kaspi.kz/shop/c/cutting%20discs/</t>
        </is>
      </c>
    </row>
    <row r="1819">
      <c r="A1819" s="2" t="n">
        <v>1818</v>
      </c>
      <c r="B1819" s="2" t="inlineStr">
        <is>
          <t>Комплектующие для светильников</t>
        </is>
      </c>
      <c r="C1819" s="2" t="inlineStr">
        <is>
          <t>Товары для дома и дачи</t>
        </is>
      </c>
      <c r="D1819" s="2" t="inlineStr">
        <is>
          <t>Товары для дома и дачи → Освещение → Комплектующие и аксессуары для освещения → Комплектующие для светильников</t>
        </is>
      </c>
      <c r="E1819" s="3" t="n">
        <v>85580</v>
      </c>
      <c r="F1819" s="3" t="n">
        <v>20</v>
      </c>
      <c r="G1819" s="3">
        <f>IFERROR(E1819/F1819,0)</f>
        <v/>
      </c>
      <c r="H1819" s="3" t="n">
        <v>14</v>
      </c>
      <c r="I1819" s="2" t="n">
        <v>10</v>
      </c>
      <c r="J1819" s="3">
        <f>IFERROR(E1819/H1819,0)</f>
        <v/>
      </c>
      <c r="K1819" s="10">
        <f>E1819/'По разделам'!$B$21</f>
        <v/>
      </c>
      <c r="L1819" s="4">
        <f>L1818+K1819</f>
        <v/>
      </c>
      <c r="M1819" s="2" t="inlineStr">
        <is>
          <t>04914</t>
        </is>
      </c>
      <c r="N1819" s="2" t="inlineStr">
        <is>
          <t>https://app.redstat.kz/niche/04914?event_date=2026-08-01</t>
        </is>
      </c>
      <c r="O1819" s="2" t="inlineStr">
        <is>
          <t>https://kaspi.kz/shop/c/accessories%20for%20lamps/</t>
        </is>
      </c>
    </row>
    <row r="1820">
      <c r="A1820" s="2" t="n">
        <v>1819</v>
      </c>
      <c r="B1820" s="2" t="inlineStr">
        <is>
          <t>Направляющие, петли и доводчики</t>
        </is>
      </c>
      <c r="C1820" s="2" t="inlineStr">
        <is>
          <t>Мебель</t>
        </is>
      </c>
      <c r="D1820" s="2" t="inlineStr">
        <is>
          <t>Мебель → Фурнитура и комплектующие для мебели → Фурнитура для мебели → Направляющие, петли и доводчики</t>
        </is>
      </c>
      <c r="E1820" s="3" t="n">
        <v>85217</v>
      </c>
      <c r="F1820" s="3" t="n">
        <v>29</v>
      </c>
      <c r="G1820" s="3">
        <f>IFERROR(E1820/F1820,0)</f>
        <v/>
      </c>
      <c r="H1820" s="3" t="n">
        <v>21</v>
      </c>
      <c r="I1820" s="2" t="n">
        <v>7</v>
      </c>
      <c r="J1820" s="3">
        <f>IFERROR(E1820/H1820,0)</f>
        <v/>
      </c>
      <c r="K1820" s="10">
        <f>E1820/'По разделам'!$B$21</f>
        <v/>
      </c>
      <c r="L1820" s="4">
        <f>L1819+K1820</f>
        <v/>
      </c>
      <c r="M1820" s="2" t="inlineStr">
        <is>
          <t>07347</t>
        </is>
      </c>
      <c r="N1820" s="2" t="inlineStr">
        <is>
          <t>https://app.redstat.kz/niche/07347?event_date=2026-08-01</t>
        </is>
      </c>
      <c r="O1820" s="2" t="inlineStr">
        <is>
          <t>https://kaspi.kz/shop/c/guides%20and%20closers/</t>
        </is>
      </c>
    </row>
    <row r="1821">
      <c r="A1821" s="2" t="n">
        <v>1820</v>
      </c>
      <c r="B1821" s="2" t="inlineStr">
        <is>
          <t>Перчатки хозяйственные</t>
        </is>
      </c>
      <c r="C1821" s="2" t="inlineStr">
        <is>
          <t>Товары для дома и дачи</t>
        </is>
      </c>
      <c r="D1821" s="2" t="inlineStr">
        <is>
          <t>Товары для дома и дачи → Хозяйственные товары → Инвентарь для уборки → Перчатки хозяйственные</t>
        </is>
      </c>
      <c r="E1821" s="3" t="n">
        <v>84266</v>
      </c>
      <c r="F1821" s="3" t="n">
        <v>66</v>
      </c>
      <c r="G1821" s="3">
        <f>IFERROR(E1821/F1821,0)</f>
        <v/>
      </c>
      <c r="H1821" s="3" t="n">
        <v>35</v>
      </c>
      <c r="I1821" s="2" t="n">
        <v>16</v>
      </c>
      <c r="J1821" s="3">
        <f>IFERROR(E1821/H1821,0)</f>
        <v/>
      </c>
      <c r="K1821" s="10">
        <f>E1821/'По разделам'!$B$21</f>
        <v/>
      </c>
      <c r="L1821" s="4">
        <f>L1820+K1821</f>
        <v/>
      </c>
      <c r="M1821" s="2" t="inlineStr">
        <is>
          <t>04156</t>
        </is>
      </c>
      <c r="N1821" s="2" t="inlineStr">
        <is>
          <t>https://app.redstat.kz/niche/04156?event_date=2026-08-01</t>
        </is>
      </c>
      <c r="O1821" s="2" t="inlineStr">
        <is>
          <t>https://kaspi.kz/shop/c/kitchen%20gloves/</t>
        </is>
      </c>
    </row>
    <row r="1822">
      <c r="A1822" s="2" t="n">
        <v>1821</v>
      </c>
      <c r="B1822" s="2" t="inlineStr">
        <is>
          <t>Чертежные доски</t>
        </is>
      </c>
      <c r="C1822" s="2" t="inlineStr">
        <is>
          <t>Канцелярские товары</t>
        </is>
      </c>
      <c r="D1822" s="2" t="inlineStr">
        <is>
          <t>Канцелярские товары → Чертежные принадлежности → Чертежные доски</t>
        </is>
      </c>
      <c r="E1822" s="3" t="n">
        <v>83814</v>
      </c>
      <c r="F1822" s="3" t="n">
        <v>19</v>
      </c>
      <c r="G1822" s="3">
        <f>IFERROR(E1822/F1822,0)</f>
        <v/>
      </c>
      <c r="H1822" s="3" t="n">
        <v>4</v>
      </c>
      <c r="I1822" s="2" t="n">
        <v>0</v>
      </c>
      <c r="J1822" s="3">
        <f>IFERROR(E1822/H1822,0)</f>
        <v/>
      </c>
      <c r="K1822" s="10">
        <f>E1822/'По разделам'!$B$21</f>
        <v/>
      </c>
      <c r="L1822" s="4">
        <f>L1821+K1822</f>
        <v/>
      </c>
      <c r="M1822" s="2" t="inlineStr">
        <is>
          <t>05917</t>
        </is>
      </c>
      <c r="N1822" s="2" t="inlineStr">
        <is>
          <t>https://app.redstat.kz/niche/05917?event_date=2026-08-01</t>
        </is>
      </c>
      <c r="O1822" s="2" t="inlineStr">
        <is>
          <t>https://kaspi.kz/shop/c/drawing%20boards/</t>
        </is>
      </c>
    </row>
    <row r="1823">
      <c r="A1823" s="2" t="n">
        <v>1822</v>
      </c>
      <c r="B1823" s="2" t="inlineStr">
        <is>
          <t>Придверные коврики</t>
        </is>
      </c>
      <c r="C1823" s="2" t="inlineStr">
        <is>
          <t>Товары для дома и дачи</t>
        </is>
      </c>
      <c r="D1823" s="2" t="inlineStr">
        <is>
          <t>Товары для дома и дачи → Домашний текстиль → Ковры и ковровые дорожки → Придверные коврики</t>
        </is>
      </c>
      <c r="E1823" s="3" t="n">
        <v>82611</v>
      </c>
      <c r="F1823" s="3" t="n">
        <v>14</v>
      </c>
      <c r="G1823" s="3">
        <f>IFERROR(E1823/F1823,0)</f>
        <v/>
      </c>
      <c r="H1823" s="3" t="n">
        <v>10</v>
      </c>
      <c r="I1823" s="2" t="n">
        <v>3</v>
      </c>
      <c r="J1823" s="3">
        <f>IFERROR(E1823/H1823,0)</f>
        <v/>
      </c>
      <c r="K1823" s="10">
        <f>E1823/'По разделам'!$B$21</f>
        <v/>
      </c>
      <c r="L1823" s="4">
        <f>L1822+K1823</f>
        <v/>
      </c>
      <c r="M1823" s="2" t="inlineStr">
        <is>
          <t>06973</t>
        </is>
      </c>
      <c r="N1823" s="2" t="inlineStr">
        <is>
          <t>https://app.redstat.kz/niche/06973?event_date=2026-08-01</t>
        </is>
      </c>
      <c r="O1823" s="2" t="inlineStr">
        <is>
          <t>https://kaspi.kz/shop/c/door%20mats/</t>
        </is>
      </c>
    </row>
    <row r="1824">
      <c r="A1824" s="2" t="n">
        <v>1823</v>
      </c>
      <c r="B1824" s="2" t="inlineStr">
        <is>
          <t>Френч-прессы и кофейники</t>
        </is>
      </c>
      <c r="C1824" s="2" t="inlineStr">
        <is>
          <t>Товары для дома и дачи</t>
        </is>
      </c>
      <c r="D1824" s="2" t="inlineStr">
        <is>
          <t>Товары для дома и дачи → Посуда и принадлежности → Чайники, кофейники и самовары → Френч-прессы и кофейники</t>
        </is>
      </c>
      <c r="E1824" s="3" t="n">
        <v>81994</v>
      </c>
      <c r="F1824" s="3" t="n">
        <v>8</v>
      </c>
      <c r="G1824" s="3">
        <f>IFERROR(E1824/F1824,0)</f>
        <v/>
      </c>
      <c r="H1824" s="3" t="n">
        <v>6</v>
      </c>
      <c r="I1824" s="2" t="n">
        <v>3</v>
      </c>
      <c r="J1824" s="3">
        <f>IFERROR(E1824/H1824,0)</f>
        <v/>
      </c>
      <c r="K1824" s="10">
        <f>E1824/'По разделам'!$B$21</f>
        <v/>
      </c>
      <c r="L1824" s="4">
        <f>L1823+K1824</f>
        <v/>
      </c>
      <c r="M1824" s="2" t="inlineStr">
        <is>
          <t>05451</t>
        </is>
      </c>
      <c r="N1824" s="2" t="inlineStr">
        <is>
          <t>https://app.redstat.kz/niche/05451?event_date=2026-08-01</t>
        </is>
      </c>
      <c r="O1824" s="2" t="inlineStr">
        <is>
          <t>https://kaspi.kz/shop/c/french%20presses%20and%20coffee%20pots/</t>
        </is>
      </c>
    </row>
    <row r="1825">
      <c r="A1825" s="2" t="n">
        <v>1824</v>
      </c>
      <c r="B1825" s="2" t="inlineStr">
        <is>
          <t>Средства для мебели, ковров и напольных покрытий</t>
        </is>
      </c>
      <c r="C1825" s="2" t="inlineStr">
        <is>
          <t>Товары для дома и дачи</t>
        </is>
      </c>
      <c r="D1825" s="2" t="inlineStr">
        <is>
          <t>Товары для дома и дачи → Бытовая химия → Чистящие средства → Средства для мебели, ковров и напольных покрытий</t>
        </is>
      </c>
      <c r="E1825" s="3" t="n">
        <v>81030</v>
      </c>
      <c r="F1825" s="3" t="n">
        <v>19</v>
      </c>
      <c r="G1825" s="3">
        <f>IFERROR(E1825/F1825,0)</f>
        <v/>
      </c>
      <c r="H1825" s="3" t="n">
        <v>10</v>
      </c>
      <c r="I1825" s="2" t="n">
        <v>8</v>
      </c>
      <c r="J1825" s="3">
        <f>IFERROR(E1825/H1825,0)</f>
        <v/>
      </c>
      <c r="K1825" s="10">
        <f>E1825/'По разделам'!$B$21</f>
        <v/>
      </c>
      <c r="L1825" s="4">
        <f>L1824+K1825</f>
        <v/>
      </c>
      <c r="M1825" s="2" t="inlineStr">
        <is>
          <t>05660</t>
        </is>
      </c>
      <c r="N1825" s="2" t="inlineStr">
        <is>
          <t>https://app.redstat.kz/niche/05660?event_date=2026-08-01</t>
        </is>
      </c>
      <c r="O1825" s="2" t="inlineStr">
        <is>
          <t>https://kaspi.kz/shop/c/furniture%20and%20carpets%20detergents/</t>
        </is>
      </c>
    </row>
    <row r="1826">
      <c r="A1826" s="2" t="n">
        <v>1825</v>
      </c>
      <c r="B1826" s="2" t="inlineStr">
        <is>
          <t>Аксессуары для мастера</t>
        </is>
      </c>
      <c r="C1826" s="2" t="inlineStr">
        <is>
          <t>Красота и здоровье</t>
        </is>
      </c>
      <c r="D1826" s="2" t="inlineStr">
        <is>
          <t>Красота и здоровье → Для маникюра и педикюра → Инструменты для маникюра и педикюра → Аксессуары для мастера</t>
        </is>
      </c>
      <c r="E1826" s="3" t="n">
        <v>80578</v>
      </c>
      <c r="F1826" s="3" t="n">
        <v>43</v>
      </c>
      <c r="G1826" s="3">
        <f>IFERROR(E1826/F1826,0)</f>
        <v/>
      </c>
      <c r="H1826" s="3" t="n">
        <v>18</v>
      </c>
      <c r="I1826" s="2" t="n">
        <v>11</v>
      </c>
      <c r="J1826" s="3">
        <f>IFERROR(E1826/H1826,0)</f>
        <v/>
      </c>
      <c r="K1826" s="10">
        <f>E1826/'По разделам'!$B$21</f>
        <v/>
      </c>
      <c r="L1826" s="4">
        <f>L1825+K1826</f>
        <v/>
      </c>
      <c r="M1826" s="2" t="inlineStr">
        <is>
          <t>06568</t>
        </is>
      </c>
      <c r="N1826" s="2" t="inlineStr">
        <is>
          <t>https://app.redstat.kz/niche/06568?event_date=2026-08-01</t>
        </is>
      </c>
      <c r="O1826" s="2" t="inlineStr">
        <is>
          <t>https://kaspi.kz/shop/c/manicure%20accessories/</t>
        </is>
      </c>
    </row>
    <row r="1827">
      <c r="A1827" s="2" t="n">
        <v>1826</v>
      </c>
      <c r="B1827" s="2" t="inlineStr">
        <is>
          <t>Жидкие обои</t>
        </is>
      </c>
      <c r="C1827" s="2" t="inlineStr">
        <is>
          <t>Строительство, ремонт</t>
        </is>
      </c>
      <c r="D1827" s="2" t="inlineStr">
        <is>
          <t>Строительство, ремонт → Отделочные материалы → Отделка стен → Жидкие обои</t>
        </is>
      </c>
      <c r="E1827" s="3" t="n">
        <v>80550</v>
      </c>
      <c r="F1827" s="3" t="n">
        <v>10</v>
      </c>
      <c r="G1827" s="3">
        <f>IFERROR(E1827/F1827,0)</f>
        <v/>
      </c>
      <c r="H1827" s="3" t="n">
        <v>3</v>
      </c>
      <c r="I1827" s="2" t="n">
        <v>3</v>
      </c>
      <c r="J1827" s="3">
        <f>IFERROR(E1827/H1827,0)</f>
        <v/>
      </c>
      <c r="K1827" s="10">
        <f>E1827/'По разделам'!$B$21</f>
        <v/>
      </c>
      <c r="L1827" s="4">
        <f>L1826+K1827</f>
        <v/>
      </c>
      <c r="M1827" s="2" t="inlineStr">
        <is>
          <t>00893</t>
        </is>
      </c>
      <c r="N1827" s="2" t="inlineStr">
        <is>
          <t>https://app.redstat.kz/niche/00893?event_date=2026-08-01</t>
        </is>
      </c>
      <c r="O1827" s="2" t="inlineStr">
        <is>
          <t>https://kaspi.kz/shop/c/liquid%20wallpapers/</t>
        </is>
      </c>
    </row>
    <row r="1828">
      <c r="A1828" s="2" t="n">
        <v>1827</v>
      </c>
      <c r="B1828" s="2" t="inlineStr">
        <is>
          <t>Мужская танцевальная обувь</t>
        </is>
      </c>
      <c r="C1828" s="2" t="inlineStr">
        <is>
          <t>Обувь</t>
        </is>
      </c>
      <c r="D1828" s="2" t="inlineStr">
        <is>
          <t>Обувь → Мужская обувь → Мужская танцевальная обувь</t>
        </is>
      </c>
      <c r="E1828" s="3" t="n">
        <v>80000</v>
      </c>
      <c r="F1828" s="3" t="n">
        <v>2</v>
      </c>
      <c r="G1828" s="3">
        <f>IFERROR(E1828/F1828,0)</f>
        <v/>
      </c>
      <c r="H1828" s="3" t="n">
        <v>2</v>
      </c>
      <c r="I1828" s="2" t="n">
        <v>1</v>
      </c>
      <c r="J1828" s="3">
        <f>IFERROR(E1828/H1828,0)</f>
        <v/>
      </c>
      <c r="K1828" s="10">
        <f>E1828/'По разделам'!$B$21</f>
        <v/>
      </c>
      <c r="L1828" s="4">
        <f>L1827+K1828</f>
        <v/>
      </c>
      <c r="M1828" s="2" t="inlineStr">
        <is>
          <t>03080</t>
        </is>
      </c>
      <c r="N1828" s="2" t="inlineStr">
        <is>
          <t>https://app.redstat.kz/niche/03080?event_date=2026-08-01</t>
        </is>
      </c>
      <c r="O1828" s="2" t="inlineStr">
        <is>
          <t>https://kaspi.kz/shop/c/men%20dance%20shoes/</t>
        </is>
      </c>
    </row>
    <row r="1829">
      <c r="A1829" s="2" t="n">
        <v>1828</v>
      </c>
      <c r="B1829" s="2" t="inlineStr">
        <is>
          <t>Кровельная вентиляция</t>
        </is>
      </c>
      <c r="C1829" s="2" t="inlineStr">
        <is>
          <t>Строительство, ремонт</t>
        </is>
      </c>
      <c r="D1829" s="2" t="inlineStr">
        <is>
          <t>Строительство, ремонт → Кровля, фасад, ворота → Кровельные материалы → Кровельная вентиляция</t>
        </is>
      </c>
      <c r="E1829" s="3" t="n">
        <v>80000</v>
      </c>
      <c r="F1829" s="3" t="n">
        <v>1</v>
      </c>
      <c r="G1829" s="3">
        <f>IFERROR(E1829/F1829,0)</f>
        <v/>
      </c>
      <c r="H1829" s="3" t="n">
        <v>1</v>
      </c>
      <c r="I1829" s="2" t="n">
        <v>1</v>
      </c>
      <c r="J1829" s="3">
        <f>IFERROR(E1829/H1829,0)</f>
        <v/>
      </c>
      <c r="K1829" s="10">
        <f>E1829/'По разделам'!$B$21</f>
        <v/>
      </c>
      <c r="L1829" s="4">
        <f>L1828+K1829</f>
        <v/>
      </c>
      <c r="M1829" s="2" t="inlineStr">
        <is>
          <t>06271</t>
        </is>
      </c>
      <c r="N1829" s="2" t="inlineStr">
        <is>
          <t>https://app.redstat.kz/niche/06271?event_date=2026-08-01</t>
        </is>
      </c>
      <c r="O1829" s="2" t="inlineStr">
        <is>
          <t>https://kaspi.kz/shop/c/roof%20ventilation/</t>
        </is>
      </c>
    </row>
    <row r="1830">
      <c r="A1830" s="2" t="n">
        <v>1829</v>
      </c>
      <c r="B1830" s="2" t="inlineStr">
        <is>
          <t>Рулевые рейки</t>
        </is>
      </c>
      <c r="C1830" s="2" t="inlineStr">
        <is>
          <t>Автотовары</t>
        </is>
      </c>
      <c r="D1830" s="2" t="inlineStr">
        <is>
          <t>Автотовары → Автозапчасти → Рулевое управление → Рулевые рейки</t>
        </is>
      </c>
      <c r="E1830" s="3" t="n">
        <v>79980</v>
      </c>
      <c r="F1830" s="3" t="n">
        <v>3</v>
      </c>
      <c r="G1830" s="3">
        <f>IFERROR(E1830/F1830,0)</f>
        <v/>
      </c>
      <c r="H1830" s="3" t="n">
        <v>2</v>
      </c>
      <c r="I1830" s="2" t="n">
        <v>2</v>
      </c>
      <c r="J1830" s="3">
        <f>IFERROR(E1830/H1830,0)</f>
        <v/>
      </c>
      <c r="K1830" s="10">
        <f>E1830/'По разделам'!$B$21</f>
        <v/>
      </c>
      <c r="L1830" s="4">
        <f>L1829+K1830</f>
        <v/>
      </c>
      <c r="M1830" s="2" t="inlineStr">
        <is>
          <t>01341</t>
        </is>
      </c>
      <c r="N1830" s="2" t="inlineStr">
        <is>
          <t>https://app.redstat.kz/niche/01341?event_date=2026-08-01</t>
        </is>
      </c>
      <c r="O1830" s="2" t="inlineStr">
        <is>
          <t>https://kaspi.kz/shop/c/steering%20racks/</t>
        </is>
      </c>
    </row>
    <row r="1831">
      <c r="A1831" s="2" t="n">
        <v>1830</v>
      </c>
      <c r="B1831" s="2" t="inlineStr">
        <is>
          <t>Папки</t>
        </is>
      </c>
      <c r="C1831" s="2" t="inlineStr">
        <is>
          <t>Канцелярские товары</t>
        </is>
      </c>
      <c r="D1831" s="2" t="inlineStr">
        <is>
          <t>Канцелярские товары → Офисные принадлежности → Папки и аксессуары → Папки</t>
        </is>
      </c>
      <c r="E1831" s="3" t="n">
        <v>79684</v>
      </c>
      <c r="F1831" s="3" t="n">
        <v>83</v>
      </c>
      <c r="G1831" s="3">
        <f>IFERROR(E1831/F1831,0)</f>
        <v/>
      </c>
      <c r="H1831" s="3" t="n">
        <v>29</v>
      </c>
      <c r="I1831" s="2" t="n">
        <v>12</v>
      </c>
      <c r="J1831" s="3">
        <f>IFERROR(E1831/H1831,0)</f>
        <v/>
      </c>
      <c r="K1831" s="10">
        <f>E1831/'По разделам'!$B$21</f>
        <v/>
      </c>
      <c r="L1831" s="4">
        <f>L1830+K1831</f>
        <v/>
      </c>
      <c r="M1831" s="2" t="inlineStr">
        <is>
          <t>04277</t>
        </is>
      </c>
      <c r="N1831" s="2" t="inlineStr">
        <is>
          <t>https://app.redstat.kz/niche/04277?event_date=2026-08-01</t>
        </is>
      </c>
      <c r="O1831" s="2" t="inlineStr">
        <is>
          <t>https://kaspi.kz/shop/c/office%20folders/</t>
        </is>
      </c>
    </row>
    <row r="1832">
      <c r="A1832" s="2" t="n">
        <v>1831</v>
      </c>
      <c r="B1832" s="2" t="inlineStr">
        <is>
          <t>Теплицы, парники и гроубоксы</t>
        </is>
      </c>
      <c r="C1832" s="2" t="inlineStr">
        <is>
          <t>Товары для дома и дачи</t>
        </is>
      </c>
      <c r="D1832" s="2" t="inlineStr">
        <is>
          <t>Товары для дома и дачи → Дача, сад и огород → Теплицы и аксессуары → Теплицы, парники и гроубоксы</t>
        </is>
      </c>
      <c r="E1832" s="3" t="n">
        <v>79281</v>
      </c>
      <c r="F1832" s="3" t="n">
        <v>4</v>
      </c>
      <c r="G1832" s="3">
        <f>IFERROR(E1832/F1832,0)</f>
        <v/>
      </c>
      <c r="H1832" s="3" t="n">
        <v>3</v>
      </c>
      <c r="I1832" s="2" t="n">
        <v>1</v>
      </c>
      <c r="J1832" s="3">
        <f>IFERROR(E1832/H1832,0)</f>
        <v/>
      </c>
      <c r="K1832" s="10">
        <f>E1832/'По разделам'!$B$21</f>
        <v/>
      </c>
      <c r="L1832" s="4">
        <f>L1831+K1832</f>
        <v/>
      </c>
      <c r="M1832" s="2" t="inlineStr">
        <is>
          <t>03313</t>
        </is>
      </c>
      <c r="N1832" s="2" t="inlineStr">
        <is>
          <t>https://app.redstat.kz/niche/03313?event_date=2026-08-01</t>
        </is>
      </c>
      <c r="O1832" s="2" t="inlineStr">
        <is>
          <t>https://kaspi.kz/shop/c/greenhouses/</t>
        </is>
      </c>
    </row>
    <row r="1833">
      <c r="A1833" s="2" t="n">
        <v>1832</v>
      </c>
      <c r="B1833" s="2" t="inlineStr">
        <is>
          <t>Ручки мебельные</t>
        </is>
      </c>
      <c r="C1833" s="2" t="inlineStr">
        <is>
          <t>Мебель</t>
        </is>
      </c>
      <c r="D1833" s="2" t="inlineStr">
        <is>
          <t>Мебель → Фурнитура и комплектующие для мебели → Фурнитура для мебели → Ручки мебельные</t>
        </is>
      </c>
      <c r="E1833" s="3" t="n">
        <v>79271</v>
      </c>
      <c r="F1833" s="3" t="n">
        <v>25</v>
      </c>
      <c r="G1833" s="3">
        <f>IFERROR(E1833/F1833,0)</f>
        <v/>
      </c>
      <c r="H1833" s="3" t="n">
        <v>9</v>
      </c>
      <c r="I1833" s="2" t="n">
        <v>4</v>
      </c>
      <c r="J1833" s="3">
        <f>IFERROR(E1833/H1833,0)</f>
        <v/>
      </c>
      <c r="K1833" s="10">
        <f>E1833/'По разделам'!$B$21</f>
        <v/>
      </c>
      <c r="L1833" s="4">
        <f>L1832+K1833</f>
        <v/>
      </c>
      <c r="M1833" s="2" t="inlineStr">
        <is>
          <t>07158</t>
        </is>
      </c>
      <c r="N1833" s="2" t="inlineStr">
        <is>
          <t>https://app.redstat.kz/niche/07158?event_date=2026-08-01</t>
        </is>
      </c>
      <c r="O1833" s="2" t="inlineStr">
        <is>
          <t>https://kaspi.kz/shop/c/furniture%20handles/</t>
        </is>
      </c>
    </row>
    <row r="1834">
      <c r="A1834" s="2" t="n">
        <v>1833</v>
      </c>
      <c r="B1834" s="2" t="inlineStr">
        <is>
          <t>Фасадные кронштейны, рейки</t>
        </is>
      </c>
      <c r="C1834" s="2" t="inlineStr">
        <is>
          <t>Строительство, ремонт</t>
        </is>
      </c>
      <c r="D1834" s="2" t="inlineStr">
        <is>
          <t>Строительство, ремонт → Строительный крепеж → Фасадные кронштейны, рейки</t>
        </is>
      </c>
      <c r="E1834" s="3" t="n">
        <v>78866</v>
      </c>
      <c r="F1834" s="3" t="n">
        <v>1</v>
      </c>
      <c r="G1834" s="3">
        <f>IFERROR(E1834/F1834,0)</f>
        <v/>
      </c>
      <c r="H1834" s="3" t="n">
        <v>1</v>
      </c>
      <c r="I1834" s="2" t="n">
        <v>1</v>
      </c>
      <c r="J1834" s="3">
        <f>IFERROR(E1834/H1834,0)</f>
        <v/>
      </c>
      <c r="K1834" s="10">
        <f>E1834/'По разделам'!$B$21</f>
        <v/>
      </c>
      <c r="L1834" s="4">
        <f>L1833+K1834</f>
        <v/>
      </c>
      <c r="M1834" s="2" t="inlineStr">
        <is>
          <t>07005</t>
        </is>
      </c>
      <c r="N1834" s="2" t="inlineStr">
        <is>
          <t>https://app.redstat.kz/niche/07005?event_date=2026-08-01</t>
        </is>
      </c>
      <c r="O1834" s="2" t="inlineStr">
        <is>
          <t>https://kaspi.kz/shop/c/facade%20brackets/</t>
        </is>
      </c>
    </row>
    <row r="1835">
      <c r="A1835" s="2" t="n">
        <v>1834</v>
      </c>
      <c r="B1835" s="2" t="inlineStr">
        <is>
          <t>Аксессуары для зимнего снаряжения</t>
        </is>
      </c>
      <c r="C1835" s="2" t="inlineStr">
        <is>
          <t>Спорт, туризм</t>
        </is>
      </c>
      <c r="D1835" s="2" t="inlineStr">
        <is>
          <t>Спорт, туризм → Зимний спорт → Аксессуары для зимнего снаряжения</t>
        </is>
      </c>
      <c r="E1835" s="3" t="n">
        <v>77150</v>
      </c>
      <c r="F1835" s="3" t="n">
        <v>15</v>
      </c>
      <c r="G1835" s="3">
        <f>IFERROR(E1835/F1835,0)</f>
        <v/>
      </c>
      <c r="H1835" s="3" t="n">
        <v>9</v>
      </c>
      <c r="I1835" s="2" t="n">
        <v>6</v>
      </c>
      <c r="J1835" s="3">
        <f>IFERROR(E1835/H1835,0)</f>
        <v/>
      </c>
      <c r="K1835" s="10">
        <f>E1835/'По разделам'!$B$21</f>
        <v/>
      </c>
      <c r="L1835" s="4">
        <f>L1834+K1835</f>
        <v/>
      </c>
      <c r="M1835" s="2" t="inlineStr">
        <is>
          <t>05276</t>
        </is>
      </c>
      <c r="N1835" s="2" t="inlineStr">
        <is>
          <t>https://app.redstat.kz/niche/05276?event_date=2026-08-01</t>
        </is>
      </c>
      <c r="O1835" s="2" t="inlineStr">
        <is>
          <t>https://kaspi.kz/shop/c/accessories%20for%20winter%20equipment/</t>
        </is>
      </c>
    </row>
    <row r="1836">
      <c r="A1836" s="2" t="n">
        <v>1835</v>
      </c>
      <c r="B1836" s="2" t="inlineStr">
        <is>
          <t>Хлебопечки</t>
        </is>
      </c>
      <c r="C1836" s="2" t="inlineStr">
        <is>
          <t>Бытовая техника</t>
        </is>
      </c>
      <c r="D1836" s="2" t="inlineStr">
        <is>
          <t>Бытовая техника → Мелкая техника для кухни → Печи и грили → Хлебопечки</t>
        </is>
      </c>
      <c r="E1836" s="3" t="n">
        <v>77000</v>
      </c>
      <c r="F1836" s="3" t="n">
        <v>2</v>
      </c>
      <c r="G1836" s="3">
        <f>IFERROR(E1836/F1836,0)</f>
        <v/>
      </c>
      <c r="H1836" s="3" t="n">
        <v>1</v>
      </c>
      <c r="I1836" s="2" t="n">
        <v>0</v>
      </c>
      <c r="J1836" s="3">
        <f>IFERROR(E1836/H1836,0)</f>
        <v/>
      </c>
      <c r="K1836" s="10">
        <f>E1836/'По разделам'!$B$21</f>
        <v/>
      </c>
      <c r="L1836" s="4">
        <f>L1835+K1836</f>
        <v/>
      </c>
      <c r="M1836" s="2" t="inlineStr">
        <is>
          <t>03507</t>
        </is>
      </c>
      <c r="N1836" s="2" t="inlineStr">
        <is>
          <t>https://app.redstat.kz/niche/03507?event_date=2026-08-01</t>
        </is>
      </c>
      <c r="O1836" s="2" t="inlineStr">
        <is>
          <t>https://kaspi.kz/shop/c/breadmakers/</t>
        </is>
      </c>
    </row>
    <row r="1837">
      <c r="A1837" s="2" t="n">
        <v>1836</v>
      </c>
      <c r="B1837" s="2" t="inlineStr">
        <is>
          <t>Мешочки, шкатулки, скатерти для гаданий</t>
        </is>
      </c>
      <c r="C1837" s="2" t="inlineStr">
        <is>
          <t>Досуг, книги</t>
        </is>
      </c>
      <c r="D1837" s="2" t="inlineStr">
        <is>
          <t>Досуг, книги → Гадания и эзотерика → Мешочки, шкатулки, скатерти для гаданий</t>
        </is>
      </c>
      <c r="E1837" s="3" t="n">
        <v>76291</v>
      </c>
      <c r="F1837" s="3" t="n">
        <v>21</v>
      </c>
      <c r="G1837" s="3">
        <f>IFERROR(E1837/F1837,0)</f>
        <v/>
      </c>
      <c r="H1837" s="3" t="n">
        <v>15</v>
      </c>
      <c r="I1837" s="2" t="n">
        <v>1</v>
      </c>
      <c r="J1837" s="3">
        <f>IFERROR(E1837/H1837,0)</f>
        <v/>
      </c>
      <c r="K1837" s="10">
        <f>E1837/'По разделам'!$B$21</f>
        <v/>
      </c>
      <c r="L1837" s="4">
        <f>L1836+K1837</f>
        <v/>
      </c>
      <c r="M1837" s="2" t="inlineStr">
        <is>
          <t>06307</t>
        </is>
      </c>
      <c r="N1837" s="2" t="inlineStr">
        <is>
          <t>https://app.redstat.kz/niche/06307?event_date=2026-08-01</t>
        </is>
      </c>
      <c r="O1837" s="2" t="inlineStr">
        <is>
          <t>https://kaspi.kz/shop/c/bags%20caskets%20tablecloths%20for%20divination/</t>
        </is>
      </c>
    </row>
    <row r="1838">
      <c r="A1838" s="2" t="n">
        <v>1837</v>
      </c>
      <c r="B1838" s="2" t="inlineStr">
        <is>
          <t>Полотна для пил</t>
        </is>
      </c>
      <c r="C1838" s="2" t="inlineStr">
        <is>
          <t>Строительство, ремонт</t>
        </is>
      </c>
      <c r="D1838" s="2" t="inlineStr">
        <is>
          <t>Строительство, ремонт → Инструменты → Оснастка и расходники для инструмента → Полотна для пил</t>
        </is>
      </c>
      <c r="E1838" s="3" t="n">
        <v>75990</v>
      </c>
      <c r="F1838" s="3" t="n">
        <v>2</v>
      </c>
      <c r="G1838" s="3">
        <f>IFERROR(E1838/F1838,0)</f>
        <v/>
      </c>
      <c r="H1838" s="3" t="n">
        <v>2</v>
      </c>
      <c r="I1838" s="2" t="n">
        <v>2</v>
      </c>
      <c r="J1838" s="3">
        <f>IFERROR(E1838/H1838,0)</f>
        <v/>
      </c>
      <c r="K1838" s="10">
        <f>E1838/'По разделам'!$B$21</f>
        <v/>
      </c>
      <c r="L1838" s="4">
        <f>L1837+K1838</f>
        <v/>
      </c>
      <c r="M1838" s="2" t="inlineStr">
        <is>
          <t>02201</t>
        </is>
      </c>
      <c r="N1838" s="2" t="inlineStr">
        <is>
          <t>https://app.redstat.kz/niche/02201?event_date=2026-08-01</t>
        </is>
      </c>
      <c r="O1838" s="2" t="inlineStr">
        <is>
          <t>https://kaspi.kz/shop/c/blades%20for%20saws/</t>
        </is>
      </c>
    </row>
    <row r="1839">
      <c r="A1839" s="2" t="n">
        <v>1838</v>
      </c>
      <c r="B1839" s="2" t="inlineStr">
        <is>
          <t>Заглушки и накладки для мебели</t>
        </is>
      </c>
      <c r="C1839" s="2" t="inlineStr">
        <is>
          <t>Мебель</t>
        </is>
      </c>
      <c r="D1839" s="2" t="inlineStr">
        <is>
          <t>Мебель → Фурнитура и комплектующие для мебели → Фурнитура для мебели → Заглушки и накладки для мебели</t>
        </is>
      </c>
      <c r="E1839" s="3" t="n">
        <v>75411</v>
      </c>
      <c r="F1839" s="3" t="n">
        <v>69</v>
      </c>
      <c r="G1839" s="3">
        <f>IFERROR(E1839/F1839,0)</f>
        <v/>
      </c>
      <c r="H1839" s="3" t="n">
        <v>23</v>
      </c>
      <c r="I1839" s="2" t="n">
        <v>5</v>
      </c>
      <c r="J1839" s="3">
        <f>IFERROR(E1839/H1839,0)</f>
        <v/>
      </c>
      <c r="K1839" s="10">
        <f>E1839/'По разделам'!$B$21</f>
        <v/>
      </c>
      <c r="L1839" s="4">
        <f>L1838+K1839</f>
        <v/>
      </c>
      <c r="M1839" s="2" t="inlineStr">
        <is>
          <t>07350</t>
        </is>
      </c>
      <c r="N1839" s="2" t="inlineStr">
        <is>
          <t>https://app.redstat.kz/niche/07350?event_date=2026-08-01</t>
        </is>
      </c>
      <c r="O1839" s="2" t="inlineStr">
        <is>
          <t>https://kaspi.kz/shop/c/furniture%20caps%20and%20covers/</t>
        </is>
      </c>
    </row>
    <row r="1840">
      <c r="A1840" s="2" t="n">
        <v>1839</v>
      </c>
      <c r="B1840" s="2" t="inlineStr">
        <is>
          <t>Овощерезки, терки и слайсеры</t>
        </is>
      </c>
      <c r="C1840" s="2" t="inlineStr">
        <is>
          <t>Товары для дома и дачи</t>
        </is>
      </c>
      <c r="D1840" s="2" t="inlineStr">
        <is>
          <t>Товары для дома и дачи → Посуда и принадлежности → Кухонные принадлежности → Овощерезки, терки и слайсеры</t>
        </is>
      </c>
      <c r="E1840" s="3" t="n">
        <v>74837</v>
      </c>
      <c r="F1840" s="3" t="n">
        <v>29</v>
      </c>
      <c r="G1840" s="3">
        <f>IFERROR(E1840/F1840,0)</f>
        <v/>
      </c>
      <c r="H1840" s="3" t="n">
        <v>13</v>
      </c>
      <c r="I1840" s="2" t="n">
        <v>8</v>
      </c>
      <c r="J1840" s="3">
        <f>IFERROR(E1840/H1840,0)</f>
        <v/>
      </c>
      <c r="K1840" s="10">
        <f>E1840/'По разделам'!$B$21</f>
        <v/>
      </c>
      <c r="L1840" s="4">
        <f>L1839+K1840</f>
        <v/>
      </c>
      <c r="M1840" s="2" t="inlineStr">
        <is>
          <t>03337</t>
        </is>
      </c>
      <c r="N1840" s="2" t="inlineStr">
        <is>
          <t>https://app.redstat.kz/niche/03337?event_date=2026-08-01</t>
        </is>
      </c>
      <c r="O1840" s="2" t="inlineStr">
        <is>
          <t>https://kaspi.kz/shop/c/vegetable%20slicers%20and%20graters/</t>
        </is>
      </c>
    </row>
    <row r="1841">
      <c r="A1841" s="2" t="n">
        <v>1840</v>
      </c>
      <c r="B1841" s="2" t="inlineStr">
        <is>
          <t>Внешние боксы для накопителей</t>
        </is>
      </c>
      <c r="C1841" s="2" t="inlineStr">
        <is>
          <t>Компьютеры</t>
        </is>
      </c>
      <c r="D1841" s="2" t="inlineStr">
        <is>
          <t>Компьютеры → Периферия → Другая периферия → Внешние боксы для накопителей</t>
        </is>
      </c>
      <c r="E1841" s="3" t="n">
        <v>73460</v>
      </c>
      <c r="F1841" s="3" t="n">
        <v>6</v>
      </c>
      <c r="G1841" s="3">
        <f>IFERROR(E1841/F1841,0)</f>
        <v/>
      </c>
      <c r="H1841" s="3" t="n">
        <v>4</v>
      </c>
      <c r="I1841" s="2" t="n">
        <v>2</v>
      </c>
      <c r="J1841" s="3">
        <f>IFERROR(E1841/H1841,0)</f>
        <v/>
      </c>
      <c r="K1841" s="10">
        <f>E1841/'По разделам'!$B$21</f>
        <v/>
      </c>
      <c r="L1841" s="4">
        <f>L1840+K1841</f>
        <v/>
      </c>
      <c r="M1841" s="2" t="inlineStr">
        <is>
          <t>04043</t>
        </is>
      </c>
      <c r="N1841" s="2" t="inlineStr">
        <is>
          <t>https://app.redstat.kz/niche/04043?event_date=2026-08-01</t>
        </is>
      </c>
      <c r="O1841" s="2" t="inlineStr">
        <is>
          <t>https://kaspi.kz/shop/c/external%20boxes%20for%20drives/</t>
        </is>
      </c>
    </row>
    <row r="1842">
      <c r="A1842" s="2" t="n">
        <v>1841</v>
      </c>
      <c r="B1842" s="2" t="inlineStr">
        <is>
          <t>Солонки и емкости для специй</t>
        </is>
      </c>
      <c r="C1842" s="2" t="inlineStr">
        <is>
          <t>Товары для дома и дачи</t>
        </is>
      </c>
      <c r="D1842" s="2" t="inlineStr">
        <is>
          <t>Товары для дома и дачи → Посуда и принадлежности → Посуда для хранения продуктов → Солонки и емкости для специй</t>
        </is>
      </c>
      <c r="E1842" s="3" t="n">
        <v>73107</v>
      </c>
      <c r="F1842" s="3" t="n">
        <v>23</v>
      </c>
      <c r="G1842" s="3">
        <f>IFERROR(E1842/F1842,0)</f>
        <v/>
      </c>
      <c r="H1842" s="3" t="n">
        <v>11</v>
      </c>
      <c r="I1842" s="2" t="n">
        <v>4</v>
      </c>
      <c r="J1842" s="3">
        <f>IFERROR(E1842/H1842,0)</f>
        <v/>
      </c>
      <c r="K1842" s="10">
        <f>E1842/'По разделам'!$B$21</f>
        <v/>
      </c>
      <c r="L1842" s="4">
        <f>L1841+K1842</f>
        <v/>
      </c>
      <c r="M1842" s="2" t="inlineStr">
        <is>
          <t>02776</t>
        </is>
      </c>
      <c r="N1842" s="2" t="inlineStr">
        <is>
          <t>https://app.redstat.kz/niche/02776?event_date=2026-08-01</t>
        </is>
      </c>
      <c r="O1842" s="2" t="inlineStr">
        <is>
          <t>https://kaspi.kz/shop/c/salt%20shakers/</t>
        </is>
      </c>
    </row>
    <row r="1843">
      <c r="A1843" s="2" t="n">
        <v>1842</v>
      </c>
      <c r="B1843" s="2" t="inlineStr">
        <is>
          <t>Биоконсерванты и средства утилизации</t>
        </is>
      </c>
      <c r="C1843" s="2" t="inlineStr">
        <is>
          <t>Товары для животных</t>
        </is>
      </c>
      <c r="D1843" s="2" t="inlineStr">
        <is>
          <t>Товары для животных → Для сельскохозяйственных животных → Биоконсерванты и средства утилизации</t>
        </is>
      </c>
      <c r="E1843" s="3" t="n">
        <v>72850</v>
      </c>
      <c r="F1843" s="3" t="n">
        <v>1</v>
      </c>
      <c r="G1843" s="3">
        <f>IFERROR(E1843/F1843,0)</f>
        <v/>
      </c>
      <c r="H1843" s="3" t="n">
        <v>1</v>
      </c>
      <c r="I1843" s="2" t="n">
        <v>1</v>
      </c>
      <c r="J1843" s="3">
        <f>IFERROR(E1843/H1843,0)</f>
        <v/>
      </c>
      <c r="K1843" s="10">
        <f>E1843/'По разделам'!$B$21</f>
        <v/>
      </c>
      <c r="L1843" s="4">
        <f>L1842+K1843</f>
        <v/>
      </c>
      <c r="M1843" s="2" t="inlineStr">
        <is>
          <t>05880</t>
        </is>
      </c>
      <c r="N1843" s="2" t="inlineStr">
        <is>
          <t>https://app.redstat.kz/niche/05880?event_date=2026-08-01</t>
        </is>
      </c>
      <c r="O1843" s="2" t="inlineStr">
        <is>
          <t>https://kaspi.kz/shop/c/bio-preservatives/</t>
        </is>
      </c>
    </row>
    <row r="1844">
      <c r="A1844" s="2" t="n">
        <v>1843</v>
      </c>
      <c r="B1844" s="2" t="inlineStr">
        <is>
          <t>Прочая фурнитура для мебели</t>
        </is>
      </c>
      <c r="C1844" s="2" t="inlineStr">
        <is>
          <t>Мебель</t>
        </is>
      </c>
      <c r="D1844" s="2" t="inlineStr">
        <is>
          <t>Мебель → Фурнитура и комплектующие для мебели → Фурнитура для мебели → Прочая фурнитура для мебели</t>
        </is>
      </c>
      <c r="E1844" s="3" t="n">
        <v>72575</v>
      </c>
      <c r="F1844" s="3" t="n">
        <v>42</v>
      </c>
      <c r="G1844" s="3">
        <f>IFERROR(E1844/F1844,0)</f>
        <v/>
      </c>
      <c r="H1844" s="3" t="n">
        <v>21</v>
      </c>
      <c r="I1844" s="2" t="n">
        <v>9</v>
      </c>
      <c r="J1844" s="3">
        <f>IFERROR(E1844/H1844,0)</f>
        <v/>
      </c>
      <c r="K1844" s="10">
        <f>E1844/'По разделам'!$B$21</f>
        <v/>
      </c>
      <c r="L1844" s="4">
        <f>L1843+K1844</f>
        <v/>
      </c>
      <c r="M1844" s="2" t="inlineStr">
        <is>
          <t>07366</t>
        </is>
      </c>
      <c r="N1844" s="2" t="inlineStr">
        <is>
          <t>https://app.redstat.kz/niche/07366?event_date=2026-08-01</t>
        </is>
      </c>
      <c r="O1844" s="2" t="inlineStr">
        <is>
          <t>https://kaspi.kz/shop/c/other%20furniture%20fittings/</t>
        </is>
      </c>
    </row>
    <row r="1845">
      <c r="A1845" s="2" t="n">
        <v>1844</v>
      </c>
      <c r="B1845" s="2" t="inlineStr">
        <is>
          <t>Катушки зажигания</t>
        </is>
      </c>
      <c r="C1845" s="2" t="inlineStr">
        <is>
          <t>Автотовары</t>
        </is>
      </c>
      <c r="D1845" s="2" t="inlineStr">
        <is>
          <t>Автотовары → Автозапчасти → Двигатель → Система зажигания, накаливания → Катушки зажигания</t>
        </is>
      </c>
      <c r="E1845" s="3" t="n">
        <v>72500</v>
      </c>
      <c r="F1845" s="3" t="n">
        <v>2</v>
      </c>
      <c r="G1845" s="3">
        <f>IFERROR(E1845/F1845,0)</f>
        <v/>
      </c>
      <c r="H1845" s="3" t="n">
        <v>2</v>
      </c>
      <c r="I1845" s="2" t="n">
        <v>2</v>
      </c>
      <c r="J1845" s="3">
        <f>IFERROR(E1845/H1845,0)</f>
        <v/>
      </c>
      <c r="K1845" s="10">
        <f>E1845/'По разделам'!$B$21</f>
        <v/>
      </c>
      <c r="L1845" s="4">
        <f>L1844+K1845</f>
        <v/>
      </c>
      <c r="M1845" s="2" t="inlineStr">
        <is>
          <t>03793</t>
        </is>
      </c>
      <c r="N1845" s="2" t="inlineStr">
        <is>
          <t>https://app.redstat.kz/niche/03793?event_date=2026-08-01</t>
        </is>
      </c>
      <c r="O1845" s="2" t="inlineStr">
        <is>
          <t>https://kaspi.kz/shop/c/ignition%20coils/</t>
        </is>
      </c>
    </row>
    <row r="1846">
      <c r="A1846" s="2" t="n">
        <v>1845</v>
      </c>
      <c r="B1846" s="2" t="inlineStr">
        <is>
          <t>Дополнительные элементы для дверей и клеток</t>
        </is>
      </c>
      <c r="C1846" s="2" t="inlineStr">
        <is>
          <t>Товары для животных</t>
        </is>
      </c>
      <c r="D1846" s="2" t="inlineStr">
        <is>
          <t>Товары для животных → Аксессуары для животных → Дополнительные элементы для дверей и клеток</t>
        </is>
      </c>
      <c r="E1846" s="3" t="n">
        <v>72282</v>
      </c>
      <c r="F1846" s="3" t="n">
        <v>35</v>
      </c>
      <c r="G1846" s="3">
        <f>IFERROR(E1846/F1846,0)</f>
        <v/>
      </c>
      <c r="H1846" s="3" t="n">
        <v>8</v>
      </c>
      <c r="I1846" s="2" t="n">
        <v>1</v>
      </c>
      <c r="J1846" s="3">
        <f>IFERROR(E1846/H1846,0)</f>
        <v/>
      </c>
      <c r="K1846" s="10">
        <f>E1846/'По разделам'!$B$21</f>
        <v/>
      </c>
      <c r="L1846" s="4">
        <f>L1845+K1846</f>
        <v/>
      </c>
      <c r="M1846" s="2" t="inlineStr">
        <is>
          <t>04808</t>
        </is>
      </c>
      <c r="N1846" s="2" t="inlineStr">
        <is>
          <t>https://app.redstat.kz/niche/04808?event_date=2026-08-01</t>
        </is>
      </c>
      <c r="O1846" s="2" t="inlineStr">
        <is>
          <t>https://kaspi.kz/shop/c/elements%20for%20doors%20and%20cages/</t>
        </is>
      </c>
    </row>
    <row r="1847">
      <c r="A1847" s="2" t="n">
        <v>1846</v>
      </c>
      <c r="B1847" s="2" t="inlineStr">
        <is>
          <t>Фанера</t>
        </is>
      </c>
      <c r="C1847" s="2" t="inlineStr">
        <is>
          <t>Строительство, ремонт</t>
        </is>
      </c>
      <c r="D1847" s="2" t="inlineStr">
        <is>
          <t>Строительство, ремонт → Строительные материалы → Столярные изделия → Древесно-плитные материалы → Фанера</t>
        </is>
      </c>
      <c r="E1847" s="3" t="n">
        <v>72000</v>
      </c>
      <c r="F1847" s="3" t="n">
        <v>1</v>
      </c>
      <c r="G1847" s="3">
        <f>IFERROR(E1847/F1847,0)</f>
        <v/>
      </c>
      <c r="H1847" s="3" t="n">
        <v>1</v>
      </c>
      <c r="I1847" s="2" t="n">
        <v>0</v>
      </c>
      <c r="J1847" s="3">
        <f>IFERROR(E1847/H1847,0)</f>
        <v/>
      </c>
      <c r="K1847" s="10">
        <f>E1847/'По разделам'!$B$21</f>
        <v/>
      </c>
      <c r="L1847" s="4">
        <f>L1846+K1847</f>
        <v/>
      </c>
      <c r="M1847" s="2" t="inlineStr">
        <is>
          <t>02654</t>
        </is>
      </c>
      <c r="N1847" s="2" t="inlineStr">
        <is>
          <t>https://app.redstat.kz/niche/02654?event_date=2026-08-01</t>
        </is>
      </c>
      <c r="O1847" s="2" t="inlineStr">
        <is>
          <t>https://kaspi.kz/shop/c/plywood/</t>
        </is>
      </c>
    </row>
    <row r="1848">
      <c r="A1848" s="2" t="n">
        <v>1847</v>
      </c>
      <c r="B1848" s="2" t="inlineStr">
        <is>
          <t>Столовые приборы</t>
        </is>
      </c>
      <c r="C1848" s="2" t="inlineStr">
        <is>
          <t>Товары для дома и дачи</t>
        </is>
      </c>
      <c r="D1848" s="2" t="inlineStr">
        <is>
          <t>Товары для дома и дачи → Посуда и принадлежности → Столовая посуда → Столовые приборы</t>
        </is>
      </c>
      <c r="E1848" s="3" t="n">
        <v>70995</v>
      </c>
      <c r="F1848" s="3" t="n">
        <v>29</v>
      </c>
      <c r="G1848" s="3">
        <f>IFERROR(E1848/F1848,0)</f>
        <v/>
      </c>
      <c r="H1848" s="3" t="n">
        <v>18</v>
      </c>
      <c r="I1848" s="2" t="n">
        <v>10</v>
      </c>
      <c r="J1848" s="3">
        <f>IFERROR(E1848/H1848,0)</f>
        <v/>
      </c>
      <c r="K1848" s="10">
        <f>E1848/'По разделам'!$B$21</f>
        <v/>
      </c>
      <c r="L1848" s="4">
        <f>L1847+K1848</f>
        <v/>
      </c>
      <c r="M1848" s="2" t="inlineStr">
        <is>
          <t>03326</t>
        </is>
      </c>
      <c r="N1848" s="2" t="inlineStr">
        <is>
          <t>https://app.redstat.kz/niche/03326?event_date=2026-08-01</t>
        </is>
      </c>
      <c r="O1848" s="2" t="inlineStr">
        <is>
          <t>https://kaspi.kz/shop/c/cutlery%20sets/</t>
        </is>
      </c>
    </row>
    <row r="1849">
      <c r="A1849" s="2" t="n">
        <v>1848</v>
      </c>
      <c r="B1849" s="2" t="inlineStr">
        <is>
          <t>Запчасти для роликовых коньков</t>
        </is>
      </c>
      <c r="C1849" s="2" t="inlineStr">
        <is>
          <t>Спорт, туризм</t>
        </is>
      </c>
      <c r="D1849" s="2" t="inlineStr">
        <is>
          <t>Спорт, туризм → Роликовые коньки и лыжероллеры → Запчасти для роликовых коньков</t>
        </is>
      </c>
      <c r="E1849" s="3" t="n">
        <v>70000</v>
      </c>
      <c r="F1849" s="3" t="n">
        <v>9</v>
      </c>
      <c r="G1849" s="3">
        <f>IFERROR(E1849/F1849,0)</f>
        <v/>
      </c>
      <c r="H1849" s="3" t="n">
        <v>6</v>
      </c>
      <c r="I1849" s="2" t="n">
        <v>3</v>
      </c>
      <c r="J1849" s="3">
        <f>IFERROR(E1849/H1849,0)</f>
        <v/>
      </c>
      <c r="K1849" s="10">
        <f>E1849/'По разделам'!$B$21</f>
        <v/>
      </c>
      <c r="L1849" s="4">
        <f>L1848+K1849</f>
        <v/>
      </c>
      <c r="M1849" s="2" t="inlineStr">
        <is>
          <t>06937</t>
        </is>
      </c>
      <c r="N1849" s="2" t="inlineStr">
        <is>
          <t>https://app.redstat.kz/niche/06937?event_date=2026-08-01</t>
        </is>
      </c>
      <c r="O1849" s="2" t="inlineStr">
        <is>
          <t>https://kaspi.kz/shop/c/spare%20parts%20for%20roller%20skates/</t>
        </is>
      </c>
    </row>
    <row r="1850">
      <c r="A1850" s="2" t="n">
        <v>1849</v>
      </c>
      <c r="B1850" s="2" t="inlineStr">
        <is>
          <t>Рычаги и тяги подвески</t>
        </is>
      </c>
      <c r="C1850" s="2" t="inlineStr">
        <is>
          <t>Автотовары</t>
        </is>
      </c>
      <c r="D1850" s="2" t="inlineStr">
        <is>
          <t>Автотовары → Автозапчасти → Ходовая часть → Рычаги и тяги подвески</t>
        </is>
      </c>
      <c r="E1850" s="3" t="n">
        <v>69200</v>
      </c>
      <c r="F1850" s="3" t="n">
        <v>3</v>
      </c>
      <c r="G1850" s="3">
        <f>IFERROR(E1850/F1850,0)</f>
        <v/>
      </c>
      <c r="H1850" s="3" t="n">
        <v>3</v>
      </c>
      <c r="I1850" s="2" t="n">
        <v>2</v>
      </c>
      <c r="J1850" s="3">
        <f>IFERROR(E1850/H1850,0)</f>
        <v/>
      </c>
      <c r="K1850" s="10">
        <f>E1850/'По разделам'!$B$21</f>
        <v/>
      </c>
      <c r="L1850" s="4">
        <f>L1849+K1850</f>
        <v/>
      </c>
      <c r="M1850" s="2" t="inlineStr">
        <is>
          <t>07336</t>
        </is>
      </c>
      <c r="N1850" s="2" t="inlineStr">
        <is>
          <t>https://app.redstat.kz/niche/07336?event_date=2026-08-01</t>
        </is>
      </c>
      <c r="O1850" s="2" t="inlineStr">
        <is>
          <t>https://kaspi.kz/shop/c/suspension%20arms%20and%20rods/</t>
        </is>
      </c>
    </row>
    <row r="1851">
      <c r="A1851" s="2" t="n">
        <v>1850</v>
      </c>
      <c r="B1851" s="2" t="inlineStr">
        <is>
          <t>Фольга, бумага и пакеты для кухни</t>
        </is>
      </c>
      <c r="C1851" s="2" t="inlineStr">
        <is>
          <t>Товары для дома и дачи</t>
        </is>
      </c>
      <c r="D1851" s="2" t="inlineStr">
        <is>
          <t>Товары для дома и дачи → Посуда и принадлежности → Кухонные принадлежности → Фольга, бумага и пакеты для кухни</t>
        </is>
      </c>
      <c r="E1851" s="3" t="n">
        <v>69033</v>
      </c>
      <c r="F1851" s="3" t="n">
        <v>45</v>
      </c>
      <c r="G1851" s="3">
        <f>IFERROR(E1851/F1851,0)</f>
        <v/>
      </c>
      <c r="H1851" s="3" t="n">
        <v>16</v>
      </c>
      <c r="I1851" s="2" t="n">
        <v>8</v>
      </c>
      <c r="J1851" s="3">
        <f>IFERROR(E1851/H1851,0)</f>
        <v/>
      </c>
      <c r="K1851" s="10">
        <f>E1851/'По разделам'!$B$21</f>
        <v/>
      </c>
      <c r="L1851" s="4">
        <f>L1850+K1851</f>
        <v/>
      </c>
      <c r="M1851" s="2" t="inlineStr">
        <is>
          <t>03198</t>
        </is>
      </c>
      <c r="N1851" s="2" t="inlineStr">
        <is>
          <t>https://app.redstat.kz/niche/03198?event_date=2026-08-01</t>
        </is>
      </c>
      <c r="O1851" s="2" t="inlineStr">
        <is>
          <t>https://kaspi.kz/shop/c/cooking%20wraps%20and%20foils/</t>
        </is>
      </c>
    </row>
    <row r="1852">
      <c r="A1852" s="2" t="n">
        <v>1851</v>
      </c>
      <c r="B1852" s="2" t="inlineStr">
        <is>
          <t>Ремни и цепи ГРМ, навесного оборудования</t>
        </is>
      </c>
      <c r="C1852" s="2" t="inlineStr">
        <is>
          <t>Автотовары</t>
        </is>
      </c>
      <c r="D1852" s="2" t="inlineStr">
        <is>
          <t>Автотовары → Автозапчасти → Двигатель → Ременной и цепной приводы → Ремни и цепи ГРМ, навесного оборудования</t>
        </is>
      </c>
      <c r="E1852" s="3" t="n">
        <v>69000</v>
      </c>
      <c r="F1852" s="3" t="n">
        <v>3</v>
      </c>
      <c r="G1852" s="3">
        <f>IFERROR(E1852/F1852,0)</f>
        <v/>
      </c>
      <c r="H1852" s="3" t="n">
        <v>2</v>
      </c>
      <c r="I1852" s="2" t="n">
        <v>2</v>
      </c>
      <c r="J1852" s="3">
        <f>IFERROR(E1852/H1852,0)</f>
        <v/>
      </c>
      <c r="K1852" s="10">
        <f>E1852/'По разделам'!$B$21</f>
        <v/>
      </c>
      <c r="L1852" s="4">
        <f>L1851+K1852</f>
        <v/>
      </c>
      <c r="M1852" s="2" t="inlineStr">
        <is>
          <t>01635</t>
        </is>
      </c>
      <c r="N1852" s="2" t="inlineStr">
        <is>
          <t>https://app.redstat.kz/niche/01635?event_date=2026-08-01</t>
        </is>
      </c>
      <c r="O1852" s="2" t="inlineStr">
        <is>
          <t>https://kaspi.kz/shop/c/timing%20belts%20and%20chains/</t>
        </is>
      </c>
    </row>
    <row r="1853">
      <c r="A1853" s="2" t="n">
        <v>1852</v>
      </c>
      <c r="B1853" s="2" t="inlineStr">
        <is>
          <t>Аксессуары для швейных машин</t>
        </is>
      </c>
      <c r="C1853" s="2" t="inlineStr">
        <is>
          <t>Бытовая техника</t>
        </is>
      </c>
      <c r="D1853" s="2" t="inlineStr">
        <is>
          <t>Бытовая техника → Малая техника для дома → Аксессуары для малой бытовой техники → Аксессуары для швейных машин</t>
        </is>
      </c>
      <c r="E1853" s="3" t="n">
        <v>67995</v>
      </c>
      <c r="F1853" s="3" t="n">
        <v>17</v>
      </c>
      <c r="G1853" s="3">
        <f>IFERROR(E1853/F1853,0)</f>
        <v/>
      </c>
      <c r="H1853" s="3" t="n">
        <v>13</v>
      </c>
      <c r="I1853" s="2" t="n">
        <v>4</v>
      </c>
      <c r="J1853" s="3">
        <f>IFERROR(E1853/H1853,0)</f>
        <v/>
      </c>
      <c r="K1853" s="10">
        <f>E1853/'По разделам'!$B$21</f>
        <v/>
      </c>
      <c r="L1853" s="4">
        <f>L1852+K1853</f>
        <v/>
      </c>
      <c r="M1853" s="2" t="inlineStr">
        <is>
          <t>04751</t>
        </is>
      </c>
      <c r="N1853" s="2" t="inlineStr">
        <is>
          <t>https://app.redstat.kz/niche/04751?event_date=2026-08-01</t>
        </is>
      </c>
      <c r="O1853" s="2" t="inlineStr">
        <is>
          <t>https://kaspi.kz/shop/c/sewing%20machine%20accessories/</t>
        </is>
      </c>
    </row>
    <row r="1854">
      <c r="A1854" s="2" t="n">
        <v>1853</v>
      </c>
      <c r="B1854" s="2" t="inlineStr">
        <is>
          <t>Ящики и лотки для кассира</t>
        </is>
      </c>
      <c r="C1854" s="2" t="inlineStr">
        <is>
          <t>Канцелярские товары</t>
        </is>
      </c>
      <c r="D1854" s="2" t="inlineStr">
        <is>
          <t>Канцелярские товары → Офисные принадлежности → Ящики и лотки для кассира</t>
        </is>
      </c>
      <c r="E1854" s="3" t="n">
        <v>67795</v>
      </c>
      <c r="F1854" s="3" t="n">
        <v>5</v>
      </c>
      <c r="G1854" s="3">
        <f>IFERROR(E1854/F1854,0)</f>
        <v/>
      </c>
      <c r="H1854" s="3" t="n">
        <v>1</v>
      </c>
      <c r="I1854" s="2" t="n">
        <v>0</v>
      </c>
      <c r="J1854" s="3">
        <f>IFERROR(E1854/H1854,0)</f>
        <v/>
      </c>
      <c r="K1854" s="10">
        <f>E1854/'По разделам'!$B$21</f>
        <v/>
      </c>
      <c r="L1854" s="4">
        <f>L1853+K1854</f>
        <v/>
      </c>
      <c r="M1854" s="2" t="inlineStr">
        <is>
          <t>03555</t>
        </is>
      </c>
      <c r="N1854" s="2" t="inlineStr">
        <is>
          <t>https://app.redstat.kz/niche/03555?event_date=2026-08-01</t>
        </is>
      </c>
      <c r="O1854" s="2" t="inlineStr">
        <is>
          <t>https://kaspi.kz/shop/search/?text=%D0%AF%D1%89%D0%B8%D0%BA%D0%B8%20%D0%B8%20%D0%BB%D0%BE%D1%82%D0%BA%D0%B8%20%D0%B4%D0%BB%D1%8F%20%D0%BA%D0%B0%D1%81%D1%81%D0%B8%D1%80%D0%B0</t>
        </is>
      </c>
    </row>
    <row r="1855">
      <c r="A1855" s="2" t="n">
        <v>1854</v>
      </c>
      <c r="B1855" s="2" t="inlineStr">
        <is>
          <t>Гели и жидкие средства для стирки</t>
        </is>
      </c>
      <c r="C1855" s="2" t="inlineStr">
        <is>
          <t>Товары для дома и дачи</t>
        </is>
      </c>
      <c r="D1855" s="2" t="inlineStr">
        <is>
          <t>Товары для дома и дачи → Бытовая химия → Средства для стирки → Гели и жидкие средства для стирки</t>
        </is>
      </c>
      <c r="E1855" s="3" t="n">
        <v>67195</v>
      </c>
      <c r="F1855" s="3" t="n">
        <v>15</v>
      </c>
      <c r="G1855" s="3">
        <f>IFERROR(E1855/F1855,0)</f>
        <v/>
      </c>
      <c r="H1855" s="3" t="n">
        <v>10</v>
      </c>
      <c r="I1855" s="2" t="n">
        <v>10</v>
      </c>
      <c r="J1855" s="3">
        <f>IFERROR(E1855/H1855,0)</f>
        <v/>
      </c>
      <c r="K1855" s="10">
        <f>E1855/'По разделам'!$B$21</f>
        <v/>
      </c>
      <c r="L1855" s="4">
        <f>L1854+K1855</f>
        <v/>
      </c>
      <c r="M1855" s="2" t="inlineStr">
        <is>
          <t>02615</t>
        </is>
      </c>
      <c r="N1855" s="2" t="inlineStr">
        <is>
          <t>https://app.redstat.kz/niche/02615?event_date=2026-08-01</t>
        </is>
      </c>
      <c r="O1855" s="2" t="inlineStr">
        <is>
          <t>https://kaspi.kz/shop/c/washing%20gels%20and%20liquids/</t>
        </is>
      </c>
    </row>
    <row r="1856">
      <c r="A1856" s="2" t="n">
        <v>1855</v>
      </c>
      <c r="B1856" s="2" t="inlineStr">
        <is>
          <t>Стельки и утеплители для обуви</t>
        </is>
      </c>
      <c r="C1856" s="2" t="inlineStr">
        <is>
          <t>Товары для дома и дачи</t>
        </is>
      </c>
      <c r="D1856" s="2" t="inlineStr">
        <is>
          <t>Товары для дома и дачи → Хозяйственные товары → Уход за обувью → Стельки и утеплители для обуви</t>
        </is>
      </c>
      <c r="E1856" s="3" t="n">
        <v>67057</v>
      </c>
      <c r="F1856" s="3" t="n">
        <v>37</v>
      </c>
      <c r="G1856" s="3">
        <f>IFERROR(E1856/F1856,0)</f>
        <v/>
      </c>
      <c r="H1856" s="3" t="n">
        <v>22</v>
      </c>
      <c r="I1856" s="2" t="n">
        <v>9</v>
      </c>
      <c r="J1856" s="3">
        <f>IFERROR(E1856/H1856,0)</f>
        <v/>
      </c>
      <c r="K1856" s="10">
        <f>E1856/'По разделам'!$B$21</f>
        <v/>
      </c>
      <c r="L1856" s="4">
        <f>L1855+K1856</f>
        <v/>
      </c>
      <c r="M1856" s="2" t="inlineStr">
        <is>
          <t>04582</t>
        </is>
      </c>
      <c r="N1856" s="2" t="inlineStr">
        <is>
          <t>https://app.redstat.kz/niche/04582?event_date=2026-08-01</t>
        </is>
      </c>
      <c r="O1856" s="2" t="inlineStr">
        <is>
          <t>https://kaspi.kz/shop/c/insoles%20for%20shoes/</t>
        </is>
      </c>
    </row>
    <row r="1857">
      <c r="A1857" s="2" t="n">
        <v>1856</v>
      </c>
      <c r="B1857" s="2" t="inlineStr">
        <is>
          <t>Дверные коробки, наличники и доборы</t>
        </is>
      </c>
      <c r="C1857" s="2" t="inlineStr">
        <is>
          <t>Строительство, ремонт</t>
        </is>
      </c>
      <c r="D1857" s="2" t="inlineStr">
        <is>
          <t>Строительство, ремонт → Двери, окна, лестницы → Двери → Межкомнатные двери и коробки → Дверные коробки, наличники и доборы</t>
        </is>
      </c>
      <c r="E1857" s="3" t="n">
        <v>66400</v>
      </c>
      <c r="F1857" s="3" t="n">
        <v>5</v>
      </c>
      <c r="G1857" s="3">
        <f>IFERROR(E1857/F1857,0)</f>
        <v/>
      </c>
      <c r="H1857" s="3" t="n">
        <v>4</v>
      </c>
      <c r="I1857" s="2" t="n">
        <v>4</v>
      </c>
      <c r="J1857" s="3">
        <f>IFERROR(E1857/H1857,0)</f>
        <v/>
      </c>
      <c r="K1857" s="10">
        <f>E1857/'По разделам'!$B$21</f>
        <v/>
      </c>
      <c r="L1857" s="4">
        <f>L1856+K1857</f>
        <v/>
      </c>
      <c r="M1857" s="2" t="inlineStr">
        <is>
          <t>04591</t>
        </is>
      </c>
      <c r="N1857" s="2" t="inlineStr">
        <is>
          <t>https://app.redstat.kz/niche/04591?event_date=2026-08-01</t>
        </is>
      </c>
      <c r="O1857" s="2" t="inlineStr">
        <is>
          <t>https://kaspi.kz/shop/c/door%20frames%20and%20platbands/</t>
        </is>
      </c>
    </row>
    <row r="1858">
      <c r="A1858" s="2" t="n">
        <v>1857</v>
      </c>
      <c r="B1858" s="2" t="inlineStr">
        <is>
          <t>Садовые скамейки</t>
        </is>
      </c>
      <c r="C1858" s="2" t="inlineStr">
        <is>
          <t>Товары для дома и дачи</t>
        </is>
      </c>
      <c r="D1858" s="2" t="inlineStr">
        <is>
          <t>Товары для дома и дачи → Дача, сад и огород → Садовая мебель → Садовые скамейки</t>
        </is>
      </c>
      <c r="E1858" s="3" t="n">
        <v>66000</v>
      </c>
      <c r="F1858" s="3" t="n">
        <v>2</v>
      </c>
      <c r="G1858" s="3">
        <f>IFERROR(E1858/F1858,0)</f>
        <v/>
      </c>
      <c r="H1858" s="3" t="n">
        <v>2</v>
      </c>
      <c r="I1858" s="2" t="n">
        <v>0</v>
      </c>
      <c r="J1858" s="3">
        <f>IFERROR(E1858/H1858,0)</f>
        <v/>
      </c>
      <c r="K1858" s="10">
        <f>E1858/'По разделам'!$B$21</f>
        <v/>
      </c>
      <c r="L1858" s="4">
        <f>L1857+K1858</f>
        <v/>
      </c>
      <c r="M1858" s="2" t="inlineStr">
        <is>
          <t>00892</t>
        </is>
      </c>
      <c r="N1858" s="2" t="inlineStr">
        <is>
          <t>https://app.redstat.kz/niche/00892?event_date=2026-08-01</t>
        </is>
      </c>
      <c r="O1858" s="2" t="inlineStr">
        <is>
          <t>https://kaspi.kz/shop/c/outdoor%20benches/</t>
        </is>
      </c>
    </row>
    <row r="1859">
      <c r="A1859" s="2" t="n">
        <v>1858</v>
      </c>
      <c r="B1859" s="2" t="inlineStr">
        <is>
          <t>Полироль для салона автомобиля</t>
        </is>
      </c>
      <c r="C1859" s="2" t="inlineStr">
        <is>
          <t>Автотовары</t>
        </is>
      </c>
      <c r="D1859" s="2" t="inlineStr">
        <is>
          <t>Автотовары → Автохимия и автокосметика → Уход за салоном автомобиля → Полироль для салона автомобиля</t>
        </is>
      </c>
      <c r="E1859" s="3" t="n">
        <v>66000</v>
      </c>
      <c r="F1859" s="3" t="n">
        <v>8</v>
      </c>
      <c r="G1859" s="3">
        <f>IFERROR(E1859/F1859,0)</f>
        <v/>
      </c>
      <c r="H1859" s="3" t="n">
        <v>1</v>
      </c>
      <c r="I1859" s="2" t="n">
        <v>1</v>
      </c>
      <c r="J1859" s="3">
        <f>IFERROR(E1859/H1859,0)</f>
        <v/>
      </c>
      <c r="K1859" s="10">
        <f>E1859/'По разделам'!$B$21</f>
        <v/>
      </c>
      <c r="L1859" s="4">
        <f>L1858+K1859</f>
        <v/>
      </c>
      <c r="M1859" s="2" t="inlineStr">
        <is>
          <t>01717</t>
        </is>
      </c>
      <c r="N1859" s="2" t="inlineStr">
        <is>
          <t>https://app.redstat.kz/niche/01717?event_date=2026-08-01</t>
        </is>
      </c>
      <c r="O1859" s="2" t="inlineStr">
        <is>
          <t>https://kaspi.kz/shop/c/car%20interior%20polish/</t>
        </is>
      </c>
    </row>
    <row r="1860">
      <c r="A1860" s="2" t="n">
        <v>1859</v>
      </c>
      <c r="B1860" s="2" t="inlineStr">
        <is>
          <t>Насадки для аппаратного маникюра</t>
        </is>
      </c>
      <c r="C1860" s="2" t="inlineStr">
        <is>
          <t>Красота и здоровье</t>
        </is>
      </c>
      <c r="D1860" s="2" t="inlineStr">
        <is>
          <t>Красота и здоровье → Для маникюра и педикюра → Инструменты для маникюра и педикюра → Насадки для аппаратного маникюра</t>
        </is>
      </c>
      <c r="E1860" s="3" t="n">
        <v>65713</v>
      </c>
      <c r="F1860" s="3" t="n">
        <v>33</v>
      </c>
      <c r="G1860" s="3">
        <f>IFERROR(E1860/F1860,0)</f>
        <v/>
      </c>
      <c r="H1860" s="3" t="n">
        <v>15</v>
      </c>
      <c r="I1860" s="2" t="n">
        <v>10</v>
      </c>
      <c r="J1860" s="3">
        <f>IFERROR(E1860/H1860,0)</f>
        <v/>
      </c>
      <c r="K1860" s="10">
        <f>E1860/'По разделам'!$B$21</f>
        <v/>
      </c>
      <c r="L1860" s="4">
        <f>L1859+K1860</f>
        <v/>
      </c>
      <c r="M1860" s="2" t="inlineStr">
        <is>
          <t>06204</t>
        </is>
      </c>
      <c r="N1860" s="2" t="inlineStr">
        <is>
          <t>https://app.redstat.kz/niche/06204?event_date=2026-08-01</t>
        </is>
      </c>
      <c r="O1860" s="2" t="inlineStr">
        <is>
          <t>https://kaspi.kz/shop/c/nozzle%20for%20hardware%20manicure/</t>
        </is>
      </c>
    </row>
    <row r="1861">
      <c r="A1861" s="2" t="n">
        <v>1860</v>
      </c>
      <c r="B1861" s="2" t="inlineStr">
        <is>
          <t>Бочки, кадки, жбаны для продуктов</t>
        </is>
      </c>
      <c r="C1861" s="2" t="inlineStr">
        <is>
          <t>Товары для дома и дачи</t>
        </is>
      </c>
      <c r="D1861" s="2" t="inlineStr">
        <is>
          <t>Товары для дома и дачи → Посуда и принадлежности → Консервирование → Бочки, кадки, жбаны для продуктов</t>
        </is>
      </c>
      <c r="E1861" s="3" t="n">
        <v>65184</v>
      </c>
      <c r="F1861" s="3" t="n">
        <v>10</v>
      </c>
      <c r="G1861" s="3">
        <f>IFERROR(E1861/F1861,0)</f>
        <v/>
      </c>
      <c r="H1861" s="3" t="n">
        <v>8</v>
      </c>
      <c r="I1861" s="2" t="n">
        <v>6</v>
      </c>
      <c r="J1861" s="3">
        <f>IFERROR(E1861/H1861,0)</f>
        <v/>
      </c>
      <c r="K1861" s="10">
        <f>E1861/'По разделам'!$B$21</f>
        <v/>
      </c>
      <c r="L1861" s="4">
        <f>L1860+K1861</f>
        <v/>
      </c>
      <c r="M1861" s="2" t="inlineStr">
        <is>
          <t>03586</t>
        </is>
      </c>
      <c r="N1861" s="2" t="inlineStr">
        <is>
          <t>https://app.redstat.kz/niche/03586?event_date=2026-08-01</t>
        </is>
      </c>
      <c r="O1861" s="2" t="inlineStr">
        <is>
          <t>https://kaspi.kz/shop/c/barrels%20and%20tubs%20for%20storage/</t>
        </is>
      </c>
    </row>
    <row r="1862">
      <c r="A1862" s="2" t="n">
        <v>1861</v>
      </c>
      <c r="B1862" s="2" t="inlineStr">
        <is>
          <t>Карманные часы</t>
        </is>
      </c>
      <c r="C1862" s="2" t="inlineStr">
        <is>
          <t>Аксессуары</t>
        </is>
      </c>
      <c r="D1862" s="2" t="inlineStr">
        <is>
          <t>Аксессуары → Часы → Карманные часы</t>
        </is>
      </c>
      <c r="E1862" s="3" t="n">
        <v>64760</v>
      </c>
      <c r="F1862" s="3" t="n">
        <v>16</v>
      </c>
      <c r="G1862" s="3">
        <f>IFERROR(E1862/F1862,0)</f>
        <v/>
      </c>
      <c r="H1862" s="3" t="n">
        <v>6</v>
      </c>
      <c r="I1862" s="2" t="n">
        <v>1</v>
      </c>
      <c r="J1862" s="3">
        <f>IFERROR(E1862/H1862,0)</f>
        <v/>
      </c>
      <c r="K1862" s="10">
        <f>E1862/'По разделам'!$B$21</f>
        <v/>
      </c>
      <c r="L1862" s="4">
        <f>L1861+K1862</f>
        <v/>
      </c>
      <c r="M1862" s="2" t="inlineStr">
        <is>
          <t>02633</t>
        </is>
      </c>
      <c r="N1862" s="2" t="inlineStr">
        <is>
          <t>https://app.redstat.kz/niche/02633?event_date=2026-08-01</t>
        </is>
      </c>
      <c r="O1862" s="2" t="inlineStr">
        <is>
          <t>https://kaspi.kz/shop/c/pocket%20watch/</t>
        </is>
      </c>
    </row>
    <row r="1863">
      <c r="A1863" s="2" t="n">
        <v>1862</v>
      </c>
      <c r="B1863" s="2" t="inlineStr">
        <is>
          <t>Гладильные доски</t>
        </is>
      </c>
      <c r="C1863" s="2" t="inlineStr">
        <is>
          <t>Товары для дома и дачи</t>
        </is>
      </c>
      <c r="D1863" s="2" t="inlineStr">
        <is>
          <t>Товары для дома и дачи → Хозяйственные товары → Уход за одеждой → Гладильные доски</t>
        </is>
      </c>
      <c r="E1863" s="3" t="n">
        <v>64590</v>
      </c>
      <c r="F1863" s="3" t="n">
        <v>2</v>
      </c>
      <c r="G1863" s="3">
        <f>IFERROR(E1863/F1863,0)</f>
        <v/>
      </c>
      <c r="H1863" s="3" t="n">
        <v>2</v>
      </c>
      <c r="I1863" s="2" t="n">
        <v>2</v>
      </c>
      <c r="J1863" s="3">
        <f>IFERROR(E1863/H1863,0)</f>
        <v/>
      </c>
      <c r="K1863" s="10">
        <f>E1863/'По разделам'!$B$21</f>
        <v/>
      </c>
      <c r="L1863" s="4">
        <f>L1862+K1863</f>
        <v/>
      </c>
      <c r="M1863" s="2" t="inlineStr">
        <is>
          <t>03317</t>
        </is>
      </c>
      <c r="N1863" s="2" t="inlineStr">
        <is>
          <t>https://app.redstat.kz/niche/03317?event_date=2026-08-01</t>
        </is>
      </c>
      <c r="O1863" s="2" t="inlineStr">
        <is>
          <t>https://kaspi.kz/shop/c/ironing%20boards/</t>
        </is>
      </c>
    </row>
    <row r="1864">
      <c r="A1864" s="2" t="n">
        <v>1863</v>
      </c>
      <c r="B1864" s="2" t="inlineStr">
        <is>
          <t>Наружные зеркала заднего вида</t>
        </is>
      </c>
      <c r="C1864" s="2" t="inlineStr">
        <is>
          <t>Автотовары</t>
        </is>
      </c>
      <c r="D1864" s="2" t="inlineStr">
        <is>
          <t>Автотовары → Автозапчасти → Кузовные детали → Наружные зеркала заднего вида</t>
        </is>
      </c>
      <c r="E1864" s="3" t="n">
        <v>64496</v>
      </c>
      <c r="F1864" s="3" t="n">
        <v>7</v>
      </c>
      <c r="G1864" s="3">
        <f>IFERROR(E1864/F1864,0)</f>
        <v/>
      </c>
      <c r="H1864" s="3" t="n">
        <v>3</v>
      </c>
      <c r="I1864" s="2" t="n">
        <v>2</v>
      </c>
      <c r="J1864" s="3">
        <f>IFERROR(E1864/H1864,0)</f>
        <v/>
      </c>
      <c r="K1864" s="10">
        <f>E1864/'По разделам'!$B$21</f>
        <v/>
      </c>
      <c r="L1864" s="4">
        <f>L1863+K1864</f>
        <v/>
      </c>
      <c r="M1864" s="2" t="inlineStr">
        <is>
          <t>03802</t>
        </is>
      </c>
      <c r="N1864" s="2" t="inlineStr">
        <is>
          <t>https://app.redstat.kz/niche/03802?event_date=2026-08-01</t>
        </is>
      </c>
      <c r="O1864" s="2" t="inlineStr">
        <is>
          <t>https://kaspi.kz/shop/c/car%20exterior%20mirrors/</t>
        </is>
      </c>
    </row>
    <row r="1865">
      <c r="A1865" s="2" t="n">
        <v>1864</v>
      </c>
      <c r="B1865" s="2" t="inlineStr">
        <is>
          <t>Свечные головки и ключи</t>
        </is>
      </c>
      <c r="C1865" s="2" t="inlineStr">
        <is>
          <t>Автотовары</t>
        </is>
      </c>
      <c r="D1865" s="2" t="inlineStr">
        <is>
          <t>Автотовары → Автоинструменты → Свечные головки и ключи</t>
        </is>
      </c>
      <c r="E1865" s="3" t="n">
        <v>61492</v>
      </c>
      <c r="F1865" s="3" t="n">
        <v>42</v>
      </c>
      <c r="G1865" s="3">
        <f>IFERROR(E1865/F1865,0)</f>
        <v/>
      </c>
      <c r="H1865" s="3" t="n">
        <v>9</v>
      </c>
      <c r="I1865" s="2" t="n">
        <v>6</v>
      </c>
      <c r="J1865" s="3">
        <f>IFERROR(E1865/H1865,0)</f>
        <v/>
      </c>
      <c r="K1865" s="10">
        <f>E1865/'По разделам'!$B$21</f>
        <v/>
      </c>
      <c r="L1865" s="4">
        <f>L1864+K1865</f>
        <v/>
      </c>
      <c r="M1865" s="2" t="inlineStr">
        <is>
          <t>05456</t>
        </is>
      </c>
      <c r="N1865" s="2" t="inlineStr">
        <is>
          <t>https://app.redstat.kz/niche/05456?event_date=2026-08-01</t>
        </is>
      </c>
      <c r="O1865" s="2" t="inlineStr">
        <is>
          <t>https://kaspi.kz/shop/c/candle%20heads%20and%20wrenches/</t>
        </is>
      </c>
    </row>
    <row r="1866">
      <c r="A1866" s="2" t="n">
        <v>1865</v>
      </c>
      <c r="B1866" s="2" t="inlineStr">
        <is>
          <t>Овощечистки и рыбочистки</t>
        </is>
      </c>
      <c r="C1866" s="2" t="inlineStr">
        <is>
          <t>Товары для дома и дачи</t>
        </is>
      </c>
      <c r="D1866" s="2" t="inlineStr">
        <is>
          <t>Товары для дома и дачи → Посуда и принадлежности → Ножи и разделочные доски → Овощечистки и рыбочистки</t>
        </is>
      </c>
      <c r="E1866" s="3" t="n">
        <v>60970</v>
      </c>
      <c r="F1866" s="3" t="n">
        <v>6</v>
      </c>
      <c r="G1866" s="3">
        <f>IFERROR(E1866/F1866,0)</f>
        <v/>
      </c>
      <c r="H1866" s="3" t="n">
        <v>2</v>
      </c>
      <c r="I1866" s="2" t="n">
        <v>1</v>
      </c>
      <c r="J1866" s="3">
        <f>IFERROR(E1866/H1866,0)</f>
        <v/>
      </c>
      <c r="K1866" s="10">
        <f>E1866/'По разделам'!$B$21</f>
        <v/>
      </c>
      <c r="L1866" s="4">
        <f>L1865+K1866</f>
        <v/>
      </c>
      <c r="M1866" s="2" t="inlineStr">
        <is>
          <t>04162</t>
        </is>
      </c>
      <c r="N1866" s="2" t="inlineStr">
        <is>
          <t>https://app.redstat.kz/niche/04162?event_date=2026-08-01</t>
        </is>
      </c>
      <c r="O1866" s="2" t="inlineStr">
        <is>
          <t>https://kaspi.kz/shop/c/vegetable%20peelers/</t>
        </is>
      </c>
    </row>
    <row r="1867">
      <c r="A1867" s="2" t="n">
        <v>1866</v>
      </c>
      <c r="B1867" s="2" t="inlineStr">
        <is>
          <t>Кухонные измельчители</t>
        </is>
      </c>
      <c r="C1867" s="2" t="inlineStr">
        <is>
          <t>Бытовая техника</t>
        </is>
      </c>
      <c r="D1867" s="2" t="inlineStr">
        <is>
          <t>Бытовая техника → Мелкая техника для кухни → Миксеры, блендеры и измельчители → Кухонные измельчители</t>
        </is>
      </c>
      <c r="E1867" s="3" t="n">
        <v>60899</v>
      </c>
      <c r="F1867" s="3" t="n">
        <v>9</v>
      </c>
      <c r="G1867" s="3">
        <f>IFERROR(E1867/F1867,0)</f>
        <v/>
      </c>
      <c r="H1867" s="3" t="n">
        <v>3</v>
      </c>
      <c r="I1867" s="2" t="n">
        <v>3</v>
      </c>
      <c r="J1867" s="3">
        <f>IFERROR(E1867/H1867,0)</f>
        <v/>
      </c>
      <c r="K1867" s="10">
        <f>E1867/'По разделам'!$B$21</f>
        <v/>
      </c>
      <c r="L1867" s="4">
        <f>L1866+K1867</f>
        <v/>
      </c>
      <c r="M1867" s="2" t="inlineStr">
        <is>
          <t>05069</t>
        </is>
      </c>
      <c r="N1867" s="2" t="inlineStr">
        <is>
          <t>https://app.redstat.kz/niche/05069?event_date=2026-08-01</t>
        </is>
      </c>
      <c r="O1867" s="2" t="inlineStr">
        <is>
          <t>https://kaspi.kz/shop/c/kitchen%20grinders/</t>
        </is>
      </c>
    </row>
    <row r="1868">
      <c r="A1868" s="2" t="n">
        <v>1867</v>
      </c>
      <c r="B1868" s="2" t="inlineStr">
        <is>
          <t>Аксессуары для грилей, мангалов и казанов</t>
        </is>
      </c>
      <c r="C1868" s="2" t="inlineStr">
        <is>
          <t>Товары для дома и дачи</t>
        </is>
      </c>
      <c r="D1868" s="2" t="inlineStr">
        <is>
          <t>Товары для дома и дачи → Дача, сад и огород → Пикник, барбекю, гриль → Аксессуары для грилей, мангалов и казанов</t>
        </is>
      </c>
      <c r="E1868" s="3" t="n">
        <v>60443</v>
      </c>
      <c r="F1868" s="3" t="n">
        <v>7</v>
      </c>
      <c r="G1868" s="3">
        <f>IFERROR(E1868/F1868,0)</f>
        <v/>
      </c>
      <c r="H1868" s="3" t="n">
        <v>6</v>
      </c>
      <c r="I1868" s="2" t="n">
        <v>5</v>
      </c>
      <c r="J1868" s="3">
        <f>IFERROR(E1868/H1868,0)</f>
        <v/>
      </c>
      <c r="K1868" s="10">
        <f>E1868/'По разделам'!$B$21</f>
        <v/>
      </c>
      <c r="L1868" s="4">
        <f>L1867+K1868</f>
        <v/>
      </c>
      <c r="M1868" s="2" t="inlineStr">
        <is>
          <t>05122</t>
        </is>
      </c>
      <c r="N1868" s="2" t="inlineStr">
        <is>
          <t>https://app.redstat.kz/niche/05122?event_date=2026-08-01</t>
        </is>
      </c>
      <c r="O1868" s="2" t="inlineStr">
        <is>
          <t>https://kaspi.kz/shop/c/accessories%20for%20grills%20and%20barbecues/</t>
        </is>
      </c>
    </row>
    <row r="1869">
      <c r="A1869" s="2" t="n">
        <v>1868</v>
      </c>
      <c r="B1869" s="2" t="inlineStr">
        <is>
          <t>Пододеяльники</t>
        </is>
      </c>
      <c r="C1869" s="2" t="inlineStr">
        <is>
          <t>Товары для дома и дачи</t>
        </is>
      </c>
      <c r="D1869" s="2" t="inlineStr">
        <is>
          <t>Товары для дома и дачи → Домашний текстиль → Постельное белье → Пододеяльники</t>
        </is>
      </c>
      <c r="E1869" s="3" t="n">
        <v>60390</v>
      </c>
      <c r="F1869" s="3" t="n">
        <v>5</v>
      </c>
      <c r="G1869" s="3">
        <f>IFERROR(E1869/F1869,0)</f>
        <v/>
      </c>
      <c r="H1869" s="3" t="n">
        <v>4</v>
      </c>
      <c r="I1869" s="2" t="n">
        <v>3</v>
      </c>
      <c r="J1869" s="3">
        <f>IFERROR(E1869/H1869,0)</f>
        <v/>
      </c>
      <c r="K1869" s="10">
        <f>E1869/'По разделам'!$B$21</f>
        <v/>
      </c>
      <c r="L1869" s="4">
        <f>L1868+K1869</f>
        <v/>
      </c>
      <c r="M1869" s="2" t="inlineStr">
        <is>
          <t>00678</t>
        </is>
      </c>
      <c r="N1869" s="2" t="inlineStr">
        <is>
          <t>https://app.redstat.kz/niche/00678?event_date=2026-08-01</t>
        </is>
      </c>
      <c r="O1869" s="2" t="inlineStr">
        <is>
          <t>https://kaspi.kz/shop/c/flat%20sheets/</t>
        </is>
      </c>
    </row>
    <row r="1870">
      <c r="A1870" s="2" t="n">
        <v>1869</v>
      </c>
      <c r="B1870" s="2" t="inlineStr">
        <is>
          <t>Компактные фотопринтеры</t>
        </is>
      </c>
      <c r="C1870" s="2" t="inlineStr">
        <is>
          <t>Компьютеры</t>
        </is>
      </c>
      <c r="D1870" s="2" t="inlineStr">
        <is>
          <t>Компьютеры → Оргтехника и расходные материалы → Другая оргтехника → Компактные фотопринтеры</t>
        </is>
      </c>
      <c r="E1870" s="3" t="n">
        <v>59990</v>
      </c>
      <c r="F1870" s="3" t="n">
        <v>1</v>
      </c>
      <c r="G1870" s="3">
        <f>IFERROR(E1870/F1870,0)</f>
        <v/>
      </c>
      <c r="H1870" s="3" t="n">
        <v>1</v>
      </c>
      <c r="I1870" s="2" t="n">
        <v>1</v>
      </c>
      <c r="J1870" s="3">
        <f>IFERROR(E1870/H1870,0)</f>
        <v/>
      </c>
      <c r="K1870" s="10">
        <f>E1870/'По разделам'!$B$21</f>
        <v/>
      </c>
      <c r="L1870" s="4">
        <f>L1869+K1870</f>
        <v/>
      </c>
      <c r="M1870" s="2" t="inlineStr">
        <is>
          <t>02935</t>
        </is>
      </c>
      <c r="N1870" s="2" t="inlineStr">
        <is>
          <t>https://app.redstat.kz/niche/02935?event_date=2026-08-01</t>
        </is>
      </c>
      <c r="O1870" s="2" t="inlineStr">
        <is>
          <t>https://kaspi.kz/shop/c/portable%20photo%20printers/</t>
        </is>
      </c>
    </row>
    <row r="1871">
      <c r="A1871" s="2" t="n">
        <v>1870</v>
      </c>
      <c r="B1871" s="2" t="inlineStr">
        <is>
          <t>Мешочки и ремешки для спортивной магнезии</t>
        </is>
      </c>
      <c r="C1871" s="2" t="inlineStr">
        <is>
          <t>Спорт, туризм</t>
        </is>
      </c>
      <c r="D1871" s="2" t="inlineStr">
        <is>
          <t>Спорт, туризм → Альпинизм и скалолазание → Мешочки и ремешки для спортивной магнезии</t>
        </is>
      </c>
      <c r="E1871" s="3" t="n">
        <v>59855</v>
      </c>
      <c r="F1871" s="3" t="n">
        <v>8</v>
      </c>
      <c r="G1871" s="3">
        <f>IFERROR(E1871/F1871,0)</f>
        <v/>
      </c>
      <c r="H1871" s="3" t="n">
        <v>6</v>
      </c>
      <c r="I1871" s="2" t="n">
        <v>4</v>
      </c>
      <c r="J1871" s="3">
        <f>IFERROR(E1871/H1871,0)</f>
        <v/>
      </c>
      <c r="K1871" s="10">
        <f>E1871/'По разделам'!$B$21</f>
        <v/>
      </c>
      <c r="L1871" s="4">
        <f>L1870+K1871</f>
        <v/>
      </c>
      <c r="M1871" s="2" t="inlineStr">
        <is>
          <t>06210</t>
        </is>
      </c>
      <c r="N1871" s="2" t="inlineStr">
        <is>
          <t>https://app.redstat.kz/niche/06210?event_date=2026-08-01</t>
        </is>
      </c>
      <c r="O1871" s="2" t="inlineStr">
        <is>
          <t>https://kaspi.kz/shop/c/pouches%20and%20belts%20for%20magnesium%20mineral%20supplements/</t>
        </is>
      </c>
    </row>
    <row r="1872">
      <c r="A1872" s="2" t="n">
        <v>1871</v>
      </c>
      <c r="B1872" s="2" t="inlineStr">
        <is>
          <t>Фурнитура для часов</t>
        </is>
      </c>
      <c r="C1872" s="2" t="inlineStr">
        <is>
          <t>Аксессуары</t>
        </is>
      </c>
      <c r="D1872" s="2" t="inlineStr">
        <is>
          <t>Аксессуары → Часы → Фурнитура для часов</t>
        </is>
      </c>
      <c r="E1872" s="3" t="n">
        <v>59535</v>
      </c>
      <c r="F1872" s="3" t="n">
        <v>70</v>
      </c>
      <c r="G1872" s="3">
        <f>IFERROR(E1872/F1872,0)</f>
        <v/>
      </c>
      <c r="H1872" s="3" t="n">
        <v>10</v>
      </c>
      <c r="I1872" s="2" t="n">
        <v>1</v>
      </c>
      <c r="J1872" s="3">
        <f>IFERROR(E1872/H1872,0)</f>
        <v/>
      </c>
      <c r="K1872" s="10">
        <f>E1872/'По разделам'!$B$21</f>
        <v/>
      </c>
      <c r="L1872" s="4">
        <f>L1871+K1872</f>
        <v/>
      </c>
      <c r="M1872" s="2" t="inlineStr">
        <is>
          <t>09310</t>
        </is>
      </c>
      <c r="N1872" s="2" t="inlineStr">
        <is>
          <t>https://app.redstat.kz/niche/09310?event_date=2026-08-01</t>
        </is>
      </c>
      <c r="O1872" s="2" t="inlineStr">
        <is>
          <t>https://kaspi.kz/shop/c/watch%20components/</t>
        </is>
      </c>
    </row>
    <row r="1873">
      <c r="A1873" s="2" t="n">
        <v>1872</v>
      </c>
      <c r="B1873" s="2" t="inlineStr">
        <is>
          <t>Держатели для флагов</t>
        </is>
      </c>
      <c r="C1873" s="2" t="inlineStr">
        <is>
          <t>Канцелярские товары</t>
        </is>
      </c>
      <c r="D1873" s="2" t="inlineStr">
        <is>
          <t>Канцелярские товары → Торговые и рекламные принадлежности → Держатели для флагов</t>
        </is>
      </c>
      <c r="E1873" s="3" t="n">
        <v>59424</v>
      </c>
      <c r="F1873" s="3" t="n">
        <v>5</v>
      </c>
      <c r="G1873" s="3">
        <f>IFERROR(E1873/F1873,0)</f>
        <v/>
      </c>
      <c r="H1873" s="3" t="n">
        <v>4</v>
      </c>
      <c r="I1873" s="2" t="n">
        <v>1</v>
      </c>
      <c r="J1873" s="3">
        <f>IFERROR(E1873/H1873,0)</f>
        <v/>
      </c>
      <c r="K1873" s="10">
        <f>E1873/'По разделам'!$B$21</f>
        <v/>
      </c>
      <c r="L1873" s="4">
        <f>L1872+K1873</f>
        <v/>
      </c>
      <c r="M1873" s="2" t="inlineStr">
        <is>
          <t>06369</t>
        </is>
      </c>
      <c r="N1873" s="2" t="inlineStr">
        <is>
          <t>https://app.redstat.kz/niche/06369?event_date=2026-08-01</t>
        </is>
      </c>
      <c r="O1873" s="2" t="inlineStr">
        <is>
          <t>https://kaspi.kz/shop/c/flag%20holders/</t>
        </is>
      </c>
    </row>
    <row r="1874">
      <c r="A1874" s="2" t="n">
        <v>1873</v>
      </c>
      <c r="B1874" s="2" t="inlineStr">
        <is>
          <t>Ультразвуковые устройства для стирки</t>
        </is>
      </c>
      <c r="C1874" s="2" t="inlineStr">
        <is>
          <t>Бытовая техника</t>
        </is>
      </c>
      <c r="D1874" s="2" t="inlineStr">
        <is>
          <t>Бытовая техника → Малая техника для дома → Ультразвуковые устройства для стирки</t>
        </is>
      </c>
      <c r="E1874" s="3" t="n">
        <v>59179</v>
      </c>
      <c r="F1874" s="3" t="n">
        <v>8</v>
      </c>
      <c r="G1874" s="3">
        <f>IFERROR(E1874/F1874,0)</f>
        <v/>
      </c>
      <c r="H1874" s="3" t="n">
        <v>3</v>
      </c>
      <c r="I1874" s="2" t="n">
        <v>1</v>
      </c>
      <c r="J1874" s="3">
        <f>IFERROR(E1874/H1874,0)</f>
        <v/>
      </c>
      <c r="K1874" s="10">
        <f>E1874/'По разделам'!$B$21</f>
        <v/>
      </c>
      <c r="L1874" s="4">
        <f>L1873+K1874</f>
        <v/>
      </c>
      <c r="M1874" s="2" t="inlineStr">
        <is>
          <t>04612</t>
        </is>
      </c>
      <c r="N1874" s="2" t="inlineStr">
        <is>
          <t>https://app.redstat.kz/niche/04612?event_date=2026-08-01</t>
        </is>
      </c>
      <c r="O1874" s="2" t="inlineStr">
        <is>
          <t>https://kaspi.kz/shop/c/ultrasonic%20washing%20devices/</t>
        </is>
      </c>
    </row>
    <row r="1875">
      <c r="A1875" s="2" t="n">
        <v>1874</v>
      </c>
      <c r="B1875" s="2" t="inlineStr">
        <is>
          <t>Кисти для маникюра, щетки</t>
        </is>
      </c>
      <c r="C1875" s="2" t="inlineStr">
        <is>
          <t>Красота и здоровье</t>
        </is>
      </c>
      <c r="D1875" s="2" t="inlineStr">
        <is>
          <t>Красота и здоровье → Для маникюра и педикюра → Инструменты для маникюра и педикюра → Кисти для маникюра, щетки</t>
        </is>
      </c>
      <c r="E1875" s="3" t="n">
        <v>58988</v>
      </c>
      <c r="F1875" s="3" t="n">
        <v>69</v>
      </c>
      <c r="G1875" s="3">
        <f>IFERROR(E1875/F1875,0)</f>
        <v/>
      </c>
      <c r="H1875" s="3" t="n">
        <v>16</v>
      </c>
      <c r="I1875" s="2" t="n">
        <v>9</v>
      </c>
      <c r="J1875" s="3">
        <f>IFERROR(E1875/H1875,0)</f>
        <v/>
      </c>
      <c r="K1875" s="10">
        <f>E1875/'По разделам'!$B$21</f>
        <v/>
      </c>
      <c r="L1875" s="4">
        <f>L1874+K1875</f>
        <v/>
      </c>
      <c r="M1875" s="2" t="inlineStr">
        <is>
          <t>06567</t>
        </is>
      </c>
      <c r="N1875" s="2" t="inlineStr">
        <is>
          <t>https://app.redstat.kz/niche/06567?event_date=2026-08-01</t>
        </is>
      </c>
      <c r="O1875" s="2" t="inlineStr">
        <is>
          <t>https://kaspi.kz/shop/c/manicure%20brushes/</t>
        </is>
      </c>
    </row>
    <row r="1876">
      <c r="A1876" s="2" t="n">
        <v>1875</v>
      </c>
      <c r="B1876" s="2" t="inlineStr">
        <is>
          <t>Кейсы для аккумуляторов</t>
        </is>
      </c>
      <c r="C1876" s="2" t="inlineStr">
        <is>
          <t>ТВ, Аудио, Видео</t>
        </is>
      </c>
      <c r="D1876" s="2" t="inlineStr">
        <is>
          <t>ТВ, Аудио, Видео → Фото- и видеокамеры → Кейсы для аккумуляторов</t>
        </is>
      </c>
      <c r="E1876" s="3" t="n">
        <v>58243</v>
      </c>
      <c r="F1876" s="3" t="n">
        <v>19</v>
      </c>
      <c r="G1876" s="3">
        <f>IFERROR(E1876/F1876,0)</f>
        <v/>
      </c>
      <c r="H1876" s="3" t="n">
        <v>9</v>
      </c>
      <c r="I1876" s="2" t="n">
        <v>3</v>
      </c>
      <c r="J1876" s="3">
        <f>IFERROR(E1876/H1876,0)</f>
        <v/>
      </c>
      <c r="K1876" s="10">
        <f>E1876/'По разделам'!$B$21</f>
        <v/>
      </c>
      <c r="L1876" s="4">
        <f>L1875+K1876</f>
        <v/>
      </c>
      <c r="M1876" s="2" t="inlineStr">
        <is>
          <t>04520</t>
        </is>
      </c>
      <c r="N1876" s="2" t="inlineStr">
        <is>
          <t>https://app.redstat.kz/niche/04520?event_date=2026-08-01</t>
        </is>
      </c>
      <c r="O1876" s="2" t="inlineStr">
        <is>
          <t>https://kaspi.kz/shop/c/battery%20cases/</t>
        </is>
      </c>
    </row>
    <row r="1877">
      <c r="A1877" s="2" t="n">
        <v>1876</v>
      </c>
      <c r="B1877" s="2" t="inlineStr">
        <is>
          <t>Аксессуары для гладильных досок</t>
        </is>
      </c>
      <c r="C1877" s="2" t="inlineStr">
        <is>
          <t>Товары для дома и дачи</t>
        </is>
      </c>
      <c r="D1877" s="2" t="inlineStr">
        <is>
          <t>Товары для дома и дачи → Хозяйственные товары → Уход за одеждой → Аксессуары для гладильных досок</t>
        </is>
      </c>
      <c r="E1877" s="3" t="n">
        <v>58165</v>
      </c>
      <c r="F1877" s="3" t="n">
        <v>11</v>
      </c>
      <c r="G1877" s="3">
        <f>IFERROR(E1877/F1877,0)</f>
        <v/>
      </c>
      <c r="H1877" s="3" t="n">
        <v>5</v>
      </c>
      <c r="I1877" s="2" t="n">
        <v>3</v>
      </c>
      <c r="J1877" s="3">
        <f>IFERROR(E1877/H1877,0)</f>
        <v/>
      </c>
      <c r="K1877" s="10">
        <f>E1877/'По разделам'!$B$21</f>
        <v/>
      </c>
      <c r="L1877" s="4">
        <f>L1876+K1877</f>
        <v/>
      </c>
      <c r="M1877" s="2" t="inlineStr">
        <is>
          <t>03733</t>
        </is>
      </c>
      <c r="N1877" s="2" t="inlineStr">
        <is>
          <t>https://app.redstat.kz/niche/03733?event_date=2026-08-01</t>
        </is>
      </c>
      <c r="O1877" s="2" t="inlineStr">
        <is>
          <t>https://kaspi.kz/shop/c/ironing%20board%20covers/</t>
        </is>
      </c>
    </row>
    <row r="1878">
      <c r="A1878" s="2" t="n">
        <v>1877</v>
      </c>
      <c r="B1878" s="2" t="inlineStr">
        <is>
          <t>Автокондиционерные масла</t>
        </is>
      </c>
      <c r="C1878" s="2" t="inlineStr">
        <is>
          <t>Автотовары</t>
        </is>
      </c>
      <c r="D1878" s="2" t="inlineStr">
        <is>
          <t>Автотовары → Масла и технические жидкости → Автокондиционерные масла</t>
        </is>
      </c>
      <c r="E1878" s="3" t="n">
        <v>57690</v>
      </c>
      <c r="F1878" s="3" t="n">
        <v>4</v>
      </c>
      <c r="G1878" s="3">
        <f>IFERROR(E1878/F1878,0)</f>
        <v/>
      </c>
      <c r="H1878" s="3" t="n">
        <v>2</v>
      </c>
      <c r="I1878" s="2" t="n">
        <v>1</v>
      </c>
      <c r="J1878" s="3">
        <f>IFERROR(E1878/H1878,0)</f>
        <v/>
      </c>
      <c r="K1878" s="10">
        <f>E1878/'По разделам'!$B$21</f>
        <v/>
      </c>
      <c r="L1878" s="4">
        <f>L1877+K1878</f>
        <v/>
      </c>
      <c r="M1878" s="2" t="inlineStr">
        <is>
          <t>07140</t>
        </is>
      </c>
      <c r="N1878" s="2" t="inlineStr">
        <is>
          <t>https://app.redstat.kz/niche/07140?event_date=2026-08-01</t>
        </is>
      </c>
      <c r="O1878" s="2" t="inlineStr">
        <is>
          <t>https://kaspi.kz/shop/c/automotive%20conditioning%20oils/</t>
        </is>
      </c>
    </row>
    <row r="1879">
      <c r="A1879" s="2" t="n">
        <v>1878</v>
      </c>
      <c r="B1879" s="2" t="inlineStr">
        <is>
          <t>Дымоходы для систем отопления</t>
        </is>
      </c>
      <c r="C1879" s="2" t="inlineStr">
        <is>
          <t>Строительство, ремонт</t>
        </is>
      </c>
      <c r="D1879" s="2" t="inlineStr">
        <is>
          <t>Строительство, ремонт → Системы отопления → Отопительные котлы, оборудование для котельных → Дымоходы для систем отопления</t>
        </is>
      </c>
      <c r="E1879" s="3" t="n">
        <v>55800</v>
      </c>
      <c r="F1879" s="3" t="n">
        <v>5</v>
      </c>
      <c r="G1879" s="3">
        <f>IFERROR(E1879/F1879,0)</f>
        <v/>
      </c>
      <c r="H1879" s="3" t="n">
        <v>2</v>
      </c>
      <c r="I1879" s="2" t="n">
        <v>0</v>
      </c>
      <c r="J1879" s="3">
        <f>IFERROR(E1879/H1879,0)</f>
        <v/>
      </c>
      <c r="K1879" s="10">
        <f>E1879/'По разделам'!$B$21</f>
        <v/>
      </c>
      <c r="L1879" s="4">
        <f>L1878+K1879</f>
        <v/>
      </c>
      <c r="M1879" s="2" t="inlineStr">
        <is>
          <t>04325</t>
        </is>
      </c>
      <c r="N1879" s="2" t="inlineStr">
        <is>
          <t>https://app.redstat.kz/niche/04325?event_date=2026-08-01</t>
        </is>
      </c>
      <c r="O1879" s="2" t="inlineStr">
        <is>
          <t>https://kaspi.kz/shop/c/chimneys%20for%20boilers/</t>
        </is>
      </c>
    </row>
    <row r="1880">
      <c r="A1880" s="2" t="n">
        <v>1879</v>
      </c>
      <c r="B1880" s="2" t="inlineStr">
        <is>
          <t>Мантоварки и пароварки</t>
        </is>
      </c>
      <c r="C1880" s="2" t="inlineStr">
        <is>
          <t>Товары для дома и дачи</t>
        </is>
      </c>
      <c r="D1880" s="2" t="inlineStr">
        <is>
          <t>Товары для дома и дачи → Посуда и принадлежности → Посуда для приготовления → Мантоварки и пароварки</t>
        </is>
      </c>
      <c r="E1880" s="3" t="n">
        <v>54999</v>
      </c>
      <c r="F1880" s="3" t="n">
        <v>2</v>
      </c>
      <c r="G1880" s="3">
        <f>IFERROR(E1880/F1880,0)</f>
        <v/>
      </c>
      <c r="H1880" s="3" t="n">
        <v>2</v>
      </c>
      <c r="I1880" s="2" t="n">
        <v>2</v>
      </c>
      <c r="J1880" s="3">
        <f>IFERROR(E1880/H1880,0)</f>
        <v/>
      </c>
      <c r="K1880" s="10">
        <f>E1880/'По разделам'!$B$21</f>
        <v/>
      </c>
      <c r="L1880" s="4">
        <f>L1879+K1880</f>
        <v/>
      </c>
      <c r="M1880" s="2" t="inlineStr">
        <is>
          <t>09136</t>
        </is>
      </c>
      <c r="N1880" s="2" t="inlineStr">
        <is>
          <t>https://app.redstat.kz/niche/09136?event_date=2026-08-01</t>
        </is>
      </c>
      <c r="O1880" s="2" t="inlineStr">
        <is>
          <t>https://kaspi.kz/shop/c/mantovarks%20and%20steamers/</t>
        </is>
      </c>
    </row>
    <row r="1881">
      <c r="A1881" s="2" t="n">
        <v>1880</v>
      </c>
      <c r="B1881" s="2" t="inlineStr">
        <is>
          <t>Уголки и профили отделочные</t>
        </is>
      </c>
      <c r="C1881" s="2" t="inlineStr">
        <is>
          <t>Строительство, ремонт</t>
        </is>
      </c>
      <c r="D1881" s="2" t="inlineStr">
        <is>
          <t>Строительство, ремонт → Отделочные материалы → Отделка стен → Уголки и профили отделочные</t>
        </is>
      </c>
      <c r="E1881" s="3" t="n">
        <v>54400</v>
      </c>
      <c r="F1881" s="3" t="n">
        <v>2</v>
      </c>
      <c r="G1881" s="3">
        <f>IFERROR(E1881/F1881,0)</f>
        <v/>
      </c>
      <c r="H1881" s="3" t="n">
        <v>2</v>
      </c>
      <c r="I1881" s="2" t="n">
        <v>1</v>
      </c>
      <c r="J1881" s="3">
        <f>IFERROR(E1881/H1881,0)</f>
        <v/>
      </c>
      <c r="K1881" s="10">
        <f>E1881/'По разделам'!$B$21</f>
        <v/>
      </c>
      <c r="L1881" s="4">
        <f>L1880+K1881</f>
        <v/>
      </c>
      <c r="M1881" s="2" t="inlineStr">
        <is>
          <t>06536</t>
        </is>
      </c>
      <c r="N1881" s="2" t="inlineStr">
        <is>
          <t>https://app.redstat.kz/niche/06536?event_date=2026-08-01</t>
        </is>
      </c>
      <c r="O1881" s="2" t="inlineStr">
        <is>
          <t>https://kaspi.kz/shop/c/finishing%20corners/</t>
        </is>
      </c>
    </row>
    <row r="1882">
      <c r="A1882" s="2" t="n">
        <v>1881</v>
      </c>
      <c r="B1882" s="2" t="inlineStr">
        <is>
          <t>Доски для гаданий и спиритических сеансов</t>
        </is>
      </c>
      <c r="C1882" s="2" t="inlineStr">
        <is>
          <t>Досуг, книги</t>
        </is>
      </c>
      <c r="D1882" s="2" t="inlineStr">
        <is>
          <t>Досуг, книги → Гадания и эзотерика → Доски для гаданий и спиритических сеансов</t>
        </is>
      </c>
      <c r="E1882" s="3" t="n">
        <v>54237</v>
      </c>
      <c r="F1882" s="3" t="n">
        <v>8</v>
      </c>
      <c r="G1882" s="3">
        <f>IFERROR(E1882/F1882,0)</f>
        <v/>
      </c>
      <c r="H1882" s="3" t="n">
        <v>6</v>
      </c>
      <c r="I1882" s="2" t="n">
        <v>1</v>
      </c>
      <c r="J1882" s="3">
        <f>IFERROR(E1882/H1882,0)</f>
        <v/>
      </c>
      <c r="K1882" s="10">
        <f>E1882/'По разделам'!$B$21</f>
        <v/>
      </c>
      <c r="L1882" s="4">
        <f>L1881+K1882</f>
        <v/>
      </c>
      <c r="M1882" s="2" t="inlineStr">
        <is>
          <t>06638</t>
        </is>
      </c>
      <c r="N1882" s="2" t="inlineStr">
        <is>
          <t>https://app.redstat.kz/niche/06638?event_date=2026-08-01</t>
        </is>
      </c>
      <c r="O1882" s="2" t="inlineStr">
        <is>
          <t>https://kaspi.kz/shop/c/ouija%20boards/</t>
        </is>
      </c>
    </row>
    <row r="1883">
      <c r="A1883" s="2" t="n">
        <v>1882</v>
      </c>
      <c r="B1883" s="2" t="inlineStr">
        <is>
          <t>Свечи для дома</t>
        </is>
      </c>
      <c r="C1883" s="2" t="inlineStr">
        <is>
          <t>Товары для дома и дачи</t>
        </is>
      </c>
      <c r="D1883" s="2" t="inlineStr">
        <is>
          <t>Товары для дома и дачи → Интерьер → Свечи и подсвечники → Свечи для дома</t>
        </is>
      </c>
      <c r="E1883" s="3" t="n">
        <v>53156</v>
      </c>
      <c r="F1883" s="3" t="n">
        <v>32</v>
      </c>
      <c r="G1883" s="3">
        <f>IFERROR(E1883/F1883,0)</f>
        <v/>
      </c>
      <c r="H1883" s="3" t="n">
        <v>17</v>
      </c>
      <c r="I1883" s="2" t="n">
        <v>8</v>
      </c>
      <c r="J1883" s="3">
        <f>IFERROR(E1883/H1883,0)</f>
        <v/>
      </c>
      <c r="K1883" s="10">
        <f>E1883/'По разделам'!$B$21</f>
        <v/>
      </c>
      <c r="L1883" s="4">
        <f>L1882+K1883</f>
        <v/>
      </c>
      <c r="M1883" s="2" t="inlineStr">
        <is>
          <t>02585</t>
        </is>
      </c>
      <c r="N1883" s="2" t="inlineStr">
        <is>
          <t>https://app.redstat.kz/niche/02585?event_date=2026-08-01</t>
        </is>
      </c>
      <c r="O1883" s="2" t="inlineStr">
        <is>
          <t>https://kaspi.kz/shop/c/candles/</t>
        </is>
      </c>
    </row>
    <row r="1884">
      <c r="A1884" s="2" t="n">
        <v>1883</v>
      </c>
      <c r="B1884" s="2" t="inlineStr">
        <is>
          <t>Тюли и гардины</t>
        </is>
      </c>
      <c r="C1884" s="2" t="inlineStr">
        <is>
          <t>Товары для дома и дачи</t>
        </is>
      </c>
      <c r="D1884" s="2" t="inlineStr">
        <is>
          <t>Товары для дома и дачи → Домашний текстиль → Шторы и карнизы → Тюли и гардины</t>
        </is>
      </c>
      <c r="E1884" s="3" t="n">
        <v>52984</v>
      </c>
      <c r="F1884" s="3" t="n">
        <v>7</v>
      </c>
      <c r="G1884" s="3">
        <f>IFERROR(E1884/F1884,0)</f>
        <v/>
      </c>
      <c r="H1884" s="3" t="n">
        <v>7</v>
      </c>
      <c r="I1884" s="2" t="n">
        <v>2</v>
      </c>
      <c r="J1884" s="3">
        <f>IFERROR(E1884/H1884,0)</f>
        <v/>
      </c>
      <c r="K1884" s="10">
        <f>E1884/'По разделам'!$B$21</f>
        <v/>
      </c>
      <c r="L1884" s="4">
        <f>L1883+K1884</f>
        <v/>
      </c>
      <c r="M1884" s="2" t="inlineStr">
        <is>
          <t>09288</t>
        </is>
      </c>
      <c r="N1884" s="2" t="inlineStr">
        <is>
          <t>https://app.redstat.kz/niche/09288?event_date=2026-08-01</t>
        </is>
      </c>
      <c r="O1884" s="2" t="inlineStr">
        <is>
          <t>https://kaspi.kz/shop/c/tulles%20and%20curtains/</t>
        </is>
      </c>
    </row>
    <row r="1885">
      <c r="A1885" s="2" t="n">
        <v>1884</v>
      </c>
      <c r="B1885" s="2" t="inlineStr">
        <is>
          <t>Садовые ножницы</t>
        </is>
      </c>
      <c r="C1885" s="2" t="inlineStr">
        <is>
          <t>Товары для дома и дачи</t>
        </is>
      </c>
      <c r="D1885" s="2" t="inlineStr">
        <is>
          <t>Товары для дома и дачи → Дача, сад и огород → Садовые инструменты → Садовые ножницы</t>
        </is>
      </c>
      <c r="E1885" s="3" t="n">
        <v>52530</v>
      </c>
      <c r="F1885" s="3" t="n">
        <v>3</v>
      </c>
      <c r="G1885" s="3">
        <f>IFERROR(E1885/F1885,0)</f>
        <v/>
      </c>
      <c r="H1885" s="3" t="n">
        <v>2</v>
      </c>
      <c r="I1885" s="2" t="n">
        <v>1</v>
      </c>
      <c r="J1885" s="3">
        <f>IFERROR(E1885/H1885,0)</f>
        <v/>
      </c>
      <c r="K1885" s="10">
        <f>E1885/'По разделам'!$B$21</f>
        <v/>
      </c>
      <c r="L1885" s="4">
        <f>L1884+K1885</f>
        <v/>
      </c>
      <c r="M1885" s="2" t="inlineStr">
        <is>
          <t>03367</t>
        </is>
      </c>
      <c r="N1885" s="2" t="inlineStr">
        <is>
          <t>https://app.redstat.kz/niche/03367?event_date=2026-08-01</t>
        </is>
      </c>
      <c r="O1885" s="2" t="inlineStr">
        <is>
          <t>https://kaspi.kz/shop/c/gardening%20scissors/</t>
        </is>
      </c>
    </row>
    <row r="1886">
      <c r="A1886" s="2" t="n">
        <v>1885</v>
      </c>
      <c r="B1886" s="2" t="inlineStr">
        <is>
          <t>Клавиатуры для ноутбуков</t>
        </is>
      </c>
      <c r="C1886" s="2" t="inlineStr">
        <is>
          <t>Компьютеры</t>
        </is>
      </c>
      <c r="D1886" s="2" t="inlineStr">
        <is>
          <t>Компьютеры → Ноутбуки и аксессуары → Аксессуары для ноутбуков → Клавиатуры для ноутбуков</t>
        </is>
      </c>
      <c r="E1886" s="3" t="n">
        <v>51499</v>
      </c>
      <c r="F1886" s="3" t="n">
        <v>7</v>
      </c>
      <c r="G1886" s="3">
        <f>IFERROR(E1886/F1886,0)</f>
        <v/>
      </c>
      <c r="H1886" s="3" t="n">
        <v>6</v>
      </c>
      <c r="I1886" s="2" t="n">
        <v>1</v>
      </c>
      <c r="J1886" s="3">
        <f>IFERROR(E1886/H1886,0)</f>
        <v/>
      </c>
      <c r="K1886" s="10">
        <f>E1886/'По разделам'!$B$21</f>
        <v/>
      </c>
      <c r="L1886" s="4">
        <f>L1885+K1886</f>
        <v/>
      </c>
      <c r="M1886" s="2" t="inlineStr">
        <is>
          <t>06189</t>
        </is>
      </c>
      <c r="N1886" s="2" t="inlineStr">
        <is>
          <t>https://app.redstat.kz/niche/06189?event_date=2026-08-01</t>
        </is>
      </c>
      <c r="O1886" s="2" t="inlineStr">
        <is>
          <t>https://kaspi.kz/shop/c/keyboards%20for%20laptops/</t>
        </is>
      </c>
    </row>
    <row r="1887">
      <c r="A1887" s="2" t="n">
        <v>1886</v>
      </c>
      <c r="B1887" s="2" t="inlineStr">
        <is>
          <t>Элементы сцепления</t>
        </is>
      </c>
      <c r="C1887" s="2" t="inlineStr">
        <is>
          <t>Автотовары</t>
        </is>
      </c>
      <c r="D1887" s="2" t="inlineStr">
        <is>
          <t>Автотовары → Автозапчасти → Трансмиссия → Элементы сцепления</t>
        </is>
      </c>
      <c r="E1887" s="3" t="n">
        <v>49999</v>
      </c>
      <c r="F1887" s="3" t="n">
        <v>1</v>
      </c>
      <c r="G1887" s="3">
        <f>IFERROR(E1887/F1887,0)</f>
        <v/>
      </c>
      <c r="H1887" s="3" t="n">
        <v>1</v>
      </c>
      <c r="I1887" s="2" t="n">
        <v>1</v>
      </c>
      <c r="J1887" s="3">
        <f>IFERROR(E1887/H1887,0)</f>
        <v/>
      </c>
      <c r="K1887" s="10">
        <f>E1887/'По разделам'!$B$21</f>
        <v/>
      </c>
      <c r="L1887" s="4">
        <f>L1886+K1887</f>
        <v/>
      </c>
      <c r="M1887" s="2" t="inlineStr">
        <is>
          <t>07046</t>
        </is>
      </c>
      <c r="N1887" s="2" t="inlineStr">
        <is>
          <t>https://app.redstat.kz/niche/07046?event_date=2026-08-01</t>
        </is>
      </c>
      <c r="O1887" s="2" t="inlineStr">
        <is>
          <t>https://kaspi.kz/shop/c/clutch%20elements/</t>
        </is>
      </c>
    </row>
    <row r="1888">
      <c r="A1888" s="2" t="n">
        <v>1887</v>
      </c>
      <c r="B1888" s="2" t="inlineStr">
        <is>
          <t>Модули для микрокомпьютеров</t>
        </is>
      </c>
      <c r="C1888" s="2" t="inlineStr">
        <is>
          <t>Компьютеры</t>
        </is>
      </c>
      <c r="D1888" s="2" t="inlineStr">
        <is>
          <t>Компьютеры → Периферия → Другая периферия → Микрокомпьютеры и аксессуары → Модули для микрокомпьютеров</t>
        </is>
      </c>
      <c r="E1888" s="3" t="n">
        <v>49432</v>
      </c>
      <c r="F1888" s="3" t="n">
        <v>15</v>
      </c>
      <c r="G1888" s="3">
        <f>IFERROR(E1888/F1888,0)</f>
        <v/>
      </c>
      <c r="H1888" s="3" t="n">
        <v>11</v>
      </c>
      <c r="I1888" s="2" t="n">
        <v>1</v>
      </c>
      <c r="J1888" s="3">
        <f>IFERROR(E1888/H1888,0)</f>
        <v/>
      </c>
      <c r="K1888" s="10">
        <f>E1888/'По разделам'!$B$21</f>
        <v/>
      </c>
      <c r="L1888" s="4">
        <f>L1887+K1888</f>
        <v/>
      </c>
      <c r="M1888" s="2" t="inlineStr">
        <is>
          <t>05642</t>
        </is>
      </c>
      <c r="N1888" s="2" t="inlineStr">
        <is>
          <t>https://app.redstat.kz/niche/05642?event_date=2026-08-01</t>
        </is>
      </c>
      <c r="O1888" s="2" t="inlineStr">
        <is>
          <t>https://kaspi.kz/shop/c/microcomputer%20modules/</t>
        </is>
      </c>
    </row>
    <row r="1889">
      <c r="A1889" s="2" t="n">
        <v>1888</v>
      </c>
      <c r="B1889" s="2" t="inlineStr">
        <is>
          <t>Визоры для велосипедных шлемов</t>
        </is>
      </c>
      <c r="C1889" s="2" t="inlineStr">
        <is>
          <t>Спорт, туризм</t>
        </is>
      </c>
      <c r="D1889" s="2" t="inlineStr">
        <is>
          <t>Спорт, туризм → Велоспорт → Визоры для велосипедных шлемов</t>
        </is>
      </c>
      <c r="E1889" s="3" t="n">
        <v>49000</v>
      </c>
      <c r="F1889" s="3" t="n">
        <v>2</v>
      </c>
      <c r="G1889" s="3">
        <f>IFERROR(E1889/F1889,0)</f>
        <v/>
      </c>
      <c r="H1889" s="3" t="n">
        <v>2</v>
      </c>
      <c r="I1889" s="2" t="n">
        <v>2</v>
      </c>
      <c r="J1889" s="3">
        <f>IFERROR(E1889/H1889,0)</f>
        <v/>
      </c>
      <c r="K1889" s="10">
        <f>E1889/'По разделам'!$B$21</f>
        <v/>
      </c>
      <c r="L1889" s="4">
        <f>L1888+K1889</f>
        <v/>
      </c>
      <c r="M1889" s="2" t="inlineStr">
        <is>
          <t>09331</t>
        </is>
      </c>
      <c r="N1889" s="2" t="inlineStr">
        <is>
          <t>https://app.redstat.kz/niche/09331?event_date=2026-08-01</t>
        </is>
      </c>
      <c r="O1889" s="2" t="inlineStr">
        <is>
          <t>https://kaspi.kz/shop/search/?text=%D0%92%D0%B8%D0%B7%D0%BE%D1%80%D1%8B%20%D0%B4%D0%BB%D1%8F%20%D0%B2%D0%B5%D0%BB%D0%BE%D1%81%D0%B8%D0%BF%D0%B5%D0%B4%D0%BD%D1%8B%D1%85%20%D1%88%D0%BB%D0%B5%D0%BC%D0%BE%D0%B2</t>
        </is>
      </c>
    </row>
    <row r="1890">
      <c r="A1890" s="2" t="n">
        <v>1889</v>
      </c>
      <c r="B1890" s="2" t="inlineStr">
        <is>
          <t>Дверные доводчики</t>
        </is>
      </c>
      <c r="C1890" s="2" t="inlineStr">
        <is>
          <t>Строительство, ремонт</t>
        </is>
      </c>
      <c r="D1890" s="2" t="inlineStr">
        <is>
          <t>Строительство, ремонт → Двери, окна, лестницы → Двери → Ручки, замки и фурнитура для дверей → Дверные доводчики</t>
        </is>
      </c>
      <c r="E1890" s="3" t="n">
        <v>48995</v>
      </c>
      <c r="F1890" s="3" t="n">
        <v>2</v>
      </c>
      <c r="G1890" s="3">
        <f>IFERROR(E1890/F1890,0)</f>
        <v/>
      </c>
      <c r="H1890" s="3" t="n">
        <v>2</v>
      </c>
      <c r="I1890" s="2" t="n">
        <v>1</v>
      </c>
      <c r="J1890" s="3">
        <f>IFERROR(E1890/H1890,0)</f>
        <v/>
      </c>
      <c r="K1890" s="10">
        <f>E1890/'По разделам'!$B$21</f>
        <v/>
      </c>
      <c r="L1890" s="4">
        <f>L1889+K1890</f>
        <v/>
      </c>
      <c r="M1890" s="2" t="inlineStr">
        <is>
          <t>04491</t>
        </is>
      </c>
      <c r="N1890" s="2" t="inlineStr">
        <is>
          <t>https://app.redstat.kz/niche/04491?event_date=2026-08-01</t>
        </is>
      </c>
      <c r="O1890" s="2" t="inlineStr">
        <is>
          <t>https://kaspi.kz/shop/c/door%20closers/</t>
        </is>
      </c>
    </row>
    <row r="1891">
      <c r="A1891" s="2" t="n">
        <v>1890</v>
      </c>
      <c r="B1891" s="2" t="inlineStr">
        <is>
          <t>Гимнастические накладки</t>
        </is>
      </c>
      <c r="C1891" s="2" t="inlineStr">
        <is>
          <t>Спорт, туризм</t>
        </is>
      </c>
      <c r="D1891" s="2" t="inlineStr">
        <is>
          <t>Спорт, туризм → Пауэрлифтинг → Гимнастические накладки</t>
        </is>
      </c>
      <c r="E1891" s="3" t="n">
        <v>48990</v>
      </c>
      <c r="F1891" s="3" t="n">
        <v>2</v>
      </c>
      <c r="G1891" s="3">
        <f>IFERROR(E1891/F1891,0)</f>
        <v/>
      </c>
      <c r="H1891" s="3" t="n">
        <v>2</v>
      </c>
      <c r="I1891" s="2" t="n">
        <v>2</v>
      </c>
      <c r="J1891" s="3">
        <f>IFERROR(E1891/H1891,0)</f>
        <v/>
      </c>
      <c r="K1891" s="10">
        <f>E1891/'По разделам'!$B$21</f>
        <v/>
      </c>
      <c r="L1891" s="4">
        <f>L1890+K1891</f>
        <v/>
      </c>
      <c r="M1891" s="2" t="inlineStr">
        <is>
          <t>04685</t>
        </is>
      </c>
      <c r="N1891" s="2" t="inlineStr">
        <is>
          <t>https://app.redstat.kz/niche/04685?event_date=2026-08-01</t>
        </is>
      </c>
      <c r="O1891" s="2" t="inlineStr">
        <is>
          <t>https://kaspi.kz/shop/c/gymnastic%20pads/</t>
        </is>
      </c>
    </row>
    <row r="1892">
      <c r="A1892" s="2" t="n">
        <v>1891</v>
      </c>
      <c r="B1892" s="2" t="inlineStr">
        <is>
          <t>Рожковые, накидные и комбинированные ключи</t>
        </is>
      </c>
      <c r="C1892" s="2" t="inlineStr">
        <is>
          <t>Строительство, ремонт</t>
        </is>
      </c>
      <c r="D1892" s="2" t="inlineStr">
        <is>
          <t>Строительство, ремонт → Ручные инструменты → Ключи и трещотки → Рожковые, накидные и комбинированные ключи</t>
        </is>
      </c>
      <c r="E1892" s="3" t="n">
        <v>48389</v>
      </c>
      <c r="F1892" s="3" t="n">
        <v>36</v>
      </c>
      <c r="G1892" s="3">
        <f>IFERROR(E1892/F1892,0)</f>
        <v/>
      </c>
      <c r="H1892" s="3" t="n">
        <v>15</v>
      </c>
      <c r="I1892" s="2" t="n">
        <v>11</v>
      </c>
      <c r="J1892" s="3">
        <f>IFERROR(E1892/H1892,0)</f>
        <v/>
      </c>
      <c r="K1892" s="10">
        <f>E1892/'По разделам'!$B$21</f>
        <v/>
      </c>
      <c r="L1892" s="4">
        <f>L1891+K1892</f>
        <v/>
      </c>
      <c r="M1892" s="2" t="inlineStr">
        <is>
          <t>03195</t>
        </is>
      </c>
      <c r="N1892" s="2" t="inlineStr">
        <is>
          <t>https://app.redstat.kz/niche/03195?event_date=2026-08-01</t>
        </is>
      </c>
      <c r="O1892" s="2" t="inlineStr">
        <is>
          <t>https://kaspi.kz/shop/c/spanners/</t>
        </is>
      </c>
    </row>
    <row r="1893">
      <c r="A1893" s="2" t="n">
        <v>1892</v>
      </c>
      <c r="B1893" s="2" t="inlineStr">
        <is>
          <t>Визитницы</t>
        </is>
      </c>
      <c r="C1893" s="2" t="inlineStr">
        <is>
          <t>Канцелярские товары</t>
        </is>
      </c>
      <c r="D1893" s="2" t="inlineStr">
        <is>
          <t>Канцелярские товары → Торговые и рекламные принадлежности → Визитницы</t>
        </is>
      </c>
      <c r="E1893" s="3" t="n">
        <v>48101</v>
      </c>
      <c r="F1893" s="3" t="n">
        <v>7</v>
      </c>
      <c r="G1893" s="3">
        <f>IFERROR(E1893/F1893,0)</f>
        <v/>
      </c>
      <c r="H1893" s="3" t="n">
        <v>3</v>
      </c>
      <c r="I1893" s="2" t="n">
        <v>1</v>
      </c>
      <c r="J1893" s="3">
        <f>IFERROR(E1893/H1893,0)</f>
        <v/>
      </c>
      <c r="K1893" s="10">
        <f>E1893/'По разделам'!$B$21</f>
        <v/>
      </c>
      <c r="L1893" s="4">
        <f>L1892+K1893</f>
        <v/>
      </c>
      <c r="M1893" s="2" t="inlineStr">
        <is>
          <t>05009</t>
        </is>
      </c>
      <c r="N1893" s="2" t="inlineStr">
        <is>
          <t>https://app.redstat.kz/niche/05009?event_date=2026-08-01</t>
        </is>
      </c>
      <c r="O1893" s="2" t="inlineStr">
        <is>
          <t>https://kaspi.kz/shop/c/information%20desks/</t>
        </is>
      </c>
    </row>
    <row r="1894">
      <c r="A1894" s="2" t="n">
        <v>1893</v>
      </c>
      <c r="B1894" s="2" t="inlineStr">
        <is>
          <t>Стартеры</t>
        </is>
      </c>
      <c r="C1894" s="2" t="inlineStr">
        <is>
          <t>Автотовары</t>
        </is>
      </c>
      <c r="D1894" s="2" t="inlineStr">
        <is>
          <t>Автотовары → Автозапчасти → Автоэлектрика → Стартеры и комплектующие → Стартеры</t>
        </is>
      </c>
      <c r="E1894" s="3" t="n">
        <v>48000</v>
      </c>
      <c r="F1894" s="3" t="n">
        <v>2</v>
      </c>
      <c r="G1894" s="3">
        <f>IFERROR(E1894/F1894,0)</f>
        <v/>
      </c>
      <c r="H1894" s="3" t="n">
        <v>2</v>
      </c>
      <c r="I1894" s="2" t="n">
        <v>2</v>
      </c>
      <c r="J1894" s="3">
        <f>IFERROR(E1894/H1894,0)</f>
        <v/>
      </c>
      <c r="K1894" s="10">
        <f>E1894/'По разделам'!$B$21</f>
        <v/>
      </c>
      <c r="L1894" s="4">
        <f>L1893+K1894</f>
        <v/>
      </c>
      <c r="M1894" s="2" t="inlineStr">
        <is>
          <t>02622</t>
        </is>
      </c>
      <c r="N1894" s="2" t="inlineStr">
        <is>
          <t>https://app.redstat.kz/niche/02622?event_date=2026-08-01</t>
        </is>
      </c>
      <c r="O1894" s="2" t="inlineStr">
        <is>
          <t>https://kaspi.kz/shop/c/starters/</t>
        </is>
      </c>
    </row>
    <row r="1895">
      <c r="A1895" s="2" t="n">
        <v>1894</v>
      </c>
      <c r="B1895" s="2" t="inlineStr">
        <is>
          <t>Элементы системы охлаждения</t>
        </is>
      </c>
      <c r="C1895" s="2" t="inlineStr">
        <is>
          <t>Автотовары</t>
        </is>
      </c>
      <c r="D1895" s="2" t="inlineStr">
        <is>
          <t>Автотовары → Автозапчасти → Система охлаждения → Элементы системы охлаждения</t>
        </is>
      </c>
      <c r="E1895" s="3" t="n">
        <v>47440</v>
      </c>
      <c r="F1895" s="3" t="n">
        <v>4</v>
      </c>
      <c r="G1895" s="3">
        <f>IFERROR(E1895/F1895,0)</f>
        <v/>
      </c>
      <c r="H1895" s="3" t="n">
        <v>3</v>
      </c>
      <c r="I1895" s="2" t="n">
        <v>3</v>
      </c>
      <c r="J1895" s="3">
        <f>IFERROR(E1895/H1895,0)</f>
        <v/>
      </c>
      <c r="K1895" s="10">
        <f>E1895/'По разделам'!$B$21</f>
        <v/>
      </c>
      <c r="L1895" s="4">
        <f>L1894+K1895</f>
        <v/>
      </c>
      <c r="M1895" s="2" t="inlineStr">
        <is>
          <t>07041</t>
        </is>
      </c>
      <c r="N1895" s="2" t="inlineStr">
        <is>
          <t>https://app.redstat.kz/niche/07041?event_date=2026-08-01</t>
        </is>
      </c>
      <c r="O1895" s="2" t="inlineStr">
        <is>
          <t>https://kaspi.kz/shop/c/elements%20of%20the%20cooling%20system/</t>
        </is>
      </c>
    </row>
    <row r="1896">
      <c r="A1896" s="2" t="n">
        <v>1895</v>
      </c>
      <c r="B1896" s="2" t="inlineStr">
        <is>
          <t>Подхваты для штор</t>
        </is>
      </c>
      <c r="C1896" s="2" t="inlineStr">
        <is>
          <t>Товары для дома и дачи</t>
        </is>
      </c>
      <c r="D1896" s="2" t="inlineStr">
        <is>
          <t>Товары для дома и дачи → Домашний текстиль → Шторы и карнизы → Аксессуары для штор → Подхваты для штор</t>
        </is>
      </c>
      <c r="E1896" s="3" t="n">
        <v>47373</v>
      </c>
      <c r="F1896" s="3" t="n">
        <v>13</v>
      </c>
      <c r="G1896" s="3">
        <f>IFERROR(E1896/F1896,0)</f>
        <v/>
      </c>
      <c r="H1896" s="3" t="n">
        <v>8</v>
      </c>
      <c r="I1896" s="2" t="n">
        <v>3</v>
      </c>
      <c r="J1896" s="3">
        <f>IFERROR(E1896/H1896,0)</f>
        <v/>
      </c>
      <c r="K1896" s="10">
        <f>E1896/'По разделам'!$B$21</f>
        <v/>
      </c>
      <c r="L1896" s="4">
        <f>L1895+K1896</f>
        <v/>
      </c>
      <c r="M1896" s="2" t="inlineStr">
        <is>
          <t>05071</t>
        </is>
      </c>
      <c r="N1896" s="2" t="inlineStr">
        <is>
          <t>https://app.redstat.kz/niche/05071?event_date=2026-08-01</t>
        </is>
      </c>
      <c r="O1896" s="2" t="inlineStr">
        <is>
          <t>https://kaspi.kz/shop/c/tiebacks%20for%20curtains/</t>
        </is>
      </c>
    </row>
    <row r="1897">
      <c r="A1897" s="2" t="n">
        <v>1896</v>
      </c>
      <c r="B1897" s="2" t="inlineStr">
        <is>
          <t>Комплектующие для кондиционеров</t>
        </is>
      </c>
      <c r="C1897" s="2" t="inlineStr">
        <is>
          <t>Бытовая техника</t>
        </is>
      </c>
      <c r="D1897" s="2" t="inlineStr">
        <is>
          <t>Бытовая техника → Климатическая техника → Комплектующие для климатической техники → Комплектующие для кондиционеров</t>
        </is>
      </c>
      <c r="E1897" s="3" t="n">
        <v>47270</v>
      </c>
      <c r="F1897" s="3" t="n">
        <v>5</v>
      </c>
      <c r="G1897" s="3">
        <f>IFERROR(E1897/F1897,0)</f>
        <v/>
      </c>
      <c r="H1897" s="3" t="n">
        <v>5</v>
      </c>
      <c r="I1897" s="2" t="n">
        <v>3</v>
      </c>
      <c r="J1897" s="3">
        <f>IFERROR(E1897/H1897,0)</f>
        <v/>
      </c>
      <c r="K1897" s="10">
        <f>E1897/'По разделам'!$B$21</f>
        <v/>
      </c>
      <c r="L1897" s="4">
        <f>L1896+K1897</f>
        <v/>
      </c>
      <c r="M1897" s="2" t="inlineStr">
        <is>
          <t>03639</t>
        </is>
      </c>
      <c r="N1897" s="2" t="inlineStr">
        <is>
          <t>https://app.redstat.kz/niche/03639?event_date=2026-08-01</t>
        </is>
      </c>
      <c r="O1897" s="2" t="inlineStr">
        <is>
          <t>https://kaspi.kz/shop/c/air%20conditioner%20accessories/</t>
        </is>
      </c>
    </row>
    <row r="1898">
      <c r="A1898" s="2" t="n">
        <v>1897</v>
      </c>
      <c r="B1898" s="2" t="inlineStr">
        <is>
          <t>Наборы мелкоофисных принадлежностей</t>
        </is>
      </c>
      <c r="C1898" s="2" t="inlineStr">
        <is>
          <t>Канцелярские товары</t>
        </is>
      </c>
      <c r="D1898" s="2" t="inlineStr">
        <is>
          <t>Канцелярские товары → Мелкоофисные принадлежности → Наборы мелкоофисных принадлежностей</t>
        </is>
      </c>
      <c r="E1898" s="3" t="n">
        <v>47091</v>
      </c>
      <c r="F1898" s="3" t="n">
        <v>51</v>
      </c>
      <c r="G1898" s="3">
        <f>IFERROR(E1898/F1898,0)</f>
        <v/>
      </c>
      <c r="H1898" s="3" t="n">
        <v>4</v>
      </c>
      <c r="I1898" s="2" t="n">
        <v>3</v>
      </c>
      <c r="J1898" s="3">
        <f>IFERROR(E1898/H1898,0)</f>
        <v/>
      </c>
      <c r="K1898" s="10">
        <f>E1898/'По разделам'!$B$21</f>
        <v/>
      </c>
      <c r="L1898" s="4">
        <f>L1897+K1898</f>
        <v/>
      </c>
      <c r="M1898" s="2" t="inlineStr">
        <is>
          <t>04271</t>
        </is>
      </c>
      <c r="N1898" s="2" t="inlineStr">
        <is>
          <t>https://app.redstat.kz/niche/04271?event_date=2026-08-01</t>
        </is>
      </c>
      <c r="O1898" s="2" t="inlineStr">
        <is>
          <t>https://kaspi.kz/shop/c/office%20stationery%20sets/</t>
        </is>
      </c>
    </row>
    <row r="1899">
      <c r="A1899" s="2" t="n">
        <v>1898</v>
      </c>
      <c r="B1899" s="2" t="inlineStr">
        <is>
          <t>Инструменты для ремонта зимнего снаряжения</t>
        </is>
      </c>
      <c r="C1899" s="2" t="inlineStr">
        <is>
          <t>Спорт, туризм</t>
        </is>
      </c>
      <c r="D1899" s="2" t="inlineStr">
        <is>
          <t>Спорт, туризм → Зимний спорт → Инструменты для ремонта зимнего снаряжения</t>
        </is>
      </c>
      <c r="E1899" s="3" t="n">
        <v>46689</v>
      </c>
      <c r="F1899" s="3" t="n">
        <v>9</v>
      </c>
      <c r="G1899" s="3">
        <f>IFERROR(E1899/F1899,0)</f>
        <v/>
      </c>
      <c r="H1899" s="3" t="n">
        <v>9</v>
      </c>
      <c r="I1899" s="2" t="n">
        <v>6</v>
      </c>
      <c r="J1899" s="3">
        <f>IFERROR(E1899/H1899,0)</f>
        <v/>
      </c>
      <c r="K1899" s="10">
        <f>E1899/'По разделам'!$B$21</f>
        <v/>
      </c>
      <c r="L1899" s="4">
        <f>L1898+K1899</f>
        <v/>
      </c>
      <c r="M1899" s="2" t="inlineStr">
        <is>
          <t>05282</t>
        </is>
      </c>
      <c r="N1899" s="2" t="inlineStr">
        <is>
          <t>https://app.redstat.kz/niche/05282?event_date=2026-08-01</t>
        </is>
      </c>
      <c r="O1899" s="2" t="inlineStr">
        <is>
          <t>https://kaspi.kz/shop/c/repair%20tools%20for%20winter%20equipment/</t>
        </is>
      </c>
    </row>
    <row r="1900">
      <c r="A1900" s="2" t="n">
        <v>1899</v>
      </c>
      <c r="B1900" s="2" t="inlineStr">
        <is>
          <t>Отбеливатели и пятновыводители</t>
        </is>
      </c>
      <c r="C1900" s="2" t="inlineStr">
        <is>
          <t>Товары для дома и дачи</t>
        </is>
      </c>
      <c r="D1900" s="2" t="inlineStr">
        <is>
          <t>Товары для дома и дачи → Бытовая химия → Средства для стирки → Отбеливатели и пятновыводители</t>
        </is>
      </c>
      <c r="E1900" s="3" t="n">
        <v>46589</v>
      </c>
      <c r="F1900" s="3" t="n">
        <v>17</v>
      </c>
      <c r="G1900" s="3">
        <f>IFERROR(E1900/F1900,0)</f>
        <v/>
      </c>
      <c r="H1900" s="3" t="n">
        <v>11</v>
      </c>
      <c r="I1900" s="2" t="n">
        <v>7</v>
      </c>
      <c r="J1900" s="3">
        <f>IFERROR(E1900/H1900,0)</f>
        <v/>
      </c>
      <c r="K1900" s="10">
        <f>E1900/'По разделам'!$B$21</f>
        <v/>
      </c>
      <c r="L1900" s="4">
        <f>L1899+K1900</f>
        <v/>
      </c>
      <c r="M1900" s="2" t="inlineStr">
        <is>
          <t>02617</t>
        </is>
      </c>
      <c r="N1900" s="2" t="inlineStr">
        <is>
          <t>https://app.redstat.kz/niche/02617?event_date=2026-08-01</t>
        </is>
      </c>
      <c r="O1900" s="2" t="inlineStr">
        <is>
          <t>https://kaspi.kz/shop/c/bleaches%20and%20stain%20removers/</t>
        </is>
      </c>
    </row>
    <row r="1901">
      <c r="A1901" s="2" t="n">
        <v>1900</v>
      </c>
      <c r="B1901" s="2" t="inlineStr">
        <is>
          <t>Треккинговая обувь для девочек</t>
        </is>
      </c>
      <c r="C1901" s="2" t="inlineStr">
        <is>
          <t>Обувь</t>
        </is>
      </c>
      <c r="D1901" s="2" t="inlineStr">
        <is>
          <t>Обувь → Обувь для девочек → Треккинговая обувь для девочек</t>
        </is>
      </c>
      <c r="E1901" s="3" t="n">
        <v>46390</v>
      </c>
      <c r="F1901" s="3" t="n">
        <v>2</v>
      </c>
      <c r="G1901" s="3">
        <f>IFERROR(E1901/F1901,0)</f>
        <v/>
      </c>
      <c r="H1901" s="3" t="n">
        <v>2</v>
      </c>
      <c r="I1901" s="2" t="n">
        <v>2</v>
      </c>
      <c r="J1901" s="3">
        <f>IFERROR(E1901/H1901,0)</f>
        <v/>
      </c>
      <c r="K1901" s="10">
        <f>E1901/'По разделам'!$B$21</f>
        <v/>
      </c>
      <c r="L1901" s="4">
        <f>L1900+K1901</f>
        <v/>
      </c>
      <c r="M1901" s="2" t="inlineStr">
        <is>
          <t>02166</t>
        </is>
      </c>
      <c r="N1901" s="2" t="inlineStr">
        <is>
          <t>https://app.redstat.kz/niche/02166?event_date=2026-08-01</t>
        </is>
      </c>
      <c r="O1901" s="2" t="inlineStr">
        <is>
          <t>https://kaspi.kz/shop/c/girl%20hiking%20shoes/</t>
        </is>
      </c>
    </row>
    <row r="1902">
      <c r="A1902" s="2" t="n">
        <v>1901</v>
      </c>
      <c r="B1902" s="2" t="inlineStr">
        <is>
          <t>Турки для кофе</t>
        </is>
      </c>
      <c r="C1902" s="2" t="inlineStr">
        <is>
          <t>Товары для дома и дачи</t>
        </is>
      </c>
      <c r="D1902" s="2" t="inlineStr">
        <is>
          <t>Товары для дома и дачи → Посуда и принадлежности → Чайники, кофейники и самовары → Турки для кофе</t>
        </is>
      </c>
      <c r="E1902" s="3" t="n">
        <v>46300</v>
      </c>
      <c r="F1902" s="3" t="n">
        <v>3</v>
      </c>
      <c r="G1902" s="3">
        <f>IFERROR(E1902/F1902,0)</f>
        <v/>
      </c>
      <c r="H1902" s="3" t="n">
        <v>2</v>
      </c>
      <c r="I1902" s="2" t="n">
        <v>2</v>
      </c>
      <c r="J1902" s="3">
        <f>IFERROR(E1902/H1902,0)</f>
        <v/>
      </c>
      <c r="K1902" s="10">
        <f>E1902/'По разделам'!$B$21</f>
        <v/>
      </c>
      <c r="L1902" s="4">
        <f>L1901+K1902</f>
        <v/>
      </c>
      <c r="M1902" s="2" t="inlineStr">
        <is>
          <t>05611</t>
        </is>
      </c>
      <c r="N1902" s="2" t="inlineStr">
        <is>
          <t>https://app.redstat.kz/niche/05611?event_date=2026-08-01</t>
        </is>
      </c>
      <c r="O1902" s="2" t="inlineStr">
        <is>
          <t>https://kaspi.kz/shop/c/turkish%20coffee%20pots/</t>
        </is>
      </c>
    </row>
    <row r="1903">
      <c r="A1903" s="2" t="n">
        <v>1902</v>
      </c>
      <c r="B1903" s="2" t="inlineStr">
        <is>
          <t>Основания для матрасов и ламели</t>
        </is>
      </c>
      <c r="C1903" s="2" t="inlineStr">
        <is>
          <t>Мебель</t>
        </is>
      </c>
      <c r="D1903" s="2" t="inlineStr">
        <is>
          <t>Мебель → Фурнитура и комплектующие для мебели → Комплектующие для мебели → Основания для матрасов и ламели</t>
        </is>
      </c>
      <c r="E1903" s="3" t="n">
        <v>46000</v>
      </c>
      <c r="F1903" s="3" t="n">
        <v>8</v>
      </c>
      <c r="G1903" s="3">
        <f>IFERROR(E1903/F1903,0)</f>
        <v/>
      </c>
      <c r="H1903" s="3" t="n">
        <v>1</v>
      </c>
      <c r="I1903" s="2" t="n">
        <v>1</v>
      </c>
      <c r="J1903" s="3">
        <f>IFERROR(E1903/H1903,0)</f>
        <v/>
      </c>
      <c r="K1903" s="10">
        <f>E1903/'По разделам'!$B$21</f>
        <v/>
      </c>
      <c r="L1903" s="4">
        <f>L1902+K1903</f>
        <v/>
      </c>
      <c r="M1903" s="2" t="inlineStr">
        <is>
          <t>05364</t>
        </is>
      </c>
      <c r="N1903" s="2" t="inlineStr">
        <is>
          <t>https://app.redstat.kz/niche/05364?event_date=2026-08-01</t>
        </is>
      </c>
      <c r="O1903" s="2" t="inlineStr">
        <is>
          <t>https://kaspi.kz/shop/c/bases%20for%20beds%20and%20slats/</t>
        </is>
      </c>
    </row>
    <row r="1904">
      <c r="A1904" s="2" t="n">
        <v>1903</v>
      </c>
      <c r="B1904" s="2" t="inlineStr">
        <is>
          <t>Крышки</t>
        </is>
      </c>
      <c r="C1904" s="2" t="inlineStr">
        <is>
          <t>Товары для дома и дачи</t>
        </is>
      </c>
      <c r="D1904" s="2" t="inlineStr">
        <is>
          <t>Товары для дома и дачи → Посуда и принадлежности → Посуда для приготовления → Крышки</t>
        </is>
      </c>
      <c r="E1904" s="3" t="n">
        <v>45994</v>
      </c>
      <c r="F1904" s="3" t="n">
        <v>15</v>
      </c>
      <c r="G1904" s="3">
        <f>IFERROR(E1904/F1904,0)</f>
        <v/>
      </c>
      <c r="H1904" s="3" t="n">
        <v>9</v>
      </c>
      <c r="I1904" s="2" t="n">
        <v>6</v>
      </c>
      <c r="J1904" s="3">
        <f>IFERROR(E1904/H1904,0)</f>
        <v/>
      </c>
      <c r="K1904" s="10">
        <f>E1904/'По разделам'!$B$21</f>
        <v/>
      </c>
      <c r="L1904" s="4">
        <f>L1903+K1904</f>
        <v/>
      </c>
      <c r="M1904" s="2" t="inlineStr">
        <is>
          <t>03332</t>
        </is>
      </c>
      <c r="N1904" s="2" t="inlineStr">
        <is>
          <t>https://app.redstat.kz/niche/03332?event_date=2026-08-01</t>
        </is>
      </c>
      <c r="O1904" s="2" t="inlineStr">
        <is>
          <t>https://kaspi.kz/shop/c/lids/</t>
        </is>
      </c>
    </row>
    <row r="1905">
      <c r="A1905" s="2" t="n">
        <v>1904</v>
      </c>
      <c r="B1905" s="2" t="inlineStr">
        <is>
          <t>Бассейны</t>
        </is>
      </c>
      <c r="C1905" s="2" t="inlineStr">
        <is>
          <t>Товары для дома и дачи</t>
        </is>
      </c>
      <c r="D1905" s="2" t="inlineStr">
        <is>
          <t>Товары для дома и дачи → Дача, сад и огород → Бассейны и аксессуары → Бассейны</t>
        </is>
      </c>
      <c r="E1905" s="3" t="n">
        <v>45470</v>
      </c>
      <c r="F1905" s="3" t="n">
        <v>3</v>
      </c>
      <c r="G1905" s="3">
        <f>IFERROR(E1905/F1905,0)</f>
        <v/>
      </c>
      <c r="H1905" s="3" t="n">
        <v>3</v>
      </c>
      <c r="I1905" s="2" t="n">
        <v>1</v>
      </c>
      <c r="J1905" s="3">
        <f>IFERROR(E1905/H1905,0)</f>
        <v/>
      </c>
      <c r="K1905" s="10">
        <f>E1905/'По разделам'!$B$21</f>
        <v/>
      </c>
      <c r="L1905" s="4">
        <f>L1904+K1905</f>
        <v/>
      </c>
      <c r="M1905" s="2" t="inlineStr">
        <is>
          <t>02592</t>
        </is>
      </c>
      <c r="N1905" s="2" t="inlineStr">
        <is>
          <t>https://app.redstat.kz/niche/02592?event_date=2026-08-01</t>
        </is>
      </c>
      <c r="O1905" s="2" t="inlineStr">
        <is>
          <t>https://kaspi.kz/shop/c/swimming%20pools/</t>
        </is>
      </c>
    </row>
    <row r="1906">
      <c r="A1906" s="2" t="n">
        <v>1905</v>
      </c>
      <c r="B1906" s="2" t="inlineStr">
        <is>
          <t>Круги и матрасы для плавания</t>
        </is>
      </c>
      <c r="C1906" s="2" t="inlineStr">
        <is>
          <t>Товары для дома и дачи</t>
        </is>
      </c>
      <c r="D1906" s="2" t="inlineStr">
        <is>
          <t>Товары для дома и дачи → Дача, сад и огород → Бассейны и аксессуары → Круги и матрасы для плавания</t>
        </is>
      </c>
      <c r="E1906" s="3" t="n">
        <v>44644</v>
      </c>
      <c r="F1906" s="3" t="n">
        <v>18</v>
      </c>
      <c r="G1906" s="3">
        <f>IFERROR(E1906/F1906,0)</f>
        <v/>
      </c>
      <c r="H1906" s="3" t="n">
        <v>13</v>
      </c>
      <c r="I1906" s="2" t="n">
        <v>4</v>
      </c>
      <c r="J1906" s="3">
        <f>IFERROR(E1906/H1906,0)</f>
        <v/>
      </c>
      <c r="K1906" s="10">
        <f>E1906/'По разделам'!$B$21</f>
        <v/>
      </c>
      <c r="L1906" s="4">
        <f>L1905+K1906</f>
        <v/>
      </c>
      <c r="M1906" s="2" t="inlineStr">
        <is>
          <t>03371</t>
        </is>
      </c>
      <c r="N1906" s="2" t="inlineStr">
        <is>
          <t>https://app.redstat.kz/niche/03371?event_date=2026-08-01</t>
        </is>
      </c>
      <c r="O1906" s="2" t="inlineStr">
        <is>
          <t>https://kaspi.kz/shop/c/swimming%20circles%20and%20mattresses/</t>
        </is>
      </c>
    </row>
    <row r="1907">
      <c r="A1907" s="2" t="n">
        <v>1906</v>
      </c>
      <c r="B1907" s="2" t="inlineStr">
        <is>
          <t>Зарядные устройства для инструментов</t>
        </is>
      </c>
      <c r="C1907" s="2" t="inlineStr">
        <is>
          <t>Строительство, ремонт</t>
        </is>
      </c>
      <c r="D1907" s="2" t="inlineStr">
        <is>
          <t>Строительство, ремонт → Инструменты → Оснастка и расходники для инструмента → Аккумуляторы и зарядные устройства для инструментов → Зарядные устройства для инструментов</t>
        </is>
      </c>
      <c r="E1907" s="3" t="n">
        <v>43980</v>
      </c>
      <c r="F1907" s="3" t="n">
        <v>1</v>
      </c>
      <c r="G1907" s="3">
        <f>IFERROR(E1907/F1907,0)</f>
        <v/>
      </c>
      <c r="H1907" s="3" t="n">
        <v>1</v>
      </c>
      <c r="I1907" s="2" t="n">
        <v>1</v>
      </c>
      <c r="J1907" s="3">
        <f>IFERROR(E1907/H1907,0)</f>
        <v/>
      </c>
      <c r="K1907" s="10">
        <f>E1907/'По разделам'!$B$21</f>
        <v/>
      </c>
      <c r="L1907" s="4">
        <f>L1906+K1907</f>
        <v/>
      </c>
      <c r="M1907" s="2" t="inlineStr">
        <is>
          <t>06117</t>
        </is>
      </c>
      <c r="N1907" s="2" t="inlineStr">
        <is>
          <t>https://app.redstat.kz/niche/06117?event_date=2026-08-01</t>
        </is>
      </c>
      <c r="O1907" s="2" t="inlineStr">
        <is>
          <t>https://kaspi.kz/shop/c/tool%20chargers/</t>
        </is>
      </c>
    </row>
    <row r="1908">
      <c r="A1908" s="2" t="n">
        <v>1907</v>
      </c>
      <c r="B1908" s="2" t="inlineStr">
        <is>
          <t>Сайлентблоки подвески</t>
        </is>
      </c>
      <c r="C1908" s="2" t="inlineStr">
        <is>
          <t>Автотовары</t>
        </is>
      </c>
      <c r="D1908" s="2" t="inlineStr">
        <is>
          <t>Автотовары → Автозапчасти → Ходовая часть → Сайлентблоки подвески</t>
        </is>
      </c>
      <c r="E1908" s="3" t="n">
        <v>43400</v>
      </c>
      <c r="F1908" s="3" t="n">
        <v>2</v>
      </c>
      <c r="G1908" s="3">
        <f>IFERROR(E1908/F1908,0)</f>
        <v/>
      </c>
      <c r="H1908" s="3" t="n">
        <v>2</v>
      </c>
      <c r="I1908" s="2" t="n">
        <v>2</v>
      </c>
      <c r="J1908" s="3">
        <f>IFERROR(E1908/H1908,0)</f>
        <v/>
      </c>
      <c r="K1908" s="10">
        <f>E1908/'По разделам'!$B$21</f>
        <v/>
      </c>
      <c r="L1908" s="4">
        <f>L1907+K1908</f>
        <v/>
      </c>
      <c r="M1908" s="2" t="inlineStr">
        <is>
          <t>07335</t>
        </is>
      </c>
      <c r="N1908" s="2" t="inlineStr">
        <is>
          <t>https://app.redstat.kz/niche/07335?event_date=2026-08-01</t>
        </is>
      </c>
      <c r="O1908" s="2" t="inlineStr">
        <is>
          <t>https://kaspi.kz/shop/c/suspension%20silent%20blocks/</t>
        </is>
      </c>
    </row>
    <row r="1909">
      <c r="A1909" s="2" t="n">
        <v>1908</v>
      </c>
      <c r="B1909" s="2" t="inlineStr">
        <is>
          <t>Чехлы для одежды и обуви</t>
        </is>
      </c>
      <c r="C1909" s="2" t="inlineStr">
        <is>
          <t>Товары для дома и дачи</t>
        </is>
      </c>
      <c r="D1909" s="2" t="inlineStr">
        <is>
          <t>Товары для дома и дачи → Хозяйственные товары → Уход за одеждой → Чехлы для одежды и обуви</t>
        </is>
      </c>
      <c r="E1909" s="3" t="n">
        <v>43285</v>
      </c>
      <c r="F1909" s="3" t="n">
        <v>16</v>
      </c>
      <c r="G1909" s="3">
        <f>IFERROR(E1909/F1909,0)</f>
        <v/>
      </c>
      <c r="H1909" s="3" t="n">
        <v>7</v>
      </c>
      <c r="I1909" s="2" t="n">
        <v>4</v>
      </c>
      <c r="J1909" s="3">
        <f>IFERROR(E1909/H1909,0)</f>
        <v/>
      </c>
      <c r="K1909" s="10">
        <f>E1909/'По разделам'!$B$21</f>
        <v/>
      </c>
      <c r="L1909" s="4">
        <f>L1908+K1909</f>
        <v/>
      </c>
      <c r="M1909" s="2" t="inlineStr">
        <is>
          <t>03743</t>
        </is>
      </c>
      <c r="N1909" s="2" t="inlineStr">
        <is>
          <t>https://app.redstat.kz/niche/03743?event_date=2026-08-01</t>
        </is>
      </c>
      <c r="O1909" s="2" t="inlineStr">
        <is>
          <t>https://kaspi.kz/shop/c/covers%20for%20clothes/</t>
        </is>
      </c>
    </row>
    <row r="1910">
      <c r="A1910" s="2" t="n">
        <v>1909</v>
      </c>
      <c r="B1910" s="2" t="inlineStr">
        <is>
          <t>Средства защиты растений</t>
        </is>
      </c>
      <c r="C1910" s="2" t="inlineStr">
        <is>
          <t>Товары для дома и дачи</t>
        </is>
      </c>
      <c r="D1910" s="2" t="inlineStr">
        <is>
          <t>Товары для дома и дачи → Дача, сад и огород → Грунты и удобрения → Средства защиты растений</t>
        </is>
      </c>
      <c r="E1910" s="3" t="n">
        <v>43230</v>
      </c>
      <c r="F1910" s="3" t="n">
        <v>9</v>
      </c>
      <c r="G1910" s="3">
        <f>IFERROR(E1910/F1910,0)</f>
        <v/>
      </c>
      <c r="H1910" s="3" t="n">
        <v>7</v>
      </c>
      <c r="I1910" s="2" t="n">
        <v>5</v>
      </c>
      <c r="J1910" s="3">
        <f>IFERROR(E1910/H1910,0)</f>
        <v/>
      </c>
      <c r="K1910" s="10">
        <f>E1910/'По разделам'!$B$21</f>
        <v/>
      </c>
      <c r="L1910" s="4">
        <f>L1909+K1910</f>
        <v/>
      </c>
      <c r="M1910" s="2" t="inlineStr">
        <is>
          <t>05239</t>
        </is>
      </c>
      <c r="N1910" s="2" t="inlineStr">
        <is>
          <t>https://app.redstat.kz/niche/05239?event_date=2026-08-01</t>
        </is>
      </c>
      <c r="O1910" s="2" t="inlineStr">
        <is>
          <t>https://kaspi.kz/shop/c/plant%20protection%20chemicals/</t>
        </is>
      </c>
    </row>
    <row r="1911">
      <c r="A1911" s="2" t="n">
        <v>1910</v>
      </c>
      <c r="B1911" s="2" t="inlineStr">
        <is>
          <t>Реноваторы</t>
        </is>
      </c>
      <c r="C1911" s="2" t="inlineStr">
        <is>
          <t>Строительство, ремонт</t>
        </is>
      </c>
      <c r="D1911" s="2" t="inlineStr">
        <is>
          <t>Строительство, ремонт → Инструменты → Электроинструменты → Реноваторы</t>
        </is>
      </c>
      <c r="E1911" s="3" t="n">
        <v>43000</v>
      </c>
      <c r="F1911" s="3" t="n">
        <v>1</v>
      </c>
      <c r="G1911" s="3">
        <f>IFERROR(E1911/F1911,0)</f>
        <v/>
      </c>
      <c r="H1911" s="3" t="n">
        <v>1</v>
      </c>
      <c r="I1911" s="2" t="n">
        <v>1</v>
      </c>
      <c r="J1911" s="3">
        <f>IFERROR(E1911/H1911,0)</f>
        <v/>
      </c>
      <c r="K1911" s="10">
        <f>E1911/'По разделам'!$B$21</f>
        <v/>
      </c>
      <c r="L1911" s="4">
        <f>L1910+K1911</f>
        <v/>
      </c>
      <c r="M1911" s="2" t="inlineStr">
        <is>
          <t>03412</t>
        </is>
      </c>
      <c r="N1911" s="2" t="inlineStr">
        <is>
          <t>https://app.redstat.kz/niche/03412?event_date=2026-08-01</t>
        </is>
      </c>
      <c r="O1911" s="2" t="inlineStr">
        <is>
          <t>https://kaspi.kz/shop/c/oscillating%20multitools/</t>
        </is>
      </c>
    </row>
    <row r="1912">
      <c r="A1912" s="2" t="n">
        <v>1911</v>
      </c>
      <c r="B1912" s="2" t="inlineStr">
        <is>
          <t>Сиденья для унитазов и биде</t>
        </is>
      </c>
      <c r="C1912" s="2" t="inlineStr">
        <is>
          <t>Строительство, ремонт</t>
        </is>
      </c>
      <c r="D1912" s="2" t="inlineStr">
        <is>
          <t>Строительство, ремонт → Сантехника → Унитазы, биде и аксессуары → Сиденья для унитазов и биде</t>
        </is>
      </c>
      <c r="E1912" s="3" t="n">
        <v>42790</v>
      </c>
      <c r="F1912" s="3" t="n">
        <v>3</v>
      </c>
      <c r="G1912" s="3">
        <f>IFERROR(E1912/F1912,0)</f>
        <v/>
      </c>
      <c r="H1912" s="3" t="n">
        <v>2</v>
      </c>
      <c r="I1912" s="2" t="n">
        <v>2</v>
      </c>
      <c r="J1912" s="3">
        <f>IFERROR(E1912/H1912,0)</f>
        <v/>
      </c>
      <c r="K1912" s="10">
        <f>E1912/'По разделам'!$B$21</f>
        <v/>
      </c>
      <c r="L1912" s="4">
        <f>L1911+K1912</f>
        <v/>
      </c>
      <c r="M1912" s="2" t="inlineStr">
        <is>
          <t>05442</t>
        </is>
      </c>
      <c r="N1912" s="2" t="inlineStr">
        <is>
          <t>https://app.redstat.kz/niche/05442?event_date=2026-08-01</t>
        </is>
      </c>
      <c r="O1912" s="2" t="inlineStr">
        <is>
          <t>https://kaspi.kz/shop/c/toilet%20and%20bidet%20seats/</t>
        </is>
      </c>
    </row>
    <row r="1913">
      <c r="A1913" s="2" t="n">
        <v>1912</v>
      </c>
      <c r="B1913" s="2" t="inlineStr">
        <is>
          <t>Сахарницы и молочники</t>
        </is>
      </c>
      <c r="C1913" s="2" t="inlineStr">
        <is>
          <t>Товары для дома и дачи</t>
        </is>
      </c>
      <c r="D1913" s="2" t="inlineStr">
        <is>
          <t>Товары для дома и дачи → Посуда и принадлежности → Сервировка стола → Сахарницы и молочники</t>
        </is>
      </c>
      <c r="E1913" s="3" t="n">
        <v>42253</v>
      </c>
      <c r="F1913" s="3" t="n">
        <v>12</v>
      </c>
      <c r="G1913" s="3">
        <f>IFERROR(E1913/F1913,0)</f>
        <v/>
      </c>
      <c r="H1913" s="3" t="n">
        <v>8</v>
      </c>
      <c r="I1913" s="2" t="n">
        <v>6</v>
      </c>
      <c r="J1913" s="3">
        <f>IFERROR(E1913/H1913,0)</f>
        <v/>
      </c>
      <c r="K1913" s="10">
        <f>E1913/'По разделам'!$B$21</f>
        <v/>
      </c>
      <c r="L1913" s="4">
        <f>L1912+K1913</f>
        <v/>
      </c>
      <c r="M1913" s="2" t="inlineStr">
        <is>
          <t>06397</t>
        </is>
      </c>
      <c r="N1913" s="2" t="inlineStr">
        <is>
          <t>https://app.redstat.kz/niche/06397?event_date=2026-08-01</t>
        </is>
      </c>
      <c r="O1913" s="2" t="inlineStr">
        <is>
          <t>https://kaspi.kz/shop/c/sugar%20bowls%20and%20milk%20jugs/</t>
        </is>
      </c>
    </row>
    <row r="1914">
      <c r="A1914" s="2" t="n">
        <v>1913</v>
      </c>
      <c r="B1914" s="2" t="inlineStr">
        <is>
          <t>Термоинтерфейсы</t>
        </is>
      </c>
      <c r="C1914" s="2" t="inlineStr">
        <is>
          <t>Компьютеры</t>
        </is>
      </c>
      <c r="D1914" s="2" t="inlineStr">
        <is>
          <t>Компьютеры → Комплектующие → Другие комплектующие → Термоинтерфейсы</t>
        </is>
      </c>
      <c r="E1914" s="3" t="n">
        <v>42190</v>
      </c>
      <c r="F1914" s="3" t="n">
        <v>6</v>
      </c>
      <c r="G1914" s="3">
        <f>IFERROR(E1914/F1914,0)</f>
        <v/>
      </c>
      <c r="H1914" s="3" t="n">
        <v>3</v>
      </c>
      <c r="I1914" s="2" t="n">
        <v>2</v>
      </c>
      <c r="J1914" s="3">
        <f>IFERROR(E1914/H1914,0)</f>
        <v/>
      </c>
      <c r="K1914" s="10">
        <f>E1914/'По разделам'!$B$21</f>
        <v/>
      </c>
      <c r="L1914" s="4">
        <f>L1913+K1914</f>
        <v/>
      </c>
      <c r="M1914" s="2" t="inlineStr">
        <is>
          <t>03208</t>
        </is>
      </c>
      <c r="N1914" s="2" t="inlineStr">
        <is>
          <t>https://app.redstat.kz/niche/03208?event_date=2026-08-01</t>
        </is>
      </c>
      <c r="O1914" s="2" t="inlineStr">
        <is>
          <t>https://kaspi.kz/shop/c/thermal%20paste/</t>
        </is>
      </c>
    </row>
    <row r="1915">
      <c r="A1915" s="2" t="n">
        <v>1914</v>
      </c>
      <c r="B1915" s="2" t="inlineStr">
        <is>
          <t>Распределительный вал и комплектующие</t>
        </is>
      </c>
      <c r="C1915" s="2" t="inlineStr">
        <is>
          <t>Автотовары</t>
        </is>
      </c>
      <c r="D1915" s="2" t="inlineStr">
        <is>
          <t>Автотовары → Автозапчасти → Двигатель → Газо-распределительный механизм → Распределительный вал и комплектующие</t>
        </is>
      </c>
      <c r="E1915" s="3" t="n">
        <v>42000</v>
      </c>
      <c r="F1915" s="3" t="n">
        <v>1</v>
      </c>
      <c r="G1915" s="3">
        <f>IFERROR(E1915/F1915,0)</f>
        <v/>
      </c>
      <c r="H1915" s="3" t="n">
        <v>1</v>
      </c>
      <c r="I1915" s="2" t="n">
        <v>1</v>
      </c>
      <c r="J1915" s="3">
        <f>IFERROR(E1915/H1915,0)</f>
        <v/>
      </c>
      <c r="K1915" s="10">
        <f>E1915/'По разделам'!$B$21</f>
        <v/>
      </c>
      <c r="L1915" s="4">
        <f>L1914+K1915</f>
        <v/>
      </c>
      <c r="M1915" s="2" t="inlineStr">
        <is>
          <t>07357</t>
        </is>
      </c>
      <c r="N1915" s="2" t="inlineStr">
        <is>
          <t>https://app.redstat.kz/niche/07357?event_date=2026-08-01</t>
        </is>
      </c>
      <c r="O1915" s="2" t="inlineStr">
        <is>
          <t>https://kaspi.kz/shop/c/camshaft%20and%20components/</t>
        </is>
      </c>
    </row>
    <row r="1916">
      <c r="A1916" s="2" t="n">
        <v>1915</v>
      </c>
      <c r="B1916" s="2" t="inlineStr">
        <is>
          <t>Дверные ручки</t>
        </is>
      </c>
      <c r="C1916" s="2" t="inlineStr">
        <is>
          <t>Строительство, ремонт</t>
        </is>
      </c>
      <c r="D1916" s="2" t="inlineStr">
        <is>
          <t>Строительство, ремонт → Двери, окна, лестницы → Двери → Ручки, замки и фурнитура для дверей → Дверные ручки</t>
        </is>
      </c>
      <c r="E1916" s="3" t="n">
        <v>41990</v>
      </c>
      <c r="F1916" s="3" t="n">
        <v>3</v>
      </c>
      <c r="G1916" s="3">
        <f>IFERROR(E1916/F1916,0)</f>
        <v/>
      </c>
      <c r="H1916" s="3" t="n">
        <v>1</v>
      </c>
      <c r="I1916" s="2" t="n">
        <v>1</v>
      </c>
      <c r="J1916" s="3">
        <f>IFERROR(E1916/H1916,0)</f>
        <v/>
      </c>
      <c r="K1916" s="10">
        <f>E1916/'По разделам'!$B$21</f>
        <v/>
      </c>
      <c r="L1916" s="4">
        <f>L1915+K1916</f>
        <v/>
      </c>
      <c r="M1916" s="2" t="inlineStr">
        <is>
          <t>04490</t>
        </is>
      </c>
      <c r="N1916" s="2" t="inlineStr">
        <is>
          <t>https://app.redstat.kz/niche/04490?event_date=2026-08-01</t>
        </is>
      </c>
      <c r="O1916" s="2" t="inlineStr">
        <is>
          <t>https://kaspi.kz/shop/c/door%20knobs/</t>
        </is>
      </c>
    </row>
    <row r="1917">
      <c r="A1917" s="2" t="n">
        <v>1916</v>
      </c>
      <c r="B1917" s="2" t="inlineStr">
        <is>
          <t>Плоскогубцы, клещи и пассатижи</t>
        </is>
      </c>
      <c r="C1917" s="2" t="inlineStr">
        <is>
          <t>Строительство, ремонт</t>
        </is>
      </c>
      <c r="D1917" s="2" t="inlineStr">
        <is>
          <t>Строительство, ремонт → Ручные инструменты → Шарнирно-губцевый инструмент → Плоскогубцы, клещи и пассатижи</t>
        </is>
      </c>
      <c r="E1917" s="3" t="n">
        <v>41950</v>
      </c>
      <c r="F1917" s="3" t="n">
        <v>24</v>
      </c>
      <c r="G1917" s="3">
        <f>IFERROR(E1917/F1917,0)</f>
        <v/>
      </c>
      <c r="H1917" s="3" t="n">
        <v>11</v>
      </c>
      <c r="I1917" s="2" t="n">
        <v>8</v>
      </c>
      <c r="J1917" s="3">
        <f>IFERROR(E1917/H1917,0)</f>
        <v/>
      </c>
      <c r="K1917" s="10">
        <f>E1917/'По разделам'!$B$21</f>
        <v/>
      </c>
      <c r="L1917" s="4">
        <f>L1916+K1917</f>
        <v/>
      </c>
      <c r="M1917" s="2" t="inlineStr">
        <is>
          <t>01639</t>
        </is>
      </c>
      <c r="N1917" s="2" t="inlineStr">
        <is>
          <t>https://app.redstat.kz/niche/01639?event_date=2026-08-01</t>
        </is>
      </c>
      <c r="O1917" s="2" t="inlineStr">
        <is>
          <t>https://kaspi.kz/shop/c/pliers/</t>
        </is>
      </c>
    </row>
    <row r="1918">
      <c r="A1918" s="2" t="n">
        <v>1917</v>
      </c>
      <c r="B1918" s="2" t="inlineStr">
        <is>
          <t>Пневмоподвеска</t>
        </is>
      </c>
      <c r="C1918" s="2" t="inlineStr">
        <is>
          <t>Автотовары</t>
        </is>
      </c>
      <c r="D1918" s="2" t="inlineStr">
        <is>
          <t>Автотовары → Автозапчасти → Ходовая часть → Пневмоподвеска</t>
        </is>
      </c>
      <c r="E1918" s="3" t="n">
        <v>41700</v>
      </c>
      <c r="F1918" s="3" t="n">
        <v>2</v>
      </c>
      <c r="G1918" s="3">
        <f>IFERROR(E1918/F1918,0)</f>
        <v/>
      </c>
      <c r="H1918" s="3" t="n">
        <v>2</v>
      </c>
      <c r="I1918" s="2" t="n">
        <v>2</v>
      </c>
      <c r="J1918" s="3">
        <f>IFERROR(E1918/H1918,0)</f>
        <v/>
      </c>
      <c r="K1918" s="10">
        <f>E1918/'По разделам'!$B$21</f>
        <v/>
      </c>
      <c r="L1918" s="4">
        <f>L1917+K1918</f>
        <v/>
      </c>
      <c r="M1918" s="2" t="inlineStr">
        <is>
          <t>07338</t>
        </is>
      </c>
      <c r="N1918" s="2" t="inlineStr">
        <is>
          <t>https://app.redstat.kz/niche/07338?event_date=2026-08-01</t>
        </is>
      </c>
      <c r="O1918" s="2" t="inlineStr">
        <is>
          <t>https://kaspi.kz/shop/c/air%20suspension/</t>
        </is>
      </c>
    </row>
    <row r="1919">
      <c r="A1919" s="2" t="n">
        <v>1918</v>
      </c>
      <c r="B1919" s="2" t="inlineStr">
        <is>
          <t>Подносы</t>
        </is>
      </c>
      <c r="C1919" s="2" t="inlineStr">
        <is>
          <t>Товары для дома и дачи</t>
        </is>
      </c>
      <c r="D1919" s="2" t="inlineStr">
        <is>
          <t>Товары для дома и дачи → Посуда и принадлежности → Сервировка стола → Подносы</t>
        </is>
      </c>
      <c r="E1919" s="3" t="n">
        <v>41684</v>
      </c>
      <c r="F1919" s="3" t="n">
        <v>22</v>
      </c>
      <c r="G1919" s="3">
        <f>IFERROR(E1919/F1919,0)</f>
        <v/>
      </c>
      <c r="H1919" s="3" t="n">
        <v>10</v>
      </c>
      <c r="I1919" s="2" t="n">
        <v>3</v>
      </c>
      <c r="J1919" s="3">
        <f>IFERROR(E1919/H1919,0)</f>
        <v/>
      </c>
      <c r="K1919" s="10">
        <f>E1919/'По разделам'!$B$21</f>
        <v/>
      </c>
      <c r="L1919" s="4">
        <f>L1918+K1919</f>
        <v/>
      </c>
      <c r="M1919" s="2" t="inlineStr">
        <is>
          <t>03330</t>
        </is>
      </c>
      <c r="N1919" s="2" t="inlineStr">
        <is>
          <t>https://app.redstat.kz/niche/03330?event_date=2026-08-01</t>
        </is>
      </c>
      <c r="O1919" s="2" t="inlineStr">
        <is>
          <t>https://kaspi.kz/shop/c/serving%20trays/</t>
        </is>
      </c>
    </row>
    <row r="1920">
      <c r="A1920" s="2" t="n">
        <v>1919</v>
      </c>
      <c r="B1920" s="2" t="inlineStr">
        <is>
          <t>Спонжи и пуховки</t>
        </is>
      </c>
      <c r="C1920" s="2" t="inlineStr">
        <is>
          <t>Красота и здоровье</t>
        </is>
      </c>
      <c r="D1920" s="2" t="inlineStr">
        <is>
          <t>Красота и здоровье → Декоративная косметика → Кисти, спонжи, точилки → Спонжи и пуховки</t>
        </is>
      </c>
      <c r="E1920" s="3" t="n">
        <v>41589</v>
      </c>
      <c r="F1920" s="3" t="n">
        <v>51</v>
      </c>
      <c r="G1920" s="3">
        <f>IFERROR(E1920/F1920,0)</f>
        <v/>
      </c>
      <c r="H1920" s="3" t="n">
        <v>19</v>
      </c>
      <c r="I1920" s="2" t="n">
        <v>10</v>
      </c>
      <c r="J1920" s="3">
        <f>IFERROR(E1920/H1920,0)</f>
        <v/>
      </c>
      <c r="K1920" s="10">
        <f>E1920/'По разделам'!$B$21</f>
        <v/>
      </c>
      <c r="L1920" s="4">
        <f>L1919+K1920</f>
        <v/>
      </c>
      <c r="M1920" s="2" t="inlineStr">
        <is>
          <t>06752</t>
        </is>
      </c>
      <c r="N1920" s="2" t="inlineStr">
        <is>
          <t>https://app.redstat.kz/niche/06752?event_date=2026-08-01</t>
        </is>
      </c>
      <c r="O1920" s="2" t="inlineStr">
        <is>
          <t>https://kaspi.kz/shop/c/sponges%20and%20powder%20puffs/</t>
        </is>
      </c>
    </row>
    <row r="1921">
      <c r="A1921" s="2" t="n">
        <v>1920</v>
      </c>
      <c r="B1921" s="2" t="inlineStr">
        <is>
          <t>Снаряды для метания</t>
        </is>
      </c>
      <c r="C1921" s="2" t="inlineStr">
        <is>
          <t>Спорт, туризм</t>
        </is>
      </c>
      <c r="D1921" s="2" t="inlineStr">
        <is>
          <t>Спорт, туризм → Бег и ходьба → Снаряды для метания</t>
        </is>
      </c>
      <c r="E1921" s="3" t="n">
        <v>41530</v>
      </c>
      <c r="F1921" s="3" t="n">
        <v>6</v>
      </c>
      <c r="G1921" s="3">
        <f>IFERROR(E1921/F1921,0)</f>
        <v/>
      </c>
      <c r="H1921" s="3" t="n">
        <v>4</v>
      </c>
      <c r="I1921" s="2" t="n">
        <v>2</v>
      </c>
      <c r="J1921" s="3">
        <f>IFERROR(E1921/H1921,0)</f>
        <v/>
      </c>
      <c r="K1921" s="10">
        <f>E1921/'По разделам'!$B$21</f>
        <v/>
      </c>
      <c r="L1921" s="4">
        <f>L1920+K1921</f>
        <v/>
      </c>
      <c r="M1921" s="2" t="inlineStr">
        <is>
          <t>05836</t>
        </is>
      </c>
      <c r="N1921" s="2" t="inlineStr">
        <is>
          <t>https://app.redstat.kz/niche/05836?event_date=2026-08-01</t>
        </is>
      </c>
      <c r="O1921" s="2" t="inlineStr">
        <is>
          <t>https://kaspi.kz/shop/c/track%20and%20field%20discus%20and%20balls/</t>
        </is>
      </c>
    </row>
    <row r="1922">
      <c r="A1922" s="2" t="n">
        <v>1921</v>
      </c>
      <c r="B1922" s="2" t="inlineStr">
        <is>
          <t>Автошампуни и пены для мойки</t>
        </is>
      </c>
      <c r="C1922" s="2" t="inlineStr">
        <is>
          <t>Автотовары</t>
        </is>
      </c>
      <c r="D1922" s="2" t="inlineStr">
        <is>
          <t>Автотовары → Автохимия и автокосметика → Уход за кузовом автомобиля → Автошампуни и пены для мойки</t>
        </is>
      </c>
      <c r="E1922" s="3" t="n">
        <v>41277</v>
      </c>
      <c r="F1922" s="3" t="n">
        <v>26</v>
      </c>
      <c r="G1922" s="3">
        <f>IFERROR(E1922/F1922,0)</f>
        <v/>
      </c>
      <c r="H1922" s="3" t="n">
        <v>10</v>
      </c>
      <c r="I1922" s="2" t="n">
        <v>7</v>
      </c>
      <c r="J1922" s="3">
        <f>IFERROR(E1922/H1922,0)</f>
        <v/>
      </c>
      <c r="K1922" s="10">
        <f>E1922/'По разделам'!$B$21</f>
        <v/>
      </c>
      <c r="L1922" s="4">
        <f>L1921+K1922</f>
        <v/>
      </c>
      <c r="M1922" s="2" t="inlineStr">
        <is>
          <t>01575</t>
        </is>
      </c>
      <c r="N1922" s="2" t="inlineStr">
        <is>
          <t>https://app.redstat.kz/niche/01575?event_date=2026-08-01</t>
        </is>
      </c>
      <c r="O1922" s="2" t="inlineStr">
        <is>
          <t>https://kaspi.kz/shop/c/car%20shampoos%20and%20foams/</t>
        </is>
      </c>
    </row>
    <row r="1923">
      <c r="A1923" s="2" t="n">
        <v>1922</v>
      </c>
      <c r="B1923" s="2" t="inlineStr">
        <is>
          <t>Велобахилы</t>
        </is>
      </c>
      <c r="C1923" s="2" t="inlineStr">
        <is>
          <t>Спорт, туризм</t>
        </is>
      </c>
      <c r="D1923" s="2" t="inlineStr">
        <is>
          <t>Спорт, туризм → Велоспорт → Велобахилы</t>
        </is>
      </c>
      <c r="E1923" s="3" t="n">
        <v>40695</v>
      </c>
      <c r="F1923" s="3" t="n">
        <v>3</v>
      </c>
      <c r="G1923" s="3">
        <f>IFERROR(E1923/F1923,0)</f>
        <v/>
      </c>
      <c r="H1923" s="3" t="n">
        <v>3</v>
      </c>
      <c r="I1923" s="2" t="n">
        <v>3</v>
      </c>
      <c r="J1923" s="3">
        <f>IFERROR(E1923/H1923,0)</f>
        <v/>
      </c>
      <c r="K1923" s="10">
        <f>E1923/'По разделам'!$B$21</f>
        <v/>
      </c>
      <c r="L1923" s="4">
        <f>L1922+K1923</f>
        <v/>
      </c>
      <c r="M1923" s="2" t="inlineStr">
        <is>
          <t>07254</t>
        </is>
      </c>
      <c r="N1923" s="2" t="inlineStr">
        <is>
          <t>https://app.redstat.kz/niche/07254?event_date=2026-08-01</t>
        </is>
      </c>
      <c r="O1923" s="2" t="inlineStr">
        <is>
          <t>https://kaspi.kz/shop/c/bicycle%20shoe%20covers/</t>
        </is>
      </c>
    </row>
    <row r="1924">
      <c r="A1924" s="2" t="n">
        <v>1923</v>
      </c>
      <c r="B1924" s="2" t="inlineStr">
        <is>
          <t>3D-очки для видеотехники</t>
        </is>
      </c>
      <c r="C1924" s="2" t="inlineStr">
        <is>
          <t>ТВ, Аудио, Видео</t>
        </is>
      </c>
      <c r="D1924" s="2" t="inlineStr">
        <is>
          <t>ТВ, Аудио, Видео → Видеотехника → 3D-очки для видеотехники</t>
        </is>
      </c>
      <c r="E1924" s="3" t="n">
        <v>40200</v>
      </c>
      <c r="F1924" s="3" t="n">
        <v>3</v>
      </c>
      <c r="G1924" s="3">
        <f>IFERROR(E1924/F1924,0)</f>
        <v/>
      </c>
      <c r="H1924" s="3" t="n">
        <v>2</v>
      </c>
      <c r="I1924" s="2" t="n">
        <v>0</v>
      </c>
      <c r="J1924" s="3">
        <f>IFERROR(E1924/H1924,0)</f>
        <v/>
      </c>
      <c r="K1924" s="10">
        <f>E1924/'По разделам'!$B$21</f>
        <v/>
      </c>
      <c r="L1924" s="4">
        <f>L1923+K1924</f>
        <v/>
      </c>
      <c r="M1924" s="2" t="inlineStr">
        <is>
          <t>06922</t>
        </is>
      </c>
      <c r="N1924" s="2" t="inlineStr">
        <is>
          <t>https://app.redstat.kz/niche/06922?event_date=2026-08-01</t>
        </is>
      </c>
      <c r="O1924" s="2" t="inlineStr">
        <is>
          <t>https://kaspi.kz/shop/c/3d%20glasses%20for%20video%20equipment/</t>
        </is>
      </c>
    </row>
    <row r="1925">
      <c r="A1925" s="2" t="n">
        <v>1924</v>
      </c>
      <c r="B1925" s="2" t="inlineStr">
        <is>
          <t>Круиз-контроль</t>
        </is>
      </c>
      <c r="C1925" s="2" t="inlineStr">
        <is>
          <t>Автотовары</t>
        </is>
      </c>
      <c r="D1925" s="2" t="inlineStr">
        <is>
          <t>Автотовары → Автоэлектроника → Круиз-контроль</t>
        </is>
      </c>
      <c r="E1925" s="3" t="n">
        <v>40000</v>
      </c>
      <c r="F1925" s="3" t="n">
        <v>2</v>
      </c>
      <c r="G1925" s="3">
        <f>IFERROR(E1925/F1925,0)</f>
        <v/>
      </c>
      <c r="H1925" s="3" t="n">
        <v>1</v>
      </c>
      <c r="I1925" s="2" t="n">
        <v>1</v>
      </c>
      <c r="J1925" s="3">
        <f>IFERROR(E1925/H1925,0)</f>
        <v/>
      </c>
      <c r="K1925" s="10">
        <f>E1925/'По разделам'!$B$21</f>
        <v/>
      </c>
      <c r="L1925" s="4">
        <f>L1924+K1925</f>
        <v/>
      </c>
      <c r="M1925" s="2" t="inlineStr">
        <is>
          <t>04563</t>
        </is>
      </c>
      <c r="N1925" s="2" t="inlineStr">
        <is>
          <t>https://app.redstat.kz/niche/04563?event_date=2026-08-01</t>
        </is>
      </c>
      <c r="O1925" s="2" t="inlineStr">
        <is>
          <t>https://kaspi.kz/shop/c/car%20cruise%20control/</t>
        </is>
      </c>
    </row>
    <row r="1926">
      <c r="A1926" s="2" t="n">
        <v>1925</v>
      </c>
      <c r="B1926" s="2" t="inlineStr">
        <is>
          <t>Буксировочные тросы</t>
        </is>
      </c>
      <c r="C1926" s="2" t="inlineStr">
        <is>
          <t>Автотовары</t>
        </is>
      </c>
      <c r="D1926" s="2" t="inlineStr">
        <is>
          <t>Автотовары → Автомобильное оборудование → Аварийное оборудование → Буксировочные тросы</t>
        </is>
      </c>
      <c r="E1926" s="3" t="n">
        <v>39989</v>
      </c>
      <c r="F1926" s="3" t="n">
        <v>2</v>
      </c>
      <c r="G1926" s="3">
        <f>IFERROR(E1926/F1926,0)</f>
        <v/>
      </c>
      <c r="H1926" s="3" t="n">
        <v>2</v>
      </c>
      <c r="I1926" s="2" t="n">
        <v>1</v>
      </c>
      <c r="J1926" s="3">
        <f>IFERROR(E1926/H1926,0)</f>
        <v/>
      </c>
      <c r="K1926" s="10">
        <f>E1926/'По разделам'!$B$21</f>
        <v/>
      </c>
      <c r="L1926" s="4">
        <f>L1925+K1926</f>
        <v/>
      </c>
      <c r="M1926" s="2" t="inlineStr">
        <is>
          <t>02104</t>
        </is>
      </c>
      <c r="N1926" s="2" t="inlineStr">
        <is>
          <t>https://app.redstat.kz/niche/02104?event_date=2026-08-01</t>
        </is>
      </c>
      <c r="O1926" s="2" t="inlineStr">
        <is>
          <t>https://kaspi.kz/shop/c/tow%20ropes/</t>
        </is>
      </c>
    </row>
    <row r="1927">
      <c r="A1927" s="2" t="n">
        <v>1926</v>
      </c>
      <c r="B1927" s="2" t="inlineStr">
        <is>
          <t>Благовония</t>
        </is>
      </c>
      <c r="C1927" s="2" t="inlineStr">
        <is>
          <t>Товары для дома и дачи</t>
        </is>
      </c>
      <c r="D1927" s="2" t="inlineStr">
        <is>
          <t>Товары для дома и дачи → Интерьер → Парфюмерия для дома → Благовония</t>
        </is>
      </c>
      <c r="E1927" s="3" t="n">
        <v>39545</v>
      </c>
      <c r="F1927" s="3" t="n">
        <v>17</v>
      </c>
      <c r="G1927" s="3">
        <f>IFERROR(E1927/F1927,0)</f>
        <v/>
      </c>
      <c r="H1927" s="3" t="n">
        <v>12</v>
      </c>
      <c r="I1927" s="2" t="n">
        <v>8</v>
      </c>
      <c r="J1927" s="3">
        <f>IFERROR(E1927/H1927,0)</f>
        <v/>
      </c>
      <c r="K1927" s="10">
        <f>E1927/'По разделам'!$B$21</f>
        <v/>
      </c>
      <c r="L1927" s="4">
        <f>L1926+K1927</f>
        <v/>
      </c>
      <c r="M1927" s="2" t="inlineStr">
        <is>
          <t>05809</t>
        </is>
      </c>
      <c r="N1927" s="2" t="inlineStr">
        <is>
          <t>https://app.redstat.kz/niche/05809?event_date=2026-08-01</t>
        </is>
      </c>
      <c r="O1927" s="2" t="inlineStr">
        <is>
          <t>https://kaspi.kz/shop/c/incense/</t>
        </is>
      </c>
    </row>
    <row r="1928">
      <c r="A1928" s="2" t="n">
        <v>1927</v>
      </c>
      <c r="B1928" s="2" t="inlineStr">
        <is>
          <t>Каски и шлемы строительные</t>
        </is>
      </c>
      <c r="C1928" s="2" t="inlineStr">
        <is>
          <t>Строительство, ремонт</t>
        </is>
      </c>
      <c r="D1928" s="2" t="inlineStr">
        <is>
          <t>Строительство, ремонт → Строительный инвентарь → Средства индивидуальной защиты → Каски и шлемы строительные</t>
        </is>
      </c>
      <c r="E1928" s="3" t="n">
        <v>39500</v>
      </c>
      <c r="F1928" s="3" t="n">
        <v>4</v>
      </c>
      <c r="G1928" s="3">
        <f>IFERROR(E1928/F1928,0)</f>
        <v/>
      </c>
      <c r="H1928" s="3" t="n">
        <v>2</v>
      </c>
      <c r="I1928" s="2" t="n">
        <v>2</v>
      </c>
      <c r="J1928" s="3">
        <f>IFERROR(E1928/H1928,0)</f>
        <v/>
      </c>
      <c r="K1928" s="10">
        <f>E1928/'По разделам'!$B$21</f>
        <v/>
      </c>
      <c r="L1928" s="4">
        <f>L1927+K1928</f>
        <v/>
      </c>
      <c r="M1928" s="2" t="inlineStr">
        <is>
          <t>02920</t>
        </is>
      </c>
      <c r="N1928" s="2" t="inlineStr">
        <is>
          <t>https://app.redstat.kz/niche/02920?event_date=2026-08-01</t>
        </is>
      </c>
      <c r="O1928" s="2" t="inlineStr">
        <is>
          <t>https://kaspi.kz/shop/c/construction%20safety%20helmets/</t>
        </is>
      </c>
    </row>
    <row r="1929">
      <c r="A1929" s="2" t="n">
        <v>1928</v>
      </c>
      <c r="B1929" s="2" t="inlineStr">
        <is>
          <t>Сменные модули для фильтров-кувшинов</t>
        </is>
      </c>
      <c r="C1929" s="2" t="inlineStr">
        <is>
          <t>Товары для дома и дачи</t>
        </is>
      </c>
      <c r="D1929" s="2" t="inlineStr">
        <is>
          <t>Товары для дома и дачи → Посуда и принадлежности → Фильтры-кувшины для воды и сменные модули → Сменные модули для фильтров-кувшинов</t>
        </is>
      </c>
      <c r="E1929" s="3" t="n">
        <v>39380</v>
      </c>
      <c r="F1929" s="3" t="n">
        <v>8</v>
      </c>
      <c r="G1929" s="3">
        <f>IFERROR(E1929/F1929,0)</f>
        <v/>
      </c>
      <c r="H1929" s="3" t="n">
        <v>7</v>
      </c>
      <c r="I1929" s="2" t="n">
        <v>2</v>
      </c>
      <c r="J1929" s="3">
        <f>IFERROR(E1929/H1929,0)</f>
        <v/>
      </c>
      <c r="K1929" s="10">
        <f>E1929/'По разделам'!$B$21</f>
        <v/>
      </c>
      <c r="L1929" s="4">
        <f>L1928+K1929</f>
        <v/>
      </c>
      <c r="M1929" s="2" t="inlineStr">
        <is>
          <t>03389</t>
        </is>
      </c>
      <c r="N1929" s="2" t="inlineStr">
        <is>
          <t>https://app.redstat.kz/niche/03389?event_date=2026-08-01</t>
        </is>
      </c>
      <c r="O1929" s="2" t="inlineStr">
        <is>
          <t>https://kaspi.kz/shop/c/water%20filter%20cartridges/</t>
        </is>
      </c>
    </row>
    <row r="1930">
      <c r="A1930" s="2" t="n">
        <v>1929</v>
      </c>
      <c r="B1930" s="2" t="inlineStr">
        <is>
          <t>Датчики массового расхода воздуха</t>
        </is>
      </c>
      <c r="C1930" s="2" t="inlineStr">
        <is>
          <t>Автотовары</t>
        </is>
      </c>
      <c r="D1930" s="2" t="inlineStr">
        <is>
          <t>Автотовары → Автозапчасти → Двигатель → Датчики массового расхода воздуха</t>
        </is>
      </c>
      <c r="E1930" s="3" t="n">
        <v>39000</v>
      </c>
      <c r="F1930" s="3" t="n">
        <v>1</v>
      </c>
      <c r="G1930" s="3">
        <f>IFERROR(E1930/F1930,0)</f>
        <v/>
      </c>
      <c r="H1930" s="3" t="n">
        <v>1</v>
      </c>
      <c r="I1930" s="2" t="n">
        <v>1</v>
      </c>
      <c r="J1930" s="3">
        <f>IFERROR(E1930/H1930,0)</f>
        <v/>
      </c>
      <c r="K1930" s="10">
        <f>E1930/'По разделам'!$B$21</f>
        <v/>
      </c>
      <c r="L1930" s="4">
        <f>L1929+K1930</f>
        <v/>
      </c>
      <c r="M1930" s="2" t="inlineStr">
        <is>
          <t>01629</t>
        </is>
      </c>
      <c r="N1930" s="2" t="inlineStr">
        <is>
          <t>https://app.redstat.kz/niche/01629?event_date=2026-08-01</t>
        </is>
      </c>
      <c r="O1930" s="2" t="inlineStr">
        <is>
          <t>https://kaspi.kz/shop/c/mass%20air%20flow%20sensors/</t>
        </is>
      </c>
    </row>
    <row r="1931">
      <c r="A1931" s="2" t="n">
        <v>1930</v>
      </c>
      <c r="B1931" s="2" t="inlineStr">
        <is>
          <t>Картер двигателя</t>
        </is>
      </c>
      <c r="C1931" s="2" t="inlineStr">
        <is>
          <t>Автотовары</t>
        </is>
      </c>
      <c r="D1931" s="2" t="inlineStr">
        <is>
          <t>Автотовары → Автозапчасти → Двигатель → Картер двигателя</t>
        </is>
      </c>
      <c r="E1931" s="3" t="n">
        <v>39000</v>
      </c>
      <c r="F1931" s="3" t="n">
        <v>1</v>
      </c>
      <c r="G1931" s="3">
        <f>IFERROR(E1931/F1931,0)</f>
        <v/>
      </c>
      <c r="H1931" s="3" t="n">
        <v>1</v>
      </c>
      <c r="I1931" s="2" t="n">
        <v>1</v>
      </c>
      <c r="J1931" s="3">
        <f>IFERROR(E1931/H1931,0)</f>
        <v/>
      </c>
      <c r="K1931" s="10">
        <f>E1931/'По разделам'!$B$21</f>
        <v/>
      </c>
      <c r="L1931" s="4">
        <f>L1930+K1931</f>
        <v/>
      </c>
      <c r="M1931" s="2" t="inlineStr">
        <is>
          <t>07359</t>
        </is>
      </c>
      <c r="N1931" s="2" t="inlineStr">
        <is>
          <t>https://app.redstat.kz/niche/07359?event_date=2026-08-01</t>
        </is>
      </c>
      <c r="O1931" s="2" t="inlineStr">
        <is>
          <t>https://kaspi.kz/shop/c/crankcase/</t>
        </is>
      </c>
    </row>
    <row r="1932">
      <c r="A1932" s="2" t="n">
        <v>1931</v>
      </c>
      <c r="B1932" s="2" t="inlineStr">
        <is>
          <t>Коронки сверлильные</t>
        </is>
      </c>
      <c r="C1932" s="2" t="inlineStr">
        <is>
          <t>Строительство, ремонт</t>
        </is>
      </c>
      <c r="D1932" s="2" t="inlineStr">
        <is>
          <t>Строительство, ремонт → Инструменты → Оснастка и расходники для инструмента → Оснастка для дрелей и шуруповертов → Коронки сверлильные</t>
        </is>
      </c>
      <c r="E1932" s="3" t="n">
        <v>38987</v>
      </c>
      <c r="F1932" s="3" t="n">
        <v>4</v>
      </c>
      <c r="G1932" s="3">
        <f>IFERROR(E1932/F1932,0)</f>
        <v/>
      </c>
      <c r="H1932" s="3" t="n">
        <v>2</v>
      </c>
      <c r="I1932" s="2" t="n">
        <v>0</v>
      </c>
      <c r="J1932" s="3">
        <f>IFERROR(E1932/H1932,0)</f>
        <v/>
      </c>
      <c r="K1932" s="10">
        <f>E1932/'По разделам'!$B$21</f>
        <v/>
      </c>
      <c r="L1932" s="4">
        <f>L1931+K1932</f>
        <v/>
      </c>
      <c r="M1932" s="2" t="inlineStr">
        <is>
          <t>06099</t>
        </is>
      </c>
      <c r="N1932" s="2" t="inlineStr">
        <is>
          <t>https://app.redstat.kz/niche/06099?event_date=2026-08-01</t>
        </is>
      </c>
      <c r="O1932" s="2" t="inlineStr">
        <is>
          <t>https://kaspi.kz/shop/c/tool%20crowns/</t>
        </is>
      </c>
    </row>
    <row r="1933">
      <c r="A1933" s="2" t="n">
        <v>1932</v>
      </c>
      <c r="B1933" s="2" t="inlineStr">
        <is>
          <t>Сумки и чехлы для проекторов</t>
        </is>
      </c>
      <c r="C1933" s="2" t="inlineStr">
        <is>
          <t>ТВ, Аудио, Видео</t>
        </is>
      </c>
      <c r="D1933" s="2" t="inlineStr">
        <is>
          <t>ТВ, Аудио, Видео → Видеотехника → Сумки и чехлы для проекторов</t>
        </is>
      </c>
      <c r="E1933" s="3" t="n">
        <v>38854</v>
      </c>
      <c r="F1933" s="3" t="n">
        <v>4</v>
      </c>
      <c r="G1933" s="3">
        <f>IFERROR(E1933/F1933,0)</f>
        <v/>
      </c>
      <c r="H1933" s="3" t="n">
        <v>3</v>
      </c>
      <c r="I1933" s="2" t="n">
        <v>2</v>
      </c>
      <c r="J1933" s="3">
        <f>IFERROR(E1933/H1933,0)</f>
        <v/>
      </c>
      <c r="K1933" s="10">
        <f>E1933/'По разделам'!$B$21</f>
        <v/>
      </c>
      <c r="L1933" s="4">
        <f>L1932+K1933</f>
        <v/>
      </c>
      <c r="M1933" s="2" t="inlineStr">
        <is>
          <t>04897</t>
        </is>
      </c>
      <c r="N1933" s="2" t="inlineStr">
        <is>
          <t>https://app.redstat.kz/niche/04897?event_date=2026-08-01</t>
        </is>
      </c>
      <c r="O1933" s="2" t="inlineStr">
        <is>
          <t>https://kaspi.kz/shop/c/projector%20bags%20and%20cases/</t>
        </is>
      </c>
    </row>
    <row r="1934">
      <c r="A1934" s="2" t="n">
        <v>1933</v>
      </c>
      <c r="B1934" s="2" t="inlineStr">
        <is>
          <t>Ролики на обувь</t>
        </is>
      </c>
      <c r="C1934" s="2" t="inlineStr">
        <is>
          <t>Спорт, туризм</t>
        </is>
      </c>
      <c r="D1934" s="2" t="inlineStr">
        <is>
          <t>Спорт, туризм → Роликовые коньки и лыжероллеры → Ролики на обувь</t>
        </is>
      </c>
      <c r="E1934" s="3" t="n">
        <v>38265</v>
      </c>
      <c r="F1934" s="3" t="n">
        <v>5</v>
      </c>
      <c r="G1934" s="3">
        <f>IFERROR(E1934/F1934,0)</f>
        <v/>
      </c>
      <c r="H1934" s="3" t="n">
        <v>3</v>
      </c>
      <c r="I1934" s="2" t="n">
        <v>2</v>
      </c>
      <c r="J1934" s="3">
        <f>IFERROR(E1934/H1934,0)</f>
        <v/>
      </c>
      <c r="K1934" s="10">
        <f>E1934/'По разделам'!$B$21</f>
        <v/>
      </c>
      <c r="L1934" s="4">
        <f>L1933+K1934</f>
        <v/>
      </c>
      <c r="M1934" s="2" t="inlineStr">
        <is>
          <t>06938</t>
        </is>
      </c>
      <c r="N1934" s="2" t="inlineStr">
        <is>
          <t>https://app.redstat.kz/niche/06938?event_date=2026-08-01</t>
        </is>
      </c>
      <c r="O1934" s="2" t="inlineStr">
        <is>
          <t>https://kaspi.kz/shop/c/electric%20rollers%20for%20shoes/</t>
        </is>
      </c>
    </row>
    <row r="1935">
      <c r="A1935" s="2" t="n">
        <v>1934</v>
      </c>
      <c r="B1935" s="2" t="inlineStr">
        <is>
          <t>Аксессуары для утюгов</t>
        </is>
      </c>
      <c r="C1935" s="2" t="inlineStr">
        <is>
          <t>Бытовая техника</t>
        </is>
      </c>
      <c r="D1935" s="2" t="inlineStr">
        <is>
          <t>Бытовая техника → Малая техника для дома → Аксессуары для малой бытовой техники → Аксессуары для утюгов</t>
        </is>
      </c>
      <c r="E1935" s="3" t="n">
        <v>38100</v>
      </c>
      <c r="F1935" s="3" t="n">
        <v>4</v>
      </c>
      <c r="G1935" s="3">
        <f>IFERROR(E1935/F1935,0)</f>
        <v/>
      </c>
      <c r="H1935" s="3" t="n">
        <v>3</v>
      </c>
      <c r="I1935" s="2" t="n">
        <v>1</v>
      </c>
      <c r="J1935" s="3">
        <f>IFERROR(E1935/H1935,0)</f>
        <v/>
      </c>
      <c r="K1935" s="10">
        <f>E1935/'По разделам'!$B$21</f>
        <v/>
      </c>
      <c r="L1935" s="4">
        <f>L1934+K1935</f>
        <v/>
      </c>
      <c r="M1935" s="2" t="inlineStr">
        <is>
          <t>03760</t>
        </is>
      </c>
      <c r="N1935" s="2" t="inlineStr">
        <is>
          <t>https://app.redstat.kz/niche/03760?event_date=2026-08-01</t>
        </is>
      </c>
      <c r="O1935" s="2" t="inlineStr">
        <is>
          <t>https://kaspi.kz/shop/c/accessories%20for%20irons/</t>
        </is>
      </c>
    </row>
    <row r="1936">
      <c r="A1936" s="2" t="n">
        <v>1935</v>
      </c>
      <c r="B1936" s="2" t="inlineStr">
        <is>
          <t>Газонокосилки</t>
        </is>
      </c>
      <c r="C1936" s="2" t="inlineStr">
        <is>
          <t>Товары для дома и дачи</t>
        </is>
      </c>
      <c r="D1936" s="2" t="inlineStr">
        <is>
          <t>Товары для дома и дачи → Дача, сад и огород → Садовая техника → Газонокосилки</t>
        </is>
      </c>
      <c r="E1936" s="3" t="n">
        <v>37990</v>
      </c>
      <c r="F1936" s="3" t="n">
        <v>1</v>
      </c>
      <c r="G1936" s="3">
        <f>IFERROR(E1936/F1936,0)</f>
        <v/>
      </c>
      <c r="H1936" s="3" t="n">
        <v>1</v>
      </c>
      <c r="I1936" s="2" t="n">
        <v>1</v>
      </c>
      <c r="J1936" s="3">
        <f>IFERROR(E1936/H1936,0)</f>
        <v/>
      </c>
      <c r="K1936" s="10">
        <f>E1936/'По разделам'!$B$21</f>
        <v/>
      </c>
      <c r="L1936" s="4">
        <f>L1935+K1936</f>
        <v/>
      </c>
      <c r="M1936" s="2" t="inlineStr">
        <is>
          <t>00761</t>
        </is>
      </c>
      <c r="N1936" s="2" t="inlineStr">
        <is>
          <t>https://app.redstat.kz/niche/00761?event_date=2026-08-01</t>
        </is>
      </c>
      <c r="O1936" s="2" t="inlineStr">
        <is>
          <t>https://kaspi.kz/shop/c/lawn%20mowers/</t>
        </is>
      </c>
    </row>
    <row r="1937">
      <c r="A1937" s="2" t="n">
        <v>1936</v>
      </c>
      <c r="B1937" s="2" t="inlineStr">
        <is>
          <t>Пластиковые окна</t>
        </is>
      </c>
      <c r="C1937" s="2" t="inlineStr">
        <is>
          <t>Строительство, ремонт</t>
        </is>
      </c>
      <c r="D1937" s="2" t="inlineStr">
        <is>
          <t>Строительство, ремонт → Двери, окна, лестницы → Окна, подоконники и аксессуары → Пластиковые окна</t>
        </is>
      </c>
      <c r="E1937" s="3" t="n">
        <v>37491</v>
      </c>
      <c r="F1937" s="3" t="n">
        <v>41</v>
      </c>
      <c r="G1937" s="3">
        <f>IFERROR(E1937/F1937,0)</f>
        <v/>
      </c>
      <c r="H1937" s="3" t="n">
        <v>18</v>
      </c>
      <c r="I1937" s="2" t="n">
        <v>8</v>
      </c>
      <c r="J1937" s="3">
        <f>IFERROR(E1937/H1937,0)</f>
        <v/>
      </c>
      <c r="K1937" s="10">
        <f>E1937/'По разделам'!$B$21</f>
        <v/>
      </c>
      <c r="L1937" s="4">
        <f>L1936+K1937</f>
        <v/>
      </c>
      <c r="M1937" s="2" t="inlineStr">
        <is>
          <t>03595</t>
        </is>
      </c>
      <c r="N1937" s="2" t="inlineStr">
        <is>
          <t>https://app.redstat.kz/niche/03595?event_date=2026-08-01</t>
        </is>
      </c>
      <c r="O1937" s="2" t="inlineStr">
        <is>
          <t>https://kaspi.kz/shop/c/plastic%20windows/</t>
        </is>
      </c>
    </row>
    <row r="1938">
      <c r="A1938" s="2" t="n">
        <v>1937</v>
      </c>
      <c r="B1938" s="2" t="inlineStr">
        <is>
          <t>Настольные часы</t>
        </is>
      </c>
      <c r="C1938" s="2" t="inlineStr">
        <is>
          <t>Товары для дома и дачи</t>
        </is>
      </c>
      <c r="D1938" s="2" t="inlineStr">
        <is>
          <t>Товары для дома и дачи → Интерьер → Часы и метеостанции → Настольные часы</t>
        </is>
      </c>
      <c r="E1938" s="3" t="n">
        <v>37443</v>
      </c>
      <c r="F1938" s="3" t="n">
        <v>13</v>
      </c>
      <c r="G1938" s="3">
        <f>IFERROR(E1938/F1938,0)</f>
        <v/>
      </c>
      <c r="H1938" s="3" t="n">
        <v>4</v>
      </c>
      <c r="I1938" s="2" t="n">
        <v>2</v>
      </c>
      <c r="J1938" s="3">
        <f>IFERROR(E1938/H1938,0)</f>
        <v/>
      </c>
      <c r="K1938" s="10">
        <f>E1938/'По разделам'!$B$21</f>
        <v/>
      </c>
      <c r="L1938" s="4">
        <f>L1937+K1938</f>
        <v/>
      </c>
      <c r="M1938" s="2" t="inlineStr">
        <is>
          <t>02580</t>
        </is>
      </c>
      <c r="N1938" s="2" t="inlineStr">
        <is>
          <t>https://app.redstat.kz/niche/02580?event_date=2026-08-01</t>
        </is>
      </c>
      <c r="O1938" s="2" t="inlineStr">
        <is>
          <t>https://kaspi.kz/shop/c/desk%20clocks/</t>
        </is>
      </c>
    </row>
    <row r="1939">
      <c r="A1939" s="2" t="n">
        <v>1938</v>
      </c>
      <c r="B1939" s="2" t="inlineStr">
        <is>
          <t>Элементы привода</t>
        </is>
      </c>
      <c r="C1939" s="2" t="inlineStr">
        <is>
          <t>Автотовары</t>
        </is>
      </c>
      <c r="D1939" s="2" t="inlineStr">
        <is>
          <t>Автотовары → Автозапчасти → Трансмиссия → Элементы привода</t>
        </is>
      </c>
      <c r="E1939" s="3" t="n">
        <v>37400</v>
      </c>
      <c r="F1939" s="3" t="n">
        <v>3</v>
      </c>
      <c r="G1939" s="3">
        <f>IFERROR(E1939/F1939,0)</f>
        <v/>
      </c>
      <c r="H1939" s="3" t="n">
        <v>2</v>
      </c>
      <c r="I1939" s="2" t="n">
        <v>2</v>
      </c>
      <c r="J1939" s="3">
        <f>IFERROR(E1939/H1939,0)</f>
        <v/>
      </c>
      <c r="K1939" s="10">
        <f>E1939/'По разделам'!$B$21</f>
        <v/>
      </c>
      <c r="L1939" s="4">
        <f>L1938+K1939</f>
        <v/>
      </c>
      <c r="M1939" s="2" t="inlineStr">
        <is>
          <t>07054</t>
        </is>
      </c>
      <c r="N1939" s="2" t="inlineStr">
        <is>
          <t>https://app.redstat.kz/niche/07054?event_date=2026-08-01</t>
        </is>
      </c>
      <c r="O1939" s="2" t="inlineStr">
        <is>
          <t>https://kaspi.kz/shop/c/drive%20elements/</t>
        </is>
      </c>
    </row>
    <row r="1940">
      <c r="A1940" s="2" t="n">
        <v>1939</v>
      </c>
      <c r="B1940" s="2" t="inlineStr">
        <is>
          <t>Снегоуборочные лопаты</t>
        </is>
      </c>
      <c r="C1940" s="2" t="inlineStr">
        <is>
          <t>Товары для дома и дачи</t>
        </is>
      </c>
      <c r="D1940" s="2" t="inlineStr">
        <is>
          <t>Товары для дома и дачи → Дача, сад и огород → Снегоуборочный инвентарь → Снегоуборочные лопаты</t>
        </is>
      </c>
      <c r="E1940" s="3" t="n">
        <v>37187</v>
      </c>
      <c r="F1940" s="3" t="n">
        <v>6</v>
      </c>
      <c r="G1940" s="3">
        <f>IFERROR(E1940/F1940,0)</f>
        <v/>
      </c>
      <c r="H1940" s="3" t="n">
        <v>6</v>
      </c>
      <c r="I1940" s="2" t="n">
        <v>5</v>
      </c>
      <c r="J1940" s="3">
        <f>IFERROR(E1940/H1940,0)</f>
        <v/>
      </c>
      <c r="K1940" s="10">
        <f>E1940/'По разделам'!$B$21</f>
        <v/>
      </c>
      <c r="L1940" s="4">
        <f>L1939+K1940</f>
        <v/>
      </c>
      <c r="M1940" s="2" t="inlineStr">
        <is>
          <t>03369</t>
        </is>
      </c>
      <c r="N1940" s="2" t="inlineStr">
        <is>
          <t>https://app.redstat.kz/niche/03369?event_date=2026-08-01</t>
        </is>
      </c>
      <c r="O1940" s="2" t="inlineStr">
        <is>
          <t>https://kaspi.kz/shop/c/snow%20shovels/</t>
        </is>
      </c>
    </row>
    <row r="1941">
      <c r="A1941" s="2" t="n">
        <v>1940</v>
      </c>
      <c r="B1941" s="2" t="inlineStr">
        <is>
          <t>Клапанные боксы</t>
        </is>
      </c>
      <c r="C1941" s="2" t="inlineStr">
        <is>
          <t>Товары для дома и дачи</t>
        </is>
      </c>
      <c r="D1941" s="2" t="inlineStr">
        <is>
          <t>Товары для дома и дачи → Дача, сад и огород → Аксессуары для полива → Клапанные боксы</t>
        </is>
      </c>
      <c r="E1941" s="3" t="n">
        <v>36995</v>
      </c>
      <c r="F1941" s="3" t="n">
        <v>2</v>
      </c>
      <c r="G1941" s="3">
        <f>IFERROR(E1941/F1941,0)</f>
        <v/>
      </c>
      <c r="H1941" s="3" t="n">
        <v>1</v>
      </c>
      <c r="I1941" s="2" t="n">
        <v>1</v>
      </c>
      <c r="J1941" s="3">
        <f>IFERROR(E1941/H1941,0)</f>
        <v/>
      </c>
      <c r="K1941" s="10">
        <f>E1941/'По разделам'!$B$21</f>
        <v/>
      </c>
      <c r="L1941" s="4">
        <f>L1940+K1941</f>
        <v/>
      </c>
      <c r="M1941" s="2" t="inlineStr">
        <is>
          <t>06798</t>
        </is>
      </c>
      <c r="N1941" s="2" t="inlineStr">
        <is>
          <t>https://app.redstat.kz/niche/06798?event_date=2026-08-01</t>
        </is>
      </c>
      <c r="O1941" s="2" t="inlineStr">
        <is>
          <t>https://kaspi.kz/shop/c/valve%20boxes/</t>
        </is>
      </c>
    </row>
    <row r="1942">
      <c r="A1942" s="2" t="n">
        <v>1941</v>
      </c>
      <c r="B1942" s="2" t="inlineStr">
        <is>
          <t>Тенты и купола для бассейнов</t>
        </is>
      </c>
      <c r="C1942" s="2" t="inlineStr">
        <is>
          <t>Товары для дома и дачи</t>
        </is>
      </c>
      <c r="D1942" s="2" t="inlineStr">
        <is>
          <t>Товары для дома и дачи → Дача, сад и огород → Бассейны и аксессуары → Тенты и купола для бассейнов</t>
        </is>
      </c>
      <c r="E1942" s="3" t="n">
        <v>36990</v>
      </c>
      <c r="F1942" s="3" t="n">
        <v>1</v>
      </c>
      <c r="G1942" s="3">
        <f>IFERROR(E1942/F1942,0)</f>
        <v/>
      </c>
      <c r="H1942" s="3" t="n">
        <v>1</v>
      </c>
      <c r="I1942" s="2" t="n">
        <v>1</v>
      </c>
      <c r="J1942" s="3">
        <f>IFERROR(E1942/H1942,0)</f>
        <v/>
      </c>
      <c r="K1942" s="10">
        <f>E1942/'По разделам'!$B$21</f>
        <v/>
      </c>
      <c r="L1942" s="4">
        <f>L1941+K1942</f>
        <v/>
      </c>
      <c r="M1942" s="2" t="inlineStr">
        <is>
          <t>02595</t>
        </is>
      </c>
      <c r="N1942" s="2" t="inlineStr">
        <is>
          <t>https://app.redstat.kz/niche/02595?event_date=2026-08-01</t>
        </is>
      </c>
      <c r="O1942" s="2" t="inlineStr">
        <is>
          <t>https://kaspi.kz/shop/c/pool%20canopies/</t>
        </is>
      </c>
    </row>
    <row r="1943">
      <c r="A1943" s="2" t="n">
        <v>1942</v>
      </c>
      <c r="B1943" s="2" t="inlineStr">
        <is>
          <t>Фурнитура для карнизов и рулонных штор</t>
        </is>
      </c>
      <c r="C1943" s="2" t="inlineStr">
        <is>
          <t>Товары для дома и дачи</t>
        </is>
      </c>
      <c r="D1943" s="2" t="inlineStr">
        <is>
          <t>Товары для дома и дачи → Домашний текстиль → Шторы и карнизы → Комплектующие для штор и жалюзи → Фурнитура для карнизов и рулонных штор</t>
        </is>
      </c>
      <c r="E1943" s="3" t="n">
        <v>36881</v>
      </c>
      <c r="F1943" s="3" t="n">
        <v>65</v>
      </c>
      <c r="G1943" s="3">
        <f>IFERROR(E1943/F1943,0)</f>
        <v/>
      </c>
      <c r="H1943" s="3" t="n">
        <v>11</v>
      </c>
      <c r="I1943" s="2" t="n">
        <v>3</v>
      </c>
      <c r="J1943" s="3">
        <f>IFERROR(E1943/H1943,0)</f>
        <v/>
      </c>
      <c r="K1943" s="10">
        <f>E1943/'По разделам'!$B$21</f>
        <v/>
      </c>
      <c r="L1943" s="4">
        <f>L1942+K1943</f>
        <v/>
      </c>
      <c r="M1943" s="2" t="inlineStr">
        <is>
          <t>05734</t>
        </is>
      </c>
      <c r="N1943" s="2" t="inlineStr">
        <is>
          <t>https://app.redstat.kz/niche/05734?event_date=2026-08-01</t>
        </is>
      </c>
      <c r="O1943" s="2" t="inlineStr">
        <is>
          <t>https://kaspi.kz/shop/c/accessories%20for%20curtain%20rods/</t>
        </is>
      </c>
    </row>
    <row r="1944">
      <c r="A1944" s="2" t="n">
        <v>1943</v>
      </c>
      <c r="B1944" s="2" t="inlineStr">
        <is>
          <t>Люверсы и насадки для пробойников</t>
        </is>
      </c>
      <c r="C1944" s="2" t="inlineStr">
        <is>
          <t>Канцелярские товары</t>
        </is>
      </c>
      <c r="D1944" s="2" t="inlineStr">
        <is>
          <t>Канцелярские товары → Постпечатное оборудование → Люверсы и насадки для пробойников</t>
        </is>
      </c>
      <c r="E1944" s="3" t="n">
        <v>36399</v>
      </c>
      <c r="F1944" s="3" t="n">
        <v>7</v>
      </c>
      <c r="G1944" s="3">
        <f>IFERROR(E1944/F1944,0)</f>
        <v/>
      </c>
      <c r="H1944" s="3" t="n">
        <v>3</v>
      </c>
      <c r="I1944" s="2" t="n">
        <v>0</v>
      </c>
      <c r="J1944" s="3">
        <f>IFERROR(E1944/H1944,0)</f>
        <v/>
      </c>
      <c r="K1944" s="10">
        <f>E1944/'По разделам'!$B$21</f>
        <v/>
      </c>
      <c r="L1944" s="4">
        <f>L1943+K1944</f>
        <v/>
      </c>
      <c r="M1944" s="2" t="inlineStr">
        <is>
          <t>06326</t>
        </is>
      </c>
      <c r="N1944" s="2" t="inlineStr">
        <is>
          <t>https://app.redstat.kz/niche/06326?event_date=2026-08-01</t>
        </is>
      </c>
      <c r="O1944" s="2" t="inlineStr">
        <is>
          <t>https://kaspi.kz/shop/c/eyelets%20and%20nozzles/</t>
        </is>
      </c>
    </row>
    <row r="1945">
      <c r="A1945" s="2" t="n">
        <v>1944</v>
      </c>
      <c r="B1945" s="2" t="inlineStr">
        <is>
          <t>Кувшины и декантеры</t>
        </is>
      </c>
      <c r="C1945" s="2" t="inlineStr">
        <is>
          <t>Товары для дома и дачи</t>
        </is>
      </c>
      <c r="D1945" s="2" t="inlineStr">
        <is>
          <t>Товары для дома и дачи → Посуда и принадлежности → Бокалы и стаканы → Кувшины и декантеры</t>
        </is>
      </c>
      <c r="E1945" s="3" t="n">
        <v>36355</v>
      </c>
      <c r="F1945" s="3" t="n">
        <v>9</v>
      </c>
      <c r="G1945" s="3">
        <f>IFERROR(E1945/F1945,0)</f>
        <v/>
      </c>
      <c r="H1945" s="3" t="n">
        <v>7</v>
      </c>
      <c r="I1945" s="2" t="n">
        <v>3</v>
      </c>
      <c r="J1945" s="3">
        <f>IFERROR(E1945/H1945,0)</f>
        <v/>
      </c>
      <c r="K1945" s="10">
        <f>E1945/'По разделам'!$B$21</f>
        <v/>
      </c>
      <c r="L1945" s="4">
        <f>L1944+K1945</f>
        <v/>
      </c>
      <c r="M1945" s="2" t="inlineStr">
        <is>
          <t>05612</t>
        </is>
      </c>
      <c r="N1945" s="2" t="inlineStr">
        <is>
          <t>https://app.redstat.kz/niche/05612?event_date=2026-08-01</t>
        </is>
      </c>
      <c r="O1945" s="2" t="inlineStr">
        <is>
          <t>https://kaspi.kz/shop/c/jugs%20and%20decanters/</t>
        </is>
      </c>
    </row>
    <row r="1946">
      <c r="A1946" s="2" t="n">
        <v>1945</v>
      </c>
      <c r="B1946" s="2" t="inlineStr">
        <is>
          <t>Аксессуары для детского транспорта</t>
        </is>
      </c>
      <c r="C1946" s="2" t="inlineStr">
        <is>
          <t>Детские товары</t>
        </is>
      </c>
      <c r="D1946" s="2" t="inlineStr">
        <is>
          <t>Детские товары → Игрушки → Аксессуары для детского транспорта</t>
        </is>
      </c>
      <c r="E1946" s="3" t="n">
        <v>36268</v>
      </c>
      <c r="F1946" s="3" t="n">
        <v>21</v>
      </c>
      <c r="G1946" s="3">
        <f>IFERROR(E1946/F1946,0)</f>
        <v/>
      </c>
      <c r="H1946" s="3" t="n">
        <v>3</v>
      </c>
      <c r="I1946" s="2" t="n">
        <v>0</v>
      </c>
      <c r="J1946" s="3">
        <f>IFERROR(E1946/H1946,0)</f>
        <v/>
      </c>
      <c r="K1946" s="10">
        <f>E1946/'По разделам'!$B$21</f>
        <v/>
      </c>
      <c r="L1946" s="4">
        <f>L1945+K1946</f>
        <v/>
      </c>
      <c r="M1946" s="2" t="inlineStr">
        <is>
          <t>06631</t>
        </is>
      </c>
      <c r="N1946" s="2" t="inlineStr">
        <is>
          <t>https://app.redstat.kz/niche/06631?event_date=2026-08-01</t>
        </is>
      </c>
      <c r="O1946" s="2" t="inlineStr">
        <is>
          <t>https://kaspi.kz/shop/c/accessories%20for%20children%20transportura/</t>
        </is>
      </c>
    </row>
    <row r="1947">
      <c r="A1947" s="2" t="n">
        <v>1946</v>
      </c>
      <c r="B1947" s="2" t="inlineStr">
        <is>
          <t>Электроды для сварки</t>
        </is>
      </c>
      <c r="C1947" s="2" t="inlineStr">
        <is>
          <t>Строительство, ремонт</t>
        </is>
      </c>
      <c r="D1947" s="2" t="inlineStr">
        <is>
          <t>Строительство, ремонт → Инструменты → Сварочное оборудование → Аксессуары для сварки → Электроды для сварки</t>
        </is>
      </c>
      <c r="E1947" s="3" t="n">
        <v>36000</v>
      </c>
      <c r="F1947" s="3" t="n">
        <v>8</v>
      </c>
      <c r="G1947" s="3">
        <f>IFERROR(E1947/F1947,0)</f>
        <v/>
      </c>
      <c r="H1947" s="3" t="n">
        <v>1</v>
      </c>
      <c r="I1947" s="2" t="n">
        <v>1</v>
      </c>
      <c r="J1947" s="3">
        <f>IFERROR(E1947/H1947,0)</f>
        <v/>
      </c>
      <c r="K1947" s="10">
        <f>E1947/'По разделам'!$B$21</f>
        <v/>
      </c>
      <c r="L1947" s="4">
        <f>L1946+K1947</f>
        <v/>
      </c>
      <c r="M1947" s="2" t="inlineStr">
        <is>
          <t>03539</t>
        </is>
      </c>
      <c r="N1947" s="2" t="inlineStr">
        <is>
          <t>https://app.redstat.kz/niche/03539?event_date=2026-08-01</t>
        </is>
      </c>
      <c r="O1947" s="2" t="inlineStr">
        <is>
          <t>https://kaspi.kz/shop/c/welding%20electrodes/</t>
        </is>
      </c>
    </row>
    <row r="1948">
      <c r="A1948" s="2" t="n">
        <v>1947</v>
      </c>
      <c r="B1948" s="2" t="inlineStr">
        <is>
          <t>Креманки и розетки</t>
        </is>
      </c>
      <c r="C1948" s="2" t="inlineStr">
        <is>
          <t>Товары для дома и дачи</t>
        </is>
      </c>
      <c r="D1948" s="2" t="inlineStr">
        <is>
          <t>Товары для дома и дачи → Посуда и принадлежности → Сервировка стола → Креманки и розетки</t>
        </is>
      </c>
      <c r="E1948" s="3" t="n">
        <v>35798</v>
      </c>
      <c r="F1948" s="3" t="n">
        <v>4</v>
      </c>
      <c r="G1948" s="3">
        <f>IFERROR(E1948/F1948,0)</f>
        <v/>
      </c>
      <c r="H1948" s="3" t="n">
        <v>3</v>
      </c>
      <c r="I1948" s="2" t="n">
        <v>2</v>
      </c>
      <c r="J1948" s="3">
        <f>IFERROR(E1948/H1948,0)</f>
        <v/>
      </c>
      <c r="K1948" s="10">
        <f>E1948/'По разделам'!$B$21</f>
        <v/>
      </c>
      <c r="L1948" s="4">
        <f>L1947+K1948</f>
        <v/>
      </c>
      <c r="M1948" s="2" t="inlineStr">
        <is>
          <t>06399</t>
        </is>
      </c>
      <c r="N1948" s="2" t="inlineStr">
        <is>
          <t>https://app.redstat.kz/niche/06399?event_date=2026-08-01</t>
        </is>
      </c>
      <c r="O1948" s="2" t="inlineStr">
        <is>
          <t>https://kaspi.kz/shop/c/kitchen%20bowls%20and%20sockets/</t>
        </is>
      </c>
    </row>
    <row r="1949">
      <c r="A1949" s="2" t="n">
        <v>1948</v>
      </c>
      <c r="B1949" s="2" t="inlineStr">
        <is>
          <t>Фартуки</t>
        </is>
      </c>
      <c r="C1949" s="2" t="inlineStr">
        <is>
          <t>Товары для дома и дачи</t>
        </is>
      </c>
      <c r="D1949" s="2" t="inlineStr">
        <is>
          <t>Товары для дома и дачи → Домашний текстиль → Текстиль для кухни → Фартуки</t>
        </is>
      </c>
      <c r="E1949" s="3" t="n">
        <v>35451</v>
      </c>
      <c r="F1949" s="3" t="n">
        <v>9</v>
      </c>
      <c r="G1949" s="3">
        <f>IFERROR(E1949/F1949,0)</f>
        <v/>
      </c>
      <c r="H1949" s="3" t="n">
        <v>7</v>
      </c>
      <c r="I1949" s="2" t="n">
        <v>1</v>
      </c>
      <c r="J1949" s="3">
        <f>IFERROR(E1949/H1949,0)</f>
        <v/>
      </c>
      <c r="K1949" s="10">
        <f>E1949/'По разделам'!$B$21</f>
        <v/>
      </c>
      <c r="L1949" s="4">
        <f>L1948+K1949</f>
        <v/>
      </c>
      <c r="M1949" s="2" t="inlineStr">
        <is>
          <t>04158</t>
        </is>
      </c>
      <c r="N1949" s="2" t="inlineStr">
        <is>
          <t>https://app.redstat.kz/niche/04158?event_date=2026-08-01</t>
        </is>
      </c>
      <c r="O1949" s="2" t="inlineStr">
        <is>
          <t>https://kaspi.kz/shop/c/aprons/</t>
        </is>
      </c>
    </row>
    <row r="1950">
      <c r="A1950" s="2" t="n">
        <v>1949</v>
      </c>
      <c r="B1950" s="2" t="inlineStr">
        <is>
          <t>Принадлежности для изготовления колбас</t>
        </is>
      </c>
      <c r="C1950" s="2" t="inlineStr">
        <is>
          <t>Товары для дома и дачи</t>
        </is>
      </c>
      <c r="D1950" s="2" t="inlineStr">
        <is>
          <t>Товары для дома и дачи → Посуда и принадлежности → Кухонные принадлежности → Принадлежности для изготовления колбас</t>
        </is>
      </c>
      <c r="E1950" s="3" t="n">
        <v>35358</v>
      </c>
      <c r="F1950" s="3" t="n">
        <v>15</v>
      </c>
      <c r="G1950" s="3">
        <f>IFERROR(E1950/F1950,0)</f>
        <v/>
      </c>
      <c r="H1950" s="3" t="n">
        <v>8</v>
      </c>
      <c r="I1950" s="2" t="n">
        <v>4</v>
      </c>
      <c r="J1950" s="3">
        <f>IFERROR(E1950/H1950,0)</f>
        <v/>
      </c>
      <c r="K1950" s="10">
        <f>E1950/'По разделам'!$B$21</f>
        <v/>
      </c>
      <c r="L1950" s="4">
        <f>L1949+K1950</f>
        <v/>
      </c>
      <c r="M1950" s="2" t="inlineStr">
        <is>
          <t>06266</t>
        </is>
      </c>
      <c r="N1950" s="2" t="inlineStr">
        <is>
          <t>https://app.redstat.kz/niche/06266?event_date=2026-08-01</t>
        </is>
      </c>
      <c r="O1950" s="2" t="inlineStr">
        <is>
          <t>https://kaspi.kz/shop/c/accessories%20for%20making%20sausages/</t>
        </is>
      </c>
    </row>
    <row r="1951">
      <c r="A1951" s="2" t="n">
        <v>1950</v>
      </c>
      <c r="B1951" s="2" t="inlineStr">
        <is>
          <t>Дуршлаги и сита</t>
        </is>
      </c>
      <c r="C1951" s="2" t="inlineStr">
        <is>
          <t>Товары для дома и дачи</t>
        </is>
      </c>
      <c r="D1951" s="2" t="inlineStr">
        <is>
          <t>Товары для дома и дачи → Посуда и принадлежности → Кухонные принадлежности → Дуршлаги и сита</t>
        </is>
      </c>
      <c r="E1951" s="3" t="n">
        <v>35076</v>
      </c>
      <c r="F1951" s="3" t="n">
        <v>23</v>
      </c>
      <c r="G1951" s="3">
        <f>IFERROR(E1951/F1951,0)</f>
        <v/>
      </c>
      <c r="H1951" s="3" t="n">
        <v>9</v>
      </c>
      <c r="I1951" s="2" t="n">
        <v>4</v>
      </c>
      <c r="J1951" s="3">
        <f>IFERROR(E1951/H1951,0)</f>
        <v/>
      </c>
      <c r="K1951" s="10">
        <f>E1951/'По разделам'!$B$21</f>
        <v/>
      </c>
      <c r="L1951" s="4">
        <f>L1950+K1951</f>
        <v/>
      </c>
      <c r="M1951" s="2" t="inlineStr">
        <is>
          <t>03343</t>
        </is>
      </c>
      <c r="N1951" s="2" t="inlineStr">
        <is>
          <t>https://app.redstat.kz/niche/03343?event_date=2026-08-01</t>
        </is>
      </c>
      <c r="O1951" s="2" t="inlineStr">
        <is>
          <t>https://kaspi.kz/shop/c/colanders%20and%20food%20bowls/</t>
        </is>
      </c>
    </row>
    <row r="1952">
      <c r="A1952" s="2" t="n">
        <v>1951</v>
      </c>
      <c r="B1952" s="2" t="inlineStr">
        <is>
          <t>Аксессуары к GPS-трекерам</t>
        </is>
      </c>
      <c r="C1952" s="2" t="inlineStr">
        <is>
          <t>Автотовары</t>
        </is>
      </c>
      <c r="D1952" s="2" t="inlineStr">
        <is>
          <t>Автотовары → Автоэлектроника → Аксессуары к GPS-трекерам</t>
        </is>
      </c>
      <c r="E1952" s="3" t="n">
        <v>35000</v>
      </c>
      <c r="F1952" s="3" t="n">
        <v>1</v>
      </c>
      <c r="G1952" s="3">
        <f>IFERROR(E1952/F1952,0)</f>
        <v/>
      </c>
      <c r="H1952" s="3" t="n">
        <v>1</v>
      </c>
      <c r="I1952" s="2" t="n">
        <v>0</v>
      </c>
      <c r="J1952" s="3">
        <f>IFERROR(E1952/H1952,0)</f>
        <v/>
      </c>
      <c r="K1952" s="10">
        <f>E1952/'По разделам'!$B$21</f>
        <v/>
      </c>
      <c r="L1952" s="4">
        <f>L1951+K1952</f>
        <v/>
      </c>
      <c r="M1952" s="2" t="inlineStr">
        <is>
          <t>07225</t>
        </is>
      </c>
      <c r="N1952" s="2" t="inlineStr">
        <is>
          <t>https://app.redstat.kz/niche/07225?event_date=2026-08-01</t>
        </is>
      </c>
      <c r="O1952" s="2" t="inlineStr">
        <is>
          <t>https://kaspi.kz/shop/c/accessories%20for%20gps%20tracker/</t>
        </is>
      </c>
    </row>
    <row r="1953">
      <c r="A1953" s="2" t="n">
        <v>1952</v>
      </c>
      <c r="B1953" s="2" t="inlineStr">
        <is>
          <t>Мерные емкости</t>
        </is>
      </c>
      <c r="C1953" s="2" t="inlineStr">
        <is>
          <t>Товары для дома и дачи</t>
        </is>
      </c>
      <c r="D1953" s="2" t="inlineStr">
        <is>
          <t>Товары для дома и дачи → Посуда и принадлежности → Кухонные принадлежности → Мерные емкости</t>
        </is>
      </c>
      <c r="E1953" s="3" t="n">
        <v>34646</v>
      </c>
      <c r="F1953" s="3" t="n">
        <v>32</v>
      </c>
      <c r="G1953" s="3">
        <f>IFERROR(E1953/F1953,0)</f>
        <v/>
      </c>
      <c r="H1953" s="3" t="n">
        <v>15</v>
      </c>
      <c r="I1953" s="2" t="n">
        <v>8</v>
      </c>
      <c r="J1953" s="3">
        <f>IFERROR(E1953/H1953,0)</f>
        <v/>
      </c>
      <c r="K1953" s="10">
        <f>E1953/'По разделам'!$B$21</f>
        <v/>
      </c>
      <c r="L1953" s="4">
        <f>L1952+K1953</f>
        <v/>
      </c>
      <c r="M1953" s="2" t="inlineStr">
        <is>
          <t>03334</t>
        </is>
      </c>
      <c r="N1953" s="2" t="inlineStr">
        <is>
          <t>https://app.redstat.kz/niche/03334?event_date=2026-08-01</t>
        </is>
      </c>
      <c r="O1953" s="2" t="inlineStr">
        <is>
          <t>https://kaspi.kz/shop/c/measuring%20cups%20and%20sieves/</t>
        </is>
      </c>
    </row>
    <row r="1954">
      <c r="A1954" s="2" t="n">
        <v>1953</v>
      </c>
      <c r="B1954" s="2" t="inlineStr">
        <is>
          <t>Калиперы</t>
        </is>
      </c>
      <c r="C1954" s="2" t="inlineStr">
        <is>
          <t>Спорт, туризм</t>
        </is>
      </c>
      <c r="D1954" s="2" t="inlineStr">
        <is>
          <t>Спорт, туризм → Товары для фитнеса → Калиперы</t>
        </is>
      </c>
      <c r="E1954" s="3" t="n">
        <v>34635</v>
      </c>
      <c r="F1954" s="3" t="n">
        <v>12</v>
      </c>
      <c r="G1954" s="3">
        <f>IFERROR(E1954/F1954,0)</f>
        <v/>
      </c>
      <c r="H1954" s="3" t="n">
        <v>3</v>
      </c>
      <c r="I1954" s="2" t="n">
        <v>0</v>
      </c>
      <c r="J1954" s="3">
        <f>IFERROR(E1954/H1954,0)</f>
        <v/>
      </c>
      <c r="K1954" s="10">
        <f>E1954/'По разделам'!$B$21</f>
        <v/>
      </c>
      <c r="L1954" s="4">
        <f>L1953+K1954</f>
        <v/>
      </c>
      <c r="M1954" s="2" t="inlineStr">
        <is>
          <t>09051</t>
        </is>
      </c>
      <c r="N1954" s="2" t="inlineStr">
        <is>
          <t>https://app.redstat.kz/niche/09051?event_date=2026-08-01</t>
        </is>
      </c>
      <c r="O1954" s="2" t="inlineStr">
        <is>
          <t>https://kaspi.kz/shop/c/body%20fat%20calipers/</t>
        </is>
      </c>
    </row>
    <row r="1955">
      <c r="A1955" s="2" t="n">
        <v>1954</v>
      </c>
      <c r="B1955" s="2" t="inlineStr">
        <is>
          <t>Мешки для мусора</t>
        </is>
      </c>
      <c r="C1955" s="2" t="inlineStr">
        <is>
          <t>Товары для дома и дачи</t>
        </is>
      </c>
      <c r="D1955" s="2" t="inlineStr">
        <is>
          <t>Товары для дома и дачи → Хозяйственные товары → Инвентарь для уборки → Мешки для мусора</t>
        </is>
      </c>
      <c r="E1955" s="3" t="n">
        <v>34117</v>
      </c>
      <c r="F1955" s="3" t="n">
        <v>17</v>
      </c>
      <c r="G1955" s="3">
        <f>IFERROR(E1955/F1955,0)</f>
        <v/>
      </c>
      <c r="H1955" s="3" t="n">
        <v>8</v>
      </c>
      <c r="I1955" s="2" t="n">
        <v>6</v>
      </c>
      <c r="J1955" s="3">
        <f>IFERROR(E1955/H1955,0)</f>
        <v/>
      </c>
      <c r="K1955" s="10">
        <f>E1955/'По разделам'!$B$21</f>
        <v/>
      </c>
      <c r="L1955" s="4">
        <f>L1954+K1955</f>
        <v/>
      </c>
      <c r="M1955" s="2" t="inlineStr">
        <is>
          <t>01980</t>
        </is>
      </c>
      <c r="N1955" s="2" t="inlineStr">
        <is>
          <t>https://app.redstat.kz/niche/01980?event_date=2026-08-01</t>
        </is>
      </c>
      <c r="O1955" s="2" t="inlineStr">
        <is>
          <t>https://kaspi.kz/shop/c/garbage%20bags/</t>
        </is>
      </c>
    </row>
    <row r="1956">
      <c r="A1956" s="2" t="n">
        <v>1955</v>
      </c>
      <c r="B1956" s="2" t="inlineStr">
        <is>
          <t>Съемники для топливной системы</t>
        </is>
      </c>
      <c r="C1956" s="2" t="inlineStr">
        <is>
          <t>Автотовары</t>
        </is>
      </c>
      <c r="D1956" s="2" t="inlineStr">
        <is>
          <t>Автотовары → Автоинструменты → Съемники для топливной системы</t>
        </is>
      </c>
      <c r="E1956" s="3" t="n">
        <v>33733</v>
      </c>
      <c r="F1956" s="3" t="n">
        <v>8</v>
      </c>
      <c r="G1956" s="3">
        <f>IFERROR(E1956/F1956,0)</f>
        <v/>
      </c>
      <c r="H1956" s="3" t="n">
        <v>3</v>
      </c>
      <c r="I1956" s="2" t="n">
        <v>0</v>
      </c>
      <c r="J1956" s="3">
        <f>IFERROR(E1956/H1956,0)</f>
        <v/>
      </c>
      <c r="K1956" s="10">
        <f>E1956/'По разделам'!$B$21</f>
        <v/>
      </c>
      <c r="L1956" s="4">
        <f>L1955+K1956</f>
        <v/>
      </c>
      <c r="M1956" s="2" t="inlineStr">
        <is>
          <t>07064</t>
        </is>
      </c>
      <c r="N1956" s="2" t="inlineStr">
        <is>
          <t>https://app.redstat.kz/niche/07064?event_date=2026-08-01</t>
        </is>
      </c>
      <c r="O1956" s="2" t="inlineStr">
        <is>
          <t>https://kaspi.kz/shop/c/fuel%20system%20pullers/</t>
        </is>
      </c>
    </row>
    <row r="1957">
      <c r="A1957" s="2" t="n">
        <v>1956</v>
      </c>
      <c r="B1957" s="2" t="inlineStr">
        <is>
          <t>Компенсаторы плавучести</t>
        </is>
      </c>
      <c r="C1957" s="2" t="inlineStr">
        <is>
          <t>Спорт, туризм</t>
        </is>
      </c>
      <c r="D1957" s="2" t="inlineStr">
        <is>
          <t>Спорт, туризм → Водный спорт → Компенсаторы плавучести</t>
        </is>
      </c>
      <c r="E1957" s="3" t="n">
        <v>33657</v>
      </c>
      <c r="F1957" s="3" t="n">
        <v>5</v>
      </c>
      <c r="G1957" s="3">
        <f>IFERROR(E1957/F1957,0)</f>
        <v/>
      </c>
      <c r="H1957" s="3" t="n">
        <v>3</v>
      </c>
      <c r="I1957" s="2" t="n">
        <v>3</v>
      </c>
      <c r="J1957" s="3">
        <f>IFERROR(E1957/H1957,0)</f>
        <v/>
      </c>
      <c r="K1957" s="10">
        <f>E1957/'По разделам'!$B$21</f>
        <v/>
      </c>
      <c r="L1957" s="4">
        <f>L1956+K1957</f>
        <v/>
      </c>
      <c r="M1957" s="2" t="inlineStr">
        <is>
          <t>03528</t>
        </is>
      </c>
      <c r="N1957" s="2" t="inlineStr">
        <is>
          <t>https://app.redstat.kz/niche/03528?event_date=2026-08-01</t>
        </is>
      </c>
      <c r="O1957" s="2" t="inlineStr">
        <is>
          <t>https://kaspi.kz/shop/c/buoyancy%20compensators/</t>
        </is>
      </c>
    </row>
    <row r="1958">
      <c r="A1958" s="2" t="n">
        <v>1957</v>
      </c>
      <c r="B1958" s="2" t="inlineStr">
        <is>
          <t>Точилки для ножей</t>
        </is>
      </c>
      <c r="C1958" s="2" t="inlineStr">
        <is>
          <t>Товары для дома и дачи</t>
        </is>
      </c>
      <c r="D1958" s="2" t="inlineStr">
        <is>
          <t>Товары для дома и дачи → Посуда и принадлежности → Ножи и разделочные доски → Точилки для ножей</t>
        </is>
      </c>
      <c r="E1958" s="3" t="n">
        <v>33509</v>
      </c>
      <c r="F1958" s="3" t="n">
        <v>16</v>
      </c>
      <c r="G1958" s="3">
        <f>IFERROR(E1958/F1958,0)</f>
        <v/>
      </c>
      <c r="H1958" s="3" t="n">
        <v>8</v>
      </c>
      <c r="I1958" s="2" t="n">
        <v>6</v>
      </c>
      <c r="J1958" s="3">
        <f>IFERROR(E1958/H1958,0)</f>
        <v/>
      </c>
      <c r="K1958" s="10">
        <f>E1958/'По разделам'!$B$21</f>
        <v/>
      </c>
      <c r="L1958" s="4">
        <f>L1957+K1958</f>
        <v/>
      </c>
      <c r="M1958" s="2" t="inlineStr">
        <is>
          <t>04165</t>
        </is>
      </c>
      <c r="N1958" s="2" t="inlineStr">
        <is>
          <t>https://app.redstat.kz/niche/04165?event_date=2026-08-01</t>
        </is>
      </c>
      <c r="O1958" s="2" t="inlineStr">
        <is>
          <t>https://kaspi.kz/shop/c/knife%20sharpeners/</t>
        </is>
      </c>
    </row>
    <row r="1959">
      <c r="A1959" s="2" t="n">
        <v>1958</v>
      </c>
      <c r="B1959" s="2" t="inlineStr">
        <is>
          <t>Кабели, переходники и разветвители</t>
        </is>
      </c>
      <c r="C1959" s="2" t="inlineStr">
        <is>
          <t>Компьютеры</t>
        </is>
      </c>
      <c r="D1959" s="2" t="inlineStr">
        <is>
          <t>Компьютеры → Комплектующие → Другие комплектующие → Аксессуары для моддинга → Кабели, переходники и разветвители</t>
        </is>
      </c>
      <c r="E1959" s="3" t="n">
        <v>33445</v>
      </c>
      <c r="F1959" s="3" t="n">
        <v>5</v>
      </c>
      <c r="G1959" s="3">
        <f>IFERROR(E1959/F1959,0)</f>
        <v/>
      </c>
      <c r="H1959" s="3" t="n">
        <v>3</v>
      </c>
      <c r="I1959" s="2" t="n">
        <v>2</v>
      </c>
      <c r="J1959" s="3">
        <f>IFERROR(E1959/H1959,0)</f>
        <v/>
      </c>
      <c r="K1959" s="10">
        <f>E1959/'По разделам'!$B$21</f>
        <v/>
      </c>
      <c r="L1959" s="4">
        <f>L1958+K1959</f>
        <v/>
      </c>
      <c r="M1959" s="2" t="inlineStr">
        <is>
          <t>06617</t>
        </is>
      </c>
      <c r="N1959" s="2" t="inlineStr">
        <is>
          <t>https://app.redstat.kz/niche/06617?event_date=2026-08-01</t>
        </is>
      </c>
      <c r="O1959" s="2" t="inlineStr">
        <is>
          <t>https://kaspi.kz/shop/c/cables%20and%20splitters/</t>
        </is>
      </c>
    </row>
    <row r="1960">
      <c r="A1960" s="2" t="n">
        <v>1959</v>
      </c>
      <c r="B1960" s="2" t="inlineStr">
        <is>
          <t>Шлифовальные и полировальные круги</t>
        </is>
      </c>
      <c r="C1960" s="2" t="inlineStr">
        <is>
          <t>Строительство, ремонт</t>
        </is>
      </c>
      <c r="D1960" s="2" t="inlineStr">
        <is>
          <t>Строительство, ремонт → Инструменты → Оснастка и расходники для инструмента → Оснастка для шлифовальных машин → Шлифовальные и полировальные круги</t>
        </is>
      </c>
      <c r="E1960" s="3" t="n">
        <v>33438</v>
      </c>
      <c r="F1960" s="3" t="n">
        <v>13</v>
      </c>
      <c r="G1960" s="3">
        <f>IFERROR(E1960/F1960,0)</f>
        <v/>
      </c>
      <c r="H1960" s="3" t="n">
        <v>5</v>
      </c>
      <c r="I1960" s="2" t="n">
        <v>2</v>
      </c>
      <c r="J1960" s="3">
        <f>IFERROR(E1960/H1960,0)</f>
        <v/>
      </c>
      <c r="K1960" s="10">
        <f>E1960/'По разделам'!$B$21</f>
        <v/>
      </c>
      <c r="L1960" s="4">
        <f>L1959+K1960</f>
        <v/>
      </c>
      <c r="M1960" s="2" t="inlineStr">
        <is>
          <t>06108</t>
        </is>
      </c>
      <c r="N1960" s="2" t="inlineStr">
        <is>
          <t>https://app.redstat.kz/niche/06108?event_date=2026-08-01</t>
        </is>
      </c>
      <c r="O1960" s="2" t="inlineStr">
        <is>
          <t>https://kaspi.kz/shop/c/grinding%20wheels/</t>
        </is>
      </c>
    </row>
    <row r="1961">
      <c r="A1961" s="2" t="n">
        <v>1960</v>
      </c>
      <c r="B1961" s="2" t="inlineStr">
        <is>
          <t>Петли дверные</t>
        </is>
      </c>
      <c r="C1961" s="2" t="inlineStr">
        <is>
          <t>Строительство, ремонт</t>
        </is>
      </c>
      <c r="D1961" s="2" t="inlineStr">
        <is>
          <t>Строительство, ремонт → Двери, окна, лестницы → Двери → Ручки, замки и фурнитура для дверей → Петли дверные</t>
        </is>
      </c>
      <c r="E1961" s="3" t="n">
        <v>33371</v>
      </c>
      <c r="F1961" s="3" t="n">
        <v>5</v>
      </c>
      <c r="G1961" s="3">
        <f>IFERROR(E1961/F1961,0)</f>
        <v/>
      </c>
      <c r="H1961" s="3" t="n">
        <v>3</v>
      </c>
      <c r="I1961" s="2" t="n">
        <v>2</v>
      </c>
      <c r="J1961" s="3">
        <f>IFERROR(E1961/H1961,0)</f>
        <v/>
      </c>
      <c r="K1961" s="10">
        <f>E1961/'По разделам'!$B$21</f>
        <v/>
      </c>
      <c r="L1961" s="4">
        <f>L1960+K1961</f>
        <v/>
      </c>
      <c r="M1961" s="2" t="inlineStr">
        <is>
          <t>04993</t>
        </is>
      </c>
      <c r="N1961" s="2" t="inlineStr">
        <is>
          <t>https://app.redstat.kz/niche/04993?event_date=2026-08-01</t>
        </is>
      </c>
      <c r="O1961" s="2" t="inlineStr">
        <is>
          <t>https://kaspi.kz/shop/c/door%20hinges/</t>
        </is>
      </c>
    </row>
    <row r="1962">
      <c r="A1962" s="2" t="n">
        <v>1961</v>
      </c>
      <c r="B1962" s="2" t="inlineStr">
        <is>
          <t>Стиральные порошки</t>
        </is>
      </c>
      <c r="C1962" s="2" t="inlineStr">
        <is>
          <t>Товары для дома и дачи</t>
        </is>
      </c>
      <c r="D1962" s="2" t="inlineStr">
        <is>
          <t>Товары для дома и дачи → Бытовая химия → Средства для стирки → Стиральные порошки</t>
        </is>
      </c>
      <c r="E1962" s="3" t="n">
        <v>33145</v>
      </c>
      <c r="F1962" s="3" t="n">
        <v>10</v>
      </c>
      <c r="G1962" s="3">
        <f>IFERROR(E1962/F1962,0)</f>
        <v/>
      </c>
      <c r="H1962" s="3" t="n">
        <v>4</v>
      </c>
      <c r="I1962" s="2" t="n">
        <v>4</v>
      </c>
      <c r="J1962" s="3">
        <f>IFERROR(E1962/H1962,0)</f>
        <v/>
      </c>
      <c r="K1962" s="10">
        <f>E1962/'По разделам'!$B$21</f>
        <v/>
      </c>
      <c r="L1962" s="4">
        <f>L1961+K1962</f>
        <v/>
      </c>
      <c r="M1962" s="2" t="inlineStr">
        <is>
          <t>02614</t>
        </is>
      </c>
      <c r="N1962" s="2" t="inlineStr">
        <is>
          <t>https://app.redstat.kz/niche/02614?event_date=2026-08-01</t>
        </is>
      </c>
      <c r="O1962" s="2" t="inlineStr">
        <is>
          <t>https://kaspi.kz/shop/c/powder%20detergents/</t>
        </is>
      </c>
    </row>
    <row r="1963">
      <c r="A1963" s="2" t="n">
        <v>1962</v>
      </c>
      <c r="B1963" s="2" t="inlineStr">
        <is>
          <t>Заклепочники</t>
        </is>
      </c>
      <c r="C1963" s="2" t="inlineStr">
        <is>
          <t>Строительство, ремонт</t>
        </is>
      </c>
      <c r="D1963" s="2" t="inlineStr">
        <is>
          <t>Строительство, ремонт → Ручные инструменты → Слесарно-монтажный инструмент → Заклепочники</t>
        </is>
      </c>
      <c r="E1963" s="3" t="n">
        <v>32800</v>
      </c>
      <c r="F1963" s="3" t="n">
        <v>1</v>
      </c>
      <c r="G1963" s="3">
        <f>IFERROR(E1963/F1963,0)</f>
        <v/>
      </c>
      <c r="H1963" s="3" t="n">
        <v>1</v>
      </c>
      <c r="I1963" s="2" t="n">
        <v>1</v>
      </c>
      <c r="J1963" s="3">
        <f>IFERROR(E1963/H1963,0)</f>
        <v/>
      </c>
      <c r="K1963" s="10">
        <f>E1963/'По разделам'!$B$21</f>
        <v/>
      </c>
      <c r="L1963" s="4">
        <f>L1962+K1963</f>
        <v/>
      </c>
      <c r="M1963" s="2" t="inlineStr">
        <is>
          <t>02222</t>
        </is>
      </c>
      <c r="N1963" s="2" t="inlineStr">
        <is>
          <t>https://app.redstat.kz/niche/02222?event_date=2026-08-01</t>
        </is>
      </c>
      <c r="O1963" s="2" t="inlineStr">
        <is>
          <t>https://kaspi.kz/shop/c/riveters/</t>
        </is>
      </c>
    </row>
    <row r="1964">
      <c r="A1964" s="2" t="n">
        <v>1963</v>
      </c>
      <c r="B1964" s="2" t="inlineStr">
        <is>
          <t>Стационарные сотовые телефоны</t>
        </is>
      </c>
      <c r="C1964" s="2" t="inlineStr">
        <is>
          <t>Телефоны и гаджеты</t>
        </is>
      </c>
      <c r="D1964" s="2" t="inlineStr">
        <is>
          <t>Телефоны и гаджеты → Стационарные сотовые телефоны</t>
        </is>
      </c>
      <c r="E1964" s="3" t="n">
        <v>32667</v>
      </c>
      <c r="F1964" s="3" t="n">
        <v>1</v>
      </c>
      <c r="G1964" s="3">
        <f>IFERROR(E1964/F1964,0)</f>
        <v/>
      </c>
      <c r="H1964" s="3" t="n">
        <v>1</v>
      </c>
      <c r="I1964" s="2" t="n">
        <v>1</v>
      </c>
      <c r="J1964" s="3">
        <f>IFERROR(E1964/H1964,0)</f>
        <v/>
      </c>
      <c r="K1964" s="10">
        <f>E1964/'По разделам'!$B$21</f>
        <v/>
      </c>
      <c r="L1964" s="4">
        <f>L1963+K1964</f>
        <v/>
      </c>
      <c r="M1964" s="2" t="inlineStr">
        <is>
          <t>q45a0db0af868dac</t>
        </is>
      </c>
      <c r="N1964" s="2" t="inlineStr">
        <is>
          <t>https://app.redstat.kz/niche/q45a0db0af868dac?event_date=2026-08-01</t>
        </is>
      </c>
      <c r="O1964" s="2" t="inlineStr"/>
    </row>
    <row r="1965">
      <c r="A1965" s="2" t="n">
        <v>1964</v>
      </c>
      <c r="B1965" s="2" t="inlineStr">
        <is>
          <t>Тормоза для самокатов</t>
        </is>
      </c>
      <c r="C1965" s="2" t="inlineStr">
        <is>
          <t>Спорт, туризм</t>
        </is>
      </c>
      <c r="D1965" s="2" t="inlineStr">
        <is>
          <t>Спорт, туризм → Самокаты, гироскутеры, моноколеса → Тормоза для самокатов</t>
        </is>
      </c>
      <c r="E1965" s="3" t="n">
        <v>32640</v>
      </c>
      <c r="F1965" s="3" t="n">
        <v>6</v>
      </c>
      <c r="G1965" s="3">
        <f>IFERROR(E1965/F1965,0)</f>
        <v/>
      </c>
      <c r="H1965" s="3" t="n">
        <v>4</v>
      </c>
      <c r="I1965" s="2" t="n">
        <v>3</v>
      </c>
      <c r="J1965" s="3">
        <f>IFERROR(E1965/H1965,0)</f>
        <v/>
      </c>
      <c r="K1965" s="10">
        <f>E1965/'По разделам'!$B$21</f>
        <v/>
      </c>
      <c r="L1965" s="4">
        <f>L1964+K1965</f>
        <v/>
      </c>
      <c r="M1965" s="2" t="inlineStr">
        <is>
          <t>04093</t>
        </is>
      </c>
      <c r="N1965" s="2" t="inlineStr">
        <is>
          <t>https://app.redstat.kz/niche/04093?event_date=2026-08-01</t>
        </is>
      </c>
      <c r="O1965" s="2" t="inlineStr">
        <is>
          <t>https://kaspi.kz/shop/c/scooter%20brakes/</t>
        </is>
      </c>
    </row>
    <row r="1966">
      <c r="A1966" s="2" t="n">
        <v>1965</v>
      </c>
      <c r="B1966" s="2" t="inlineStr">
        <is>
          <t>Комплектующие для унитазов и писсуаров</t>
        </is>
      </c>
      <c r="C1966" s="2" t="inlineStr">
        <is>
          <t>Строительство, ремонт</t>
        </is>
      </c>
      <c r="D1966" s="2" t="inlineStr">
        <is>
          <t>Строительство, ремонт → Сантехника → Унитазы, биде и аксессуары → Комплектующие для унитазов и писсуаров</t>
        </is>
      </c>
      <c r="E1966" s="3" t="n">
        <v>32396</v>
      </c>
      <c r="F1966" s="3" t="n">
        <v>11</v>
      </c>
      <c r="G1966" s="3">
        <f>IFERROR(E1966/F1966,0)</f>
        <v/>
      </c>
      <c r="H1966" s="3" t="n">
        <v>4</v>
      </c>
      <c r="I1966" s="2" t="n">
        <v>2</v>
      </c>
      <c r="J1966" s="3">
        <f>IFERROR(E1966/H1966,0)</f>
        <v/>
      </c>
      <c r="K1966" s="10">
        <f>E1966/'По разделам'!$B$21</f>
        <v/>
      </c>
      <c r="L1966" s="4">
        <f>L1965+K1966</f>
        <v/>
      </c>
      <c r="M1966" s="2" t="inlineStr">
        <is>
          <t>04115</t>
        </is>
      </c>
      <c r="N1966" s="2" t="inlineStr">
        <is>
          <t>https://app.redstat.kz/niche/04115?event_date=2026-08-01</t>
        </is>
      </c>
      <c r="O1966" s="2" t="inlineStr">
        <is>
          <t>https://kaspi.kz/shop/c/accessories%20for%20toilets%20and%20urinals/</t>
        </is>
      </c>
    </row>
    <row r="1967">
      <c r="A1967" s="2" t="n">
        <v>1966</v>
      </c>
      <c r="B1967" s="2" t="inlineStr">
        <is>
          <t>Видеокассеты для видеокамер</t>
        </is>
      </c>
      <c r="C1967" s="2" t="inlineStr">
        <is>
          <t>ТВ, Аудио, Видео</t>
        </is>
      </c>
      <c r="D1967" s="2" t="inlineStr">
        <is>
          <t>ТВ, Аудио, Видео → Фото- и видеокамеры → Видеокассеты для видеокамер</t>
        </is>
      </c>
      <c r="E1967" s="3" t="n">
        <v>32290</v>
      </c>
      <c r="F1967" s="3" t="n">
        <v>6</v>
      </c>
      <c r="G1967" s="3">
        <f>IFERROR(E1967/F1967,0)</f>
        <v/>
      </c>
      <c r="H1967" s="3" t="n">
        <v>2</v>
      </c>
      <c r="I1967" s="2" t="n">
        <v>2</v>
      </c>
      <c r="J1967" s="3">
        <f>IFERROR(E1967/H1967,0)</f>
        <v/>
      </c>
      <c r="K1967" s="10">
        <f>E1967/'По разделам'!$B$21</f>
        <v/>
      </c>
      <c r="L1967" s="4">
        <f>L1966+K1967</f>
        <v/>
      </c>
      <c r="M1967" s="2" t="inlineStr">
        <is>
          <t>04942</t>
        </is>
      </c>
      <c r="N1967" s="2" t="inlineStr">
        <is>
          <t>https://app.redstat.kz/niche/04942?event_date=2026-08-01</t>
        </is>
      </c>
      <c r="O1967" s="2" t="inlineStr">
        <is>
          <t>https://kaspi.kz/shop/c/video%20cassettes%20for%20camcorders/</t>
        </is>
      </c>
    </row>
    <row r="1968">
      <c r="A1968" s="2" t="n">
        <v>1967</v>
      </c>
      <c r="B1968" s="2" t="inlineStr">
        <is>
          <t>Фотозонты</t>
        </is>
      </c>
      <c r="C1968" s="2" t="inlineStr">
        <is>
          <t>ТВ, Аудио, Видео</t>
        </is>
      </c>
      <c r="D1968" s="2" t="inlineStr">
        <is>
          <t>ТВ, Аудио, Видео → Фото- и видеокамеры → Фотозонты</t>
        </is>
      </c>
      <c r="E1968" s="3" t="n">
        <v>32187</v>
      </c>
      <c r="F1968" s="3" t="n">
        <v>6</v>
      </c>
      <c r="G1968" s="3">
        <f>IFERROR(E1968/F1968,0)</f>
        <v/>
      </c>
      <c r="H1968" s="3" t="n">
        <v>4</v>
      </c>
      <c r="I1968" s="2" t="n">
        <v>3</v>
      </c>
      <c r="J1968" s="3">
        <f>IFERROR(E1968/H1968,0)</f>
        <v/>
      </c>
      <c r="K1968" s="10">
        <f>E1968/'По разделам'!$B$21</f>
        <v/>
      </c>
      <c r="L1968" s="4">
        <f>L1967+K1968</f>
        <v/>
      </c>
      <c r="M1968" s="2" t="inlineStr">
        <is>
          <t>04003</t>
        </is>
      </c>
      <c r="N1968" s="2" t="inlineStr">
        <is>
          <t>https://app.redstat.kz/niche/04003?event_date=2026-08-01</t>
        </is>
      </c>
      <c r="O1968" s="2" t="inlineStr">
        <is>
          <t>https://kaspi.kz/shop/c/photo%20umbrellas/</t>
        </is>
      </c>
    </row>
    <row r="1969">
      <c r="A1969" s="2" t="n">
        <v>1968</v>
      </c>
      <c r="B1969" s="2" t="inlineStr">
        <is>
          <t>Фасады и двери для мебели</t>
        </is>
      </c>
      <c r="C1969" s="2" t="inlineStr">
        <is>
          <t>Мебель</t>
        </is>
      </c>
      <c r="D1969" s="2" t="inlineStr">
        <is>
          <t>Мебель → Фурнитура и комплектующие для мебели → Комплектующие для мебели → Фасады и двери для мебели</t>
        </is>
      </c>
      <c r="E1969" s="3" t="n">
        <v>31960</v>
      </c>
      <c r="F1969" s="3" t="n">
        <v>2</v>
      </c>
      <c r="G1969" s="3">
        <f>IFERROR(E1969/F1969,0)</f>
        <v/>
      </c>
      <c r="H1969" s="3" t="n">
        <v>1</v>
      </c>
      <c r="I1969" s="2" t="n">
        <v>1</v>
      </c>
      <c r="J1969" s="3">
        <f>IFERROR(E1969/H1969,0)</f>
        <v/>
      </c>
      <c r="K1969" s="10">
        <f>E1969/'По разделам'!$B$21</f>
        <v/>
      </c>
      <c r="L1969" s="4">
        <f>L1968+K1969</f>
        <v/>
      </c>
      <c r="M1969" s="2" t="inlineStr">
        <is>
          <t>07144</t>
        </is>
      </c>
      <c r="N1969" s="2" t="inlineStr">
        <is>
          <t>https://app.redstat.kz/niche/07144?event_date=2026-08-01</t>
        </is>
      </c>
      <c r="O1969" s="2" t="inlineStr">
        <is>
          <t>https://kaspi.kz/shop/c/facades%20and%20false%20panels/</t>
        </is>
      </c>
    </row>
    <row r="1970">
      <c r="A1970" s="2" t="n">
        <v>1969</v>
      </c>
      <c r="B1970" s="2" t="inlineStr">
        <is>
          <t>Средства для мытья пола и стен</t>
        </is>
      </c>
      <c r="C1970" s="2" t="inlineStr">
        <is>
          <t>Товары для дома и дачи</t>
        </is>
      </c>
      <c r="D1970" s="2" t="inlineStr">
        <is>
          <t>Товары для дома и дачи → Бытовая химия → Чистящие средства → Средства для мытья пола и стен</t>
        </is>
      </c>
      <c r="E1970" s="3" t="n">
        <v>31836</v>
      </c>
      <c r="F1970" s="3" t="n">
        <v>18</v>
      </c>
      <c r="G1970" s="3">
        <f>IFERROR(E1970/F1970,0)</f>
        <v/>
      </c>
      <c r="H1970" s="3" t="n">
        <v>9</v>
      </c>
      <c r="I1970" s="2" t="n">
        <v>7</v>
      </c>
      <c r="J1970" s="3">
        <f>IFERROR(E1970/H1970,0)</f>
        <v/>
      </c>
      <c r="K1970" s="10">
        <f>E1970/'По разделам'!$B$21</f>
        <v/>
      </c>
      <c r="L1970" s="4">
        <f>L1969+K1970</f>
        <v/>
      </c>
      <c r="M1970" s="2" t="inlineStr">
        <is>
          <t>01721</t>
        </is>
      </c>
      <c r="N1970" s="2" t="inlineStr">
        <is>
          <t>https://app.redstat.kz/niche/01721?event_date=2026-08-01</t>
        </is>
      </c>
      <c r="O1970" s="2" t="inlineStr">
        <is>
          <t>https://kaspi.kz/shop/c/floor%20and%20wall%20cleaners/</t>
        </is>
      </c>
    </row>
    <row r="1971">
      <c r="A1971" s="2" t="n">
        <v>1970</v>
      </c>
      <c r="B1971" s="2" t="inlineStr">
        <is>
          <t>Кулеры и системы охлаждения для ноутбуков</t>
        </is>
      </c>
      <c r="C1971" s="2" t="inlineStr">
        <is>
          <t>Компьютеры</t>
        </is>
      </c>
      <c r="D1971" s="2" t="inlineStr">
        <is>
          <t>Компьютеры → Ноутбуки и аксессуары → Аксессуары для ноутбуков → Кулеры и системы охлаждения для ноутбуков</t>
        </is>
      </c>
      <c r="E1971" s="3" t="n">
        <v>31600</v>
      </c>
      <c r="F1971" s="3" t="n">
        <v>4</v>
      </c>
      <c r="G1971" s="3">
        <f>IFERROR(E1971/F1971,0)</f>
        <v/>
      </c>
      <c r="H1971" s="3" t="n">
        <v>3</v>
      </c>
      <c r="I1971" s="2" t="n">
        <v>1</v>
      </c>
      <c r="J1971" s="3">
        <f>IFERROR(E1971/H1971,0)</f>
        <v/>
      </c>
      <c r="K1971" s="10">
        <f>E1971/'По разделам'!$B$21</f>
        <v/>
      </c>
      <c r="L1971" s="4">
        <f>L1970+K1971</f>
        <v/>
      </c>
      <c r="M1971" s="2" t="inlineStr">
        <is>
          <t>06298</t>
        </is>
      </c>
      <c r="N1971" s="2" t="inlineStr">
        <is>
          <t>https://app.redstat.kz/niche/06298?event_date=2026-08-01</t>
        </is>
      </c>
      <c r="O1971" s="2" t="inlineStr">
        <is>
          <t>https://kaspi.kz/shop/c/coolers%20and%20cooling%20systems%20for%20laptops/</t>
        </is>
      </c>
    </row>
    <row r="1972">
      <c r="A1972" s="2" t="n">
        <v>1971</v>
      </c>
      <c r="B1972" s="2" t="inlineStr">
        <is>
          <t>Фитинги для металлических труб</t>
        </is>
      </c>
      <c r="C1972" s="2" t="inlineStr">
        <is>
          <t>Строительство, ремонт</t>
        </is>
      </c>
      <c r="D1972" s="2" t="inlineStr">
        <is>
          <t>Строительство, ремонт → Водоснабжение → Трубы и фитинги → Фитинги для металлических труб</t>
        </is>
      </c>
      <c r="E1972" s="3" t="n">
        <v>30800</v>
      </c>
      <c r="F1972" s="3" t="n">
        <v>2</v>
      </c>
      <c r="G1972" s="3">
        <f>IFERROR(E1972/F1972,0)</f>
        <v/>
      </c>
      <c r="H1972" s="3" t="n">
        <v>1</v>
      </c>
      <c r="I1972" s="2" t="n">
        <v>1</v>
      </c>
      <c r="J1972" s="3">
        <f>IFERROR(E1972/H1972,0)</f>
        <v/>
      </c>
      <c r="K1972" s="10">
        <f>E1972/'По разделам'!$B$21</f>
        <v/>
      </c>
      <c r="L1972" s="4">
        <f>L1971+K1972</f>
        <v/>
      </c>
      <c r="M1972" s="2" t="inlineStr">
        <is>
          <t>04730</t>
        </is>
      </c>
      <c r="N1972" s="2" t="inlineStr">
        <is>
          <t>https://app.redstat.kz/niche/04730?event_date=2026-08-01</t>
        </is>
      </c>
      <c r="O1972" s="2" t="inlineStr">
        <is>
          <t>https://kaspi.kz/shop/c/fittings%20for%20metal%20pipes/</t>
        </is>
      </c>
    </row>
    <row r="1973">
      <c r="A1973" s="2" t="n">
        <v>1972</v>
      </c>
      <c r="B1973" s="2" t="inlineStr">
        <is>
          <t>Садовые гамаки</t>
        </is>
      </c>
      <c r="C1973" s="2" t="inlineStr">
        <is>
          <t>Товары для дома и дачи</t>
        </is>
      </c>
      <c r="D1973" s="2" t="inlineStr">
        <is>
          <t>Товары для дома и дачи → Дача, сад и огород → Садовая мебель → Садовые гамаки</t>
        </is>
      </c>
      <c r="E1973" s="3" t="n">
        <v>30398</v>
      </c>
      <c r="F1973" s="3" t="n">
        <v>2</v>
      </c>
      <c r="G1973" s="3">
        <f>IFERROR(E1973/F1973,0)</f>
        <v/>
      </c>
      <c r="H1973" s="3" t="n">
        <v>2</v>
      </c>
      <c r="I1973" s="2" t="n">
        <v>1</v>
      </c>
      <c r="J1973" s="3">
        <f>IFERROR(E1973/H1973,0)</f>
        <v/>
      </c>
      <c r="K1973" s="10">
        <f>E1973/'По разделам'!$B$21</f>
        <v/>
      </c>
      <c r="L1973" s="4">
        <f>L1972+K1973</f>
        <v/>
      </c>
      <c r="M1973" s="2" t="inlineStr">
        <is>
          <t>00896</t>
        </is>
      </c>
      <c r="N1973" s="2" t="inlineStr">
        <is>
          <t>https://app.redstat.kz/niche/00896?event_date=2026-08-01</t>
        </is>
      </c>
      <c r="O1973" s="2" t="inlineStr">
        <is>
          <t>https://kaspi.kz/shop/c/hammocks/</t>
        </is>
      </c>
    </row>
    <row r="1974">
      <c r="A1974" s="2" t="n">
        <v>1973</v>
      </c>
      <c r="B1974" s="2" t="inlineStr">
        <is>
          <t>Семена цветов</t>
        </is>
      </c>
      <c r="C1974" s="2" t="inlineStr">
        <is>
          <t>Товары для дома и дачи</t>
        </is>
      </c>
      <c r="D1974" s="2" t="inlineStr">
        <is>
          <t>Товары для дома и дачи → Дача, сад и огород → Семена, саженцы, рассада → Семена цветов</t>
        </is>
      </c>
      <c r="E1974" s="3" t="n">
        <v>30126</v>
      </c>
      <c r="F1974" s="3" t="n">
        <v>29</v>
      </c>
      <c r="G1974" s="3">
        <f>IFERROR(E1974/F1974,0)</f>
        <v/>
      </c>
      <c r="H1974" s="3" t="n">
        <v>16</v>
      </c>
      <c r="I1974" s="2" t="n">
        <v>9</v>
      </c>
      <c r="J1974" s="3">
        <f>IFERROR(E1974/H1974,0)</f>
        <v/>
      </c>
      <c r="K1974" s="10">
        <f>E1974/'По разделам'!$B$21</f>
        <v/>
      </c>
      <c r="L1974" s="4">
        <f>L1973+K1974</f>
        <v/>
      </c>
      <c r="M1974" s="2" t="inlineStr">
        <is>
          <t>05207</t>
        </is>
      </c>
      <c r="N1974" s="2" t="inlineStr">
        <is>
          <t>https://app.redstat.kz/niche/05207?event_date=2026-08-01</t>
        </is>
      </c>
      <c r="O1974" s="2" t="inlineStr">
        <is>
          <t>https://kaspi.kz/shop/c/flower%20seeds/</t>
        </is>
      </c>
    </row>
    <row r="1975">
      <c r="A1975" s="2" t="n">
        <v>1974</v>
      </c>
      <c r="B1975" s="2" t="inlineStr">
        <is>
          <t>Свечные провода</t>
        </is>
      </c>
      <c r="C1975" s="2" t="inlineStr">
        <is>
          <t>Автотовары</t>
        </is>
      </c>
      <c r="D1975" s="2" t="inlineStr">
        <is>
          <t>Автотовары → Автозапчасти → Двигатель → Система зажигания, накаливания → Свечные провода</t>
        </is>
      </c>
      <c r="E1975" s="3" t="n">
        <v>30000</v>
      </c>
      <c r="F1975" s="3" t="n">
        <v>1</v>
      </c>
      <c r="G1975" s="3">
        <f>IFERROR(E1975/F1975,0)</f>
        <v/>
      </c>
      <c r="H1975" s="3" t="n">
        <v>1</v>
      </c>
      <c r="I1975" s="2" t="n">
        <v>1</v>
      </c>
      <c r="J1975" s="3">
        <f>IFERROR(E1975/H1975,0)</f>
        <v/>
      </c>
      <c r="K1975" s="10">
        <f>E1975/'По разделам'!$B$21</f>
        <v/>
      </c>
      <c r="L1975" s="4">
        <f>L1974+K1975</f>
        <v/>
      </c>
      <c r="M1975" s="2" t="inlineStr">
        <is>
          <t>03794</t>
        </is>
      </c>
      <c r="N1975" s="2" t="inlineStr">
        <is>
          <t>https://app.redstat.kz/niche/03794?event_date=2026-08-01</t>
        </is>
      </c>
      <c r="O1975" s="2" t="inlineStr">
        <is>
          <t>https://kaspi.kz/shop/c/spark%20plug%20wires/</t>
        </is>
      </c>
    </row>
    <row r="1976">
      <c r="A1976" s="2" t="n">
        <v>1975</v>
      </c>
      <c r="B1976" s="2" t="inlineStr">
        <is>
          <t>Патч-корды оптические</t>
        </is>
      </c>
      <c r="C1976" s="2" t="inlineStr">
        <is>
          <t>Строительство, ремонт</t>
        </is>
      </c>
      <c r="D1976" s="2" t="inlineStr">
        <is>
          <t>Строительство, ремонт → Электрика → Кабельная продукция → Патч-корды оптические</t>
        </is>
      </c>
      <c r="E1976" s="3" t="n">
        <v>30000</v>
      </c>
      <c r="F1976" s="3" t="n">
        <v>1</v>
      </c>
      <c r="G1976" s="3">
        <f>IFERROR(E1976/F1976,0)</f>
        <v/>
      </c>
      <c r="H1976" s="3" t="n">
        <v>1</v>
      </c>
      <c r="I1976" s="2" t="n">
        <v>1</v>
      </c>
      <c r="J1976" s="3">
        <f>IFERROR(E1976/H1976,0)</f>
        <v/>
      </c>
      <c r="K1976" s="10">
        <f>E1976/'По разделам'!$B$21</f>
        <v/>
      </c>
      <c r="L1976" s="4">
        <f>L1975+K1976</f>
        <v/>
      </c>
      <c r="M1976" s="2" t="inlineStr">
        <is>
          <t>04063</t>
        </is>
      </c>
      <c r="N1976" s="2" t="inlineStr">
        <is>
          <t>https://app.redstat.kz/niche/04063?event_date=2026-08-01</t>
        </is>
      </c>
      <c r="O1976" s="2" t="inlineStr">
        <is>
          <t>https://kaspi.kz/shop/c/optical%20patch%20cords/</t>
        </is>
      </c>
    </row>
    <row r="1977">
      <c r="A1977" s="2" t="n">
        <v>1976</v>
      </c>
      <c r="B1977" s="2" t="inlineStr">
        <is>
          <t>Комплектующие тормозной системы</t>
        </is>
      </c>
      <c r="C1977" s="2" t="inlineStr">
        <is>
          <t>Автотовары</t>
        </is>
      </c>
      <c r="D1977" s="2" t="inlineStr">
        <is>
          <t>Автотовары → Автозапчасти → Тормозная система → Комплектующие тормозной системы</t>
        </is>
      </c>
      <c r="E1977" s="3" t="n">
        <v>30000</v>
      </c>
      <c r="F1977" s="3" t="n">
        <v>1</v>
      </c>
      <c r="G1977" s="3">
        <f>IFERROR(E1977/F1977,0)</f>
        <v/>
      </c>
      <c r="H1977" s="3" t="n">
        <v>1</v>
      </c>
      <c r="I1977" s="2" t="n">
        <v>1</v>
      </c>
      <c r="J1977" s="3">
        <f>IFERROR(E1977/H1977,0)</f>
        <v/>
      </c>
      <c r="K1977" s="10">
        <f>E1977/'По разделам'!$B$21</f>
        <v/>
      </c>
      <c r="L1977" s="4">
        <f>L1976+K1977</f>
        <v/>
      </c>
      <c r="M1977" s="2" t="inlineStr">
        <is>
          <t>07033</t>
        </is>
      </c>
      <c r="N1977" s="2" t="inlineStr">
        <is>
          <t>https://app.redstat.kz/niche/07033?event_date=2026-08-01</t>
        </is>
      </c>
      <c r="O1977" s="2" t="inlineStr">
        <is>
          <t>https://kaspi.kz/shop/c/components%20of%20the%20brake%20system/</t>
        </is>
      </c>
    </row>
    <row r="1978">
      <c r="A1978" s="2" t="n">
        <v>1977</v>
      </c>
      <c r="B1978" s="2" t="inlineStr">
        <is>
          <t>Тормозные суппорта и комплектующие</t>
        </is>
      </c>
      <c r="C1978" s="2" t="inlineStr">
        <is>
          <t>Автотовары</t>
        </is>
      </c>
      <c r="D1978" s="2" t="inlineStr">
        <is>
          <t>Автотовары → Автозапчасти → Тормозная система → Тормозные суппорта и комплектующие</t>
        </is>
      </c>
      <c r="E1978" s="3" t="n">
        <v>30000</v>
      </c>
      <c r="F1978" s="3" t="n">
        <v>1</v>
      </c>
      <c r="G1978" s="3">
        <f>IFERROR(E1978/F1978,0)</f>
        <v/>
      </c>
      <c r="H1978" s="3" t="n">
        <v>1</v>
      </c>
      <c r="I1978" s="2" t="n">
        <v>1</v>
      </c>
      <c r="J1978" s="3">
        <f>IFERROR(E1978/H1978,0)</f>
        <v/>
      </c>
      <c r="K1978" s="10">
        <f>E1978/'По разделам'!$B$21</f>
        <v/>
      </c>
      <c r="L1978" s="4">
        <f>L1977+K1978</f>
        <v/>
      </c>
      <c r="M1978" s="2" t="inlineStr">
        <is>
          <t>07415</t>
        </is>
      </c>
      <c r="N1978" s="2" t="inlineStr">
        <is>
          <t>https://app.redstat.kz/niche/07415?event_date=2026-08-01</t>
        </is>
      </c>
      <c r="O1978" s="2" t="inlineStr">
        <is>
          <t>https://kaspi.kz/shop/c/brake%20calipers%20and%20components/</t>
        </is>
      </c>
    </row>
    <row r="1979">
      <c r="A1979" s="2" t="n">
        <v>1978</v>
      </c>
      <c r="B1979" s="2" t="inlineStr">
        <is>
          <t>Дисковые пилы</t>
        </is>
      </c>
      <c r="C1979" s="2" t="inlineStr">
        <is>
          <t>Строительство, ремонт</t>
        </is>
      </c>
      <c r="D1979" s="2" t="inlineStr">
        <is>
          <t>Строительство, ремонт → Инструменты → Электро- и бензопилы → Дисковые пилы</t>
        </is>
      </c>
      <c r="E1979" s="3" t="n">
        <v>29990</v>
      </c>
      <c r="F1979" s="3" t="n">
        <v>1</v>
      </c>
      <c r="G1979" s="3">
        <f>IFERROR(E1979/F1979,0)</f>
        <v/>
      </c>
      <c r="H1979" s="3" t="n">
        <v>1</v>
      </c>
      <c r="I1979" s="2" t="n">
        <v>1</v>
      </c>
      <c r="J1979" s="3">
        <f>IFERROR(E1979/H1979,0)</f>
        <v/>
      </c>
      <c r="K1979" s="10">
        <f>E1979/'По разделам'!$B$21</f>
        <v/>
      </c>
      <c r="L1979" s="4">
        <f>L1978+K1979</f>
        <v/>
      </c>
      <c r="M1979" s="2" t="inlineStr">
        <is>
          <t>03423</t>
        </is>
      </c>
      <c r="N1979" s="2" t="inlineStr">
        <is>
          <t>https://app.redstat.kz/niche/03423?event_date=2026-08-01</t>
        </is>
      </c>
      <c r="O1979" s="2" t="inlineStr">
        <is>
          <t>https://kaspi.kz/shop/c/circular%20saws/</t>
        </is>
      </c>
    </row>
    <row r="1980">
      <c r="A1980" s="2" t="n">
        <v>1979</v>
      </c>
      <c r="B1980" s="2" t="inlineStr">
        <is>
          <t>Системы жидкостного охлаждения</t>
        </is>
      </c>
      <c r="C1980" s="2" t="inlineStr">
        <is>
          <t>Компьютеры</t>
        </is>
      </c>
      <c r="D1980" s="2" t="inlineStr">
        <is>
          <t>Компьютеры → Комплектующие → Кулеры и системы охлаждения → Системы жидкостного охлаждения</t>
        </is>
      </c>
      <c r="E1980" s="3" t="n">
        <v>29990</v>
      </c>
      <c r="F1980" s="3" t="n">
        <v>1</v>
      </c>
      <c r="G1980" s="3">
        <f>IFERROR(E1980/F1980,0)</f>
        <v/>
      </c>
      <c r="H1980" s="3" t="n">
        <v>1</v>
      </c>
      <c r="I1980" s="2" t="n">
        <v>1</v>
      </c>
      <c r="J1980" s="3">
        <f>IFERROR(E1980/H1980,0)</f>
        <v/>
      </c>
      <c r="K1980" s="10">
        <f>E1980/'По разделам'!$B$21</f>
        <v/>
      </c>
      <c r="L1980" s="4">
        <f>L1979+K1980</f>
        <v/>
      </c>
      <c r="M1980" s="2" t="inlineStr">
        <is>
          <t>09325</t>
        </is>
      </c>
      <c r="N1980" s="2" t="inlineStr">
        <is>
          <t>https://app.redstat.kz/niche/09325?event_date=2026-08-01</t>
        </is>
      </c>
      <c r="O1980" s="2" t="inlineStr">
        <is>
          <t>https://kaspi.kz/shop/c/cpu%20liquid%20cooler/</t>
        </is>
      </c>
    </row>
    <row r="1981">
      <c r="A1981" s="2" t="n">
        <v>1980</v>
      </c>
      <c r="B1981" s="2" t="inlineStr">
        <is>
          <t>Кварцевые лампы и облучатели</t>
        </is>
      </c>
      <c r="C1981" s="2" t="inlineStr">
        <is>
          <t>Аптека</t>
        </is>
      </c>
      <c r="D1981" s="2" t="inlineStr">
        <is>
          <t>Аптека → Медицинские приборы → Кварцевые лампы и облучатели</t>
        </is>
      </c>
      <c r="E1981" s="3" t="n">
        <v>29988</v>
      </c>
      <c r="F1981" s="3" t="n">
        <v>2</v>
      </c>
      <c r="G1981" s="3">
        <f>IFERROR(E1981/F1981,0)</f>
        <v/>
      </c>
      <c r="H1981" s="3" t="n">
        <v>1</v>
      </c>
      <c r="I1981" s="2" t="n">
        <v>0</v>
      </c>
      <c r="J1981" s="3">
        <f>IFERROR(E1981/H1981,0)</f>
        <v/>
      </c>
      <c r="K1981" s="10">
        <f>E1981/'По разделам'!$B$21</f>
        <v/>
      </c>
      <c r="L1981" s="4">
        <f>L1980+K1981</f>
        <v/>
      </c>
      <c r="M1981" s="2" t="inlineStr">
        <is>
          <t>03180</t>
        </is>
      </c>
      <c r="N1981" s="2" t="inlineStr">
        <is>
          <t>https://app.redstat.kz/niche/03180?event_date=2026-08-01</t>
        </is>
      </c>
      <c r="O1981" s="2" t="inlineStr">
        <is>
          <t>https://kaspi.kz/shop/c/disinfection%20germicidal%20lamps/</t>
        </is>
      </c>
    </row>
    <row r="1982">
      <c r="A1982" s="2" t="n">
        <v>1981</v>
      </c>
      <c r="B1982" s="2" t="inlineStr">
        <is>
          <t>Токовые клещи</t>
        </is>
      </c>
      <c r="C1982" s="2" t="inlineStr">
        <is>
          <t>Строительство, ремонт</t>
        </is>
      </c>
      <c r="D1982" s="2" t="inlineStr">
        <is>
          <t>Строительство, ремонт → Инструменты → Измерительные инструменты → Токовые клещи</t>
        </is>
      </c>
      <c r="E1982" s="3" t="n">
        <v>29800</v>
      </c>
      <c r="F1982" s="3" t="n">
        <v>1</v>
      </c>
      <c r="G1982" s="3">
        <f>IFERROR(E1982/F1982,0)</f>
        <v/>
      </c>
      <c r="H1982" s="3" t="n">
        <v>1</v>
      </c>
      <c r="I1982" s="2" t="n">
        <v>1</v>
      </c>
      <c r="J1982" s="3">
        <f>IFERROR(E1982/H1982,0)</f>
        <v/>
      </c>
      <c r="K1982" s="10">
        <f>E1982/'По разделам'!$B$21</f>
        <v/>
      </c>
      <c r="L1982" s="4">
        <f>L1981+K1982</f>
        <v/>
      </c>
      <c r="M1982" s="2" t="inlineStr">
        <is>
          <t>05952</t>
        </is>
      </c>
      <c r="N1982" s="2" t="inlineStr">
        <is>
          <t>https://app.redstat.kz/niche/05952?event_date=2026-08-01</t>
        </is>
      </c>
      <c r="O1982" s="2" t="inlineStr">
        <is>
          <t>https://kaspi.kz/shop/c/current%20clamp/</t>
        </is>
      </c>
    </row>
    <row r="1983">
      <c r="A1983" s="2" t="n">
        <v>1982</v>
      </c>
      <c r="B1983" s="2" t="inlineStr">
        <is>
          <t>Ручки КПП для автомобиля</t>
        </is>
      </c>
      <c r="C1983" s="2" t="inlineStr">
        <is>
          <t>Автотовары</t>
        </is>
      </c>
      <c r="D1983" s="2" t="inlineStr">
        <is>
          <t>Автотовары → Автозапчасти → Детали салона → Ручки КПП для автомобиля</t>
        </is>
      </c>
      <c r="E1983" s="3" t="n">
        <v>29698</v>
      </c>
      <c r="F1983" s="3" t="n">
        <v>6</v>
      </c>
      <c r="G1983" s="3">
        <f>IFERROR(E1983/F1983,0)</f>
        <v/>
      </c>
      <c r="H1983" s="3" t="n">
        <v>3</v>
      </c>
      <c r="I1983" s="2" t="n">
        <v>1</v>
      </c>
      <c r="J1983" s="3">
        <f>IFERROR(E1983/H1983,0)</f>
        <v/>
      </c>
      <c r="K1983" s="10">
        <f>E1983/'По разделам'!$B$21</f>
        <v/>
      </c>
      <c r="L1983" s="4">
        <f>L1982+K1983</f>
        <v/>
      </c>
      <c r="M1983" s="2" t="inlineStr">
        <is>
          <t>05134</t>
        </is>
      </c>
      <c r="N1983" s="2" t="inlineStr">
        <is>
          <t>https://app.redstat.kz/niche/05134?event_date=2026-08-01</t>
        </is>
      </c>
      <c r="O1983" s="2" t="inlineStr">
        <is>
          <t>https://kaspi.kz/shop/c/car%20gear%20knobs/</t>
        </is>
      </c>
    </row>
    <row r="1984">
      <c r="A1984" s="2" t="n">
        <v>1983</v>
      </c>
      <c r="B1984" s="2" t="inlineStr">
        <is>
          <t>Биты для электроинструмента</t>
        </is>
      </c>
      <c r="C1984" s="2" t="inlineStr">
        <is>
          <t>Строительство, ремонт</t>
        </is>
      </c>
      <c r="D1984" s="2" t="inlineStr">
        <is>
          <t>Строительство, ремонт → Инструменты → Оснастка и расходники для инструмента → Оснастка для дрелей и шуруповертов → Биты для электроинструмента</t>
        </is>
      </c>
      <c r="E1984" s="3" t="n">
        <v>29230</v>
      </c>
      <c r="F1984" s="3" t="n">
        <v>9</v>
      </c>
      <c r="G1984" s="3">
        <f>IFERROR(E1984/F1984,0)</f>
        <v/>
      </c>
      <c r="H1984" s="3" t="n">
        <v>2</v>
      </c>
      <c r="I1984" s="2" t="n">
        <v>2</v>
      </c>
      <c r="J1984" s="3">
        <f>IFERROR(E1984/H1984,0)</f>
        <v/>
      </c>
      <c r="K1984" s="10">
        <f>E1984/'По разделам'!$B$21</f>
        <v/>
      </c>
      <c r="L1984" s="4">
        <f>L1983+K1984</f>
        <v/>
      </c>
      <c r="M1984" s="2" t="inlineStr">
        <is>
          <t>06102</t>
        </is>
      </c>
      <c r="N1984" s="2" t="inlineStr">
        <is>
          <t>https://app.redstat.kz/niche/06102?event_date=2026-08-01</t>
        </is>
      </c>
      <c r="O1984" s="2" t="inlineStr">
        <is>
          <t>https://kaspi.kz/shop/c/power%20tool%20bits/</t>
        </is>
      </c>
    </row>
    <row r="1985">
      <c r="A1985" s="2" t="n">
        <v>1984</v>
      </c>
      <c r="B1985" s="2" t="inlineStr">
        <is>
          <t>Очистители и полироли для шин и дисков автомобилей</t>
        </is>
      </c>
      <c r="C1985" s="2" t="inlineStr">
        <is>
          <t>Автотовары</t>
        </is>
      </c>
      <c r="D1985" s="2" t="inlineStr">
        <is>
          <t>Автотовары → Автохимия и автокосметика → Уход за шинами и дисками автомобилей → Очистители и полироли для шин и дисков автомобилей</t>
        </is>
      </c>
      <c r="E1985" s="3" t="n">
        <v>29058</v>
      </c>
      <c r="F1985" s="3" t="n">
        <v>29</v>
      </c>
      <c r="G1985" s="3">
        <f>IFERROR(E1985/F1985,0)</f>
        <v/>
      </c>
      <c r="H1985" s="3" t="n">
        <v>12</v>
      </c>
      <c r="I1985" s="2" t="n">
        <v>8</v>
      </c>
      <c r="J1985" s="3">
        <f>IFERROR(E1985/H1985,0)</f>
        <v/>
      </c>
      <c r="K1985" s="10">
        <f>E1985/'По разделам'!$B$21</f>
        <v/>
      </c>
      <c r="L1985" s="4">
        <f>L1984+K1985</f>
        <v/>
      </c>
      <c r="M1985" s="2" t="inlineStr">
        <is>
          <t>04739</t>
        </is>
      </c>
      <c r="N1985" s="2" t="inlineStr">
        <is>
          <t>https://app.redstat.kz/niche/04739?event_date=2026-08-01</t>
        </is>
      </c>
      <c r="O1985" s="2" t="inlineStr">
        <is>
          <t>https://kaspi.kz/shop/c/cleaners%20and%20polishes%20for%20tires%20and%20rims%20of%20cars/</t>
        </is>
      </c>
    </row>
    <row r="1986">
      <c r="A1986" s="2" t="n">
        <v>1985</v>
      </c>
      <c r="B1986" s="2" t="inlineStr">
        <is>
          <t>Фитинги для поливочных шлангов</t>
        </is>
      </c>
      <c r="C1986" s="2" t="inlineStr">
        <is>
          <t>Товары для дома и дачи</t>
        </is>
      </c>
      <c r="D1986" s="2" t="inlineStr">
        <is>
          <t>Товары для дома и дачи → Дача, сад и огород → Аксессуары для полива → Фитинги для поливочных шлангов</t>
        </is>
      </c>
      <c r="E1986" s="3" t="n">
        <v>29004</v>
      </c>
      <c r="F1986" s="3" t="n">
        <v>22</v>
      </c>
      <c r="G1986" s="3">
        <f>IFERROR(E1986/F1986,0)</f>
        <v/>
      </c>
      <c r="H1986" s="3" t="n">
        <v>10</v>
      </c>
      <c r="I1986" s="2" t="n">
        <v>7</v>
      </c>
      <c r="J1986" s="3">
        <f>IFERROR(E1986/H1986,0)</f>
        <v/>
      </c>
      <c r="K1986" s="10">
        <f>E1986/'По разделам'!$B$21</f>
        <v/>
      </c>
      <c r="L1986" s="4">
        <f>L1985+K1986</f>
        <v/>
      </c>
      <c r="M1986" s="2" t="inlineStr">
        <is>
          <t>05503</t>
        </is>
      </c>
      <c r="N1986" s="2" t="inlineStr">
        <is>
          <t>https://app.redstat.kz/niche/05503?event_date=2026-08-01</t>
        </is>
      </c>
      <c r="O1986" s="2" t="inlineStr">
        <is>
          <t>https://kaspi.kz/shop/c/garden%20hose%20fittings/</t>
        </is>
      </c>
    </row>
    <row r="1987">
      <c r="A1987" s="2" t="n">
        <v>1986</v>
      </c>
      <c r="B1987" s="2" t="inlineStr">
        <is>
          <t>Аксессуары для садовых работ</t>
        </is>
      </c>
      <c r="C1987" s="2" t="inlineStr">
        <is>
          <t>Товары для дома и дачи</t>
        </is>
      </c>
      <c r="D1987" s="2" t="inlineStr">
        <is>
          <t>Товары для дома и дачи → Дача, сад и огород → Садовые инструменты → Аксессуары для садовых работ</t>
        </is>
      </c>
      <c r="E1987" s="3" t="n">
        <v>28685</v>
      </c>
      <c r="F1987" s="3" t="n">
        <v>4</v>
      </c>
      <c r="G1987" s="3">
        <f>IFERROR(E1987/F1987,0)</f>
        <v/>
      </c>
      <c r="H1987" s="3" t="n">
        <v>3</v>
      </c>
      <c r="I1987" s="2" t="n">
        <v>1</v>
      </c>
      <c r="J1987" s="3">
        <f>IFERROR(E1987/H1987,0)</f>
        <v/>
      </c>
      <c r="K1987" s="10">
        <f>E1987/'По разделам'!$B$21</f>
        <v/>
      </c>
      <c r="L1987" s="4">
        <f>L1986+K1987</f>
        <v/>
      </c>
      <c r="M1987" s="2" t="inlineStr">
        <is>
          <t>05844</t>
        </is>
      </c>
      <c r="N1987" s="2" t="inlineStr">
        <is>
          <t>https://app.redstat.kz/niche/05844?event_date=2026-08-01</t>
        </is>
      </c>
      <c r="O1987" s="2" t="inlineStr">
        <is>
          <t>https://kaspi.kz/shop/c/garden%20work%20accessories/</t>
        </is>
      </c>
    </row>
    <row r="1988">
      <c r="A1988" s="2" t="n">
        <v>1987</v>
      </c>
      <c r="B1988" s="2" t="inlineStr">
        <is>
          <t>Садовые дорожки и покрытия</t>
        </is>
      </c>
      <c r="C1988" s="2" t="inlineStr">
        <is>
          <t>Товары для дома и дачи</t>
        </is>
      </c>
      <c r="D1988" s="2" t="inlineStr">
        <is>
          <t>Товары для дома и дачи → Дача, сад и огород → Садовый декор → Садовые дорожки и покрытия</t>
        </is>
      </c>
      <c r="E1988" s="3" t="n">
        <v>28566</v>
      </c>
      <c r="F1988" s="3" t="n">
        <v>4</v>
      </c>
      <c r="G1988" s="3">
        <f>IFERROR(E1988/F1988,0)</f>
        <v/>
      </c>
      <c r="H1988" s="3" t="n">
        <v>3</v>
      </c>
      <c r="I1988" s="2" t="n">
        <v>0</v>
      </c>
      <c r="J1988" s="3">
        <f>IFERROR(E1988/H1988,0)</f>
        <v/>
      </c>
      <c r="K1988" s="10">
        <f>E1988/'По разделам'!$B$21</f>
        <v/>
      </c>
      <c r="L1988" s="4">
        <f>L1987+K1988</f>
        <v/>
      </c>
      <c r="M1988" s="2" t="inlineStr">
        <is>
          <t>04190</t>
        </is>
      </c>
      <c r="N1988" s="2" t="inlineStr">
        <is>
          <t>https://app.redstat.kz/niche/04190?event_date=2026-08-01</t>
        </is>
      </c>
      <c r="O1988" s="2" t="inlineStr">
        <is>
          <t>https://kaspi.kz/shop/c/sidewalks%20and%20coatings%20for%20garden/</t>
        </is>
      </c>
    </row>
    <row r="1989">
      <c r="A1989" s="2" t="n">
        <v>1988</v>
      </c>
      <c r="B1989" s="2" t="inlineStr">
        <is>
          <t>Аппараты для сварки пластиковых труб</t>
        </is>
      </c>
      <c r="C1989" s="2" t="inlineStr">
        <is>
          <t>Строительство, ремонт</t>
        </is>
      </c>
      <c r="D1989" s="2" t="inlineStr">
        <is>
          <t>Строительство, ремонт → Инструменты → Сварочное оборудование → Аппараты для сварки пластиковых труб</t>
        </is>
      </c>
      <c r="E1989" s="3" t="n">
        <v>28500</v>
      </c>
      <c r="F1989" s="3" t="n">
        <v>1</v>
      </c>
      <c r="G1989" s="3">
        <f>IFERROR(E1989/F1989,0)</f>
        <v/>
      </c>
      <c r="H1989" s="3" t="n">
        <v>1</v>
      </c>
      <c r="I1989" s="2" t="n">
        <v>1</v>
      </c>
      <c r="J1989" s="3">
        <f>IFERROR(E1989/H1989,0)</f>
        <v/>
      </c>
      <c r="K1989" s="10">
        <f>E1989/'По разделам'!$B$21</f>
        <v/>
      </c>
      <c r="L1989" s="4">
        <f>L1988+K1989</f>
        <v/>
      </c>
      <c r="M1989" s="2" t="inlineStr">
        <is>
          <t>03432</t>
        </is>
      </c>
      <c r="N1989" s="2" t="inlineStr">
        <is>
          <t>https://app.redstat.kz/niche/03432?event_date=2026-08-01</t>
        </is>
      </c>
      <c r="O1989" s="2" t="inlineStr">
        <is>
          <t>https://kaspi.kz/shop/c/pipe%20welding%20machines/</t>
        </is>
      </c>
    </row>
    <row r="1990">
      <c r="A1990" s="2" t="n">
        <v>1989</v>
      </c>
      <c r="B1990" s="2" t="inlineStr">
        <is>
          <t>Нагревательные элементы</t>
        </is>
      </c>
      <c r="C1990" s="2" t="inlineStr">
        <is>
          <t>Автотовары</t>
        </is>
      </c>
      <c r="D1990" s="2" t="inlineStr">
        <is>
          <t>Автотовары → Автозапчасти → Автоэлектрика → Нагревательные элементы</t>
        </is>
      </c>
      <c r="E1990" s="3" t="n">
        <v>28000</v>
      </c>
      <c r="F1990" s="3" t="n">
        <v>1</v>
      </c>
      <c r="G1990" s="3">
        <f>IFERROR(E1990/F1990,0)</f>
        <v/>
      </c>
      <c r="H1990" s="3" t="n">
        <v>1</v>
      </c>
      <c r="I1990" s="2" t="n">
        <v>0</v>
      </c>
      <c r="J1990" s="3">
        <f>IFERROR(E1990/H1990,0)</f>
        <v/>
      </c>
      <c r="K1990" s="10">
        <f>E1990/'По разделам'!$B$21</f>
        <v/>
      </c>
      <c r="L1990" s="4">
        <f>L1989+K1990</f>
        <v/>
      </c>
      <c r="M1990" s="2" t="inlineStr">
        <is>
          <t>06642</t>
        </is>
      </c>
      <c r="N1990" s="2" t="inlineStr">
        <is>
          <t>https://app.redstat.kz/niche/06642?event_date=2026-08-01</t>
        </is>
      </c>
      <c r="O1990" s="2" t="inlineStr">
        <is>
          <t>https://kaspi.kz/shop/c/heating%20elements/</t>
        </is>
      </c>
    </row>
    <row r="1991">
      <c r="A1991" s="2" t="n">
        <v>1990</v>
      </c>
      <c r="B1991" s="2" t="inlineStr">
        <is>
          <t>Аксессуары для фехтования</t>
        </is>
      </c>
      <c r="C1991" s="2" t="inlineStr">
        <is>
          <t>Спорт, туризм</t>
        </is>
      </c>
      <c r="D1991" s="2" t="inlineStr">
        <is>
          <t>Спорт, туризм → Аксессуары для фехтования</t>
        </is>
      </c>
      <c r="E1991" s="3" t="n">
        <v>28000</v>
      </c>
      <c r="F1991" s="3" t="n">
        <v>2</v>
      </c>
      <c r="G1991" s="3">
        <f>IFERROR(E1991/F1991,0)</f>
        <v/>
      </c>
      <c r="H1991" s="3" t="n">
        <v>2</v>
      </c>
      <c r="I1991" s="2" t="n">
        <v>0</v>
      </c>
      <c r="J1991" s="3">
        <f>IFERROR(E1991/H1991,0)</f>
        <v/>
      </c>
      <c r="K1991" s="10">
        <f>E1991/'По разделам'!$B$21</f>
        <v/>
      </c>
      <c r="L1991" s="4">
        <f>L1990+K1991</f>
        <v/>
      </c>
      <c r="M1991" s="2" t="inlineStr">
        <is>
          <t>q10bd7dab2e487ba</t>
        </is>
      </c>
      <c r="N1991" s="2" t="inlineStr">
        <is>
          <t>https://app.redstat.kz/niche/q10bd7dab2e487ba?event_date=2026-08-01</t>
        </is>
      </c>
      <c r="O1991" s="2" t="inlineStr"/>
    </row>
    <row r="1992">
      <c r="A1992" s="2" t="n">
        <v>1991</v>
      </c>
      <c r="B1992" s="2" t="inlineStr">
        <is>
          <t>Торцевые головки</t>
        </is>
      </c>
      <c r="C1992" s="2" t="inlineStr">
        <is>
          <t>Строительство, ремонт</t>
        </is>
      </c>
      <c r="D1992" s="2" t="inlineStr">
        <is>
          <t>Строительство, ремонт → Инструменты → Оснастка и расходники для инструмента → Торцевые головки</t>
        </is>
      </c>
      <c r="E1992" s="3" t="n">
        <v>27500</v>
      </c>
      <c r="F1992" s="3" t="n">
        <v>1</v>
      </c>
      <c r="G1992" s="3">
        <f>IFERROR(E1992/F1992,0)</f>
        <v/>
      </c>
      <c r="H1992" s="3" t="n">
        <v>1</v>
      </c>
      <c r="I1992" s="2" t="n">
        <v>1</v>
      </c>
      <c r="J1992" s="3">
        <f>IFERROR(E1992/H1992,0)</f>
        <v/>
      </c>
      <c r="K1992" s="10">
        <f>E1992/'По разделам'!$B$21</f>
        <v/>
      </c>
      <c r="L1992" s="4">
        <f>L1991+K1992</f>
        <v/>
      </c>
      <c r="M1992" s="2" t="inlineStr">
        <is>
          <t>04333</t>
        </is>
      </c>
      <c r="N1992" s="2" t="inlineStr">
        <is>
          <t>https://app.redstat.kz/niche/04333?event_date=2026-08-01</t>
        </is>
      </c>
      <c r="O1992" s="2" t="inlineStr">
        <is>
          <t>https://kaspi.kz/shop/c/socket%20heads/</t>
        </is>
      </c>
    </row>
    <row r="1993">
      <c r="A1993" s="2" t="n">
        <v>1992</v>
      </c>
      <c r="B1993" s="2" t="inlineStr">
        <is>
          <t>Одежда для конного спорта</t>
        </is>
      </c>
      <c r="C1993" s="2" t="inlineStr">
        <is>
          <t>Спорт, туризм</t>
        </is>
      </c>
      <c r="D1993" s="2" t="inlineStr">
        <is>
          <t>Спорт, туризм → Конный спорт → Одежда для конного спорта</t>
        </is>
      </c>
      <c r="E1993" s="3" t="n">
        <v>27490</v>
      </c>
      <c r="F1993" s="3" t="n">
        <v>2</v>
      </c>
      <c r="G1993" s="3">
        <f>IFERROR(E1993/F1993,0)</f>
        <v/>
      </c>
      <c r="H1993" s="3" t="n">
        <v>2</v>
      </c>
      <c r="I1993" s="2" t="n">
        <v>1</v>
      </c>
      <c r="J1993" s="3">
        <f>IFERROR(E1993/H1993,0)</f>
        <v/>
      </c>
      <c r="K1993" s="10">
        <f>E1993/'По разделам'!$B$21</f>
        <v/>
      </c>
      <c r="L1993" s="4">
        <f>L1992+K1993</f>
        <v/>
      </c>
      <c r="M1993" s="2" t="inlineStr">
        <is>
          <t>07281</t>
        </is>
      </c>
      <c r="N1993" s="2" t="inlineStr">
        <is>
          <t>https://app.redstat.kz/niche/07281?event_date=2026-08-01</t>
        </is>
      </c>
      <c r="O1993" s="2" t="inlineStr">
        <is>
          <t>https://kaspi.kz/shop/c/equestrian%20clothing/</t>
        </is>
      </c>
    </row>
    <row r="1994">
      <c r="A1994" s="2" t="n">
        <v>1993</v>
      </c>
      <c r="B1994" s="2" t="inlineStr">
        <is>
          <t>Пистолеты, насадки, дождеватели для шлангов</t>
        </is>
      </c>
      <c r="C1994" s="2" t="inlineStr">
        <is>
          <t>Товары для дома и дачи</t>
        </is>
      </c>
      <c r="D1994" s="2" t="inlineStr">
        <is>
          <t>Товары для дома и дачи → Дача, сад и огород → Аксессуары для полива → Пистолеты, насадки, дождеватели для шлангов</t>
        </is>
      </c>
      <c r="E1994" s="3" t="n">
        <v>27280</v>
      </c>
      <c r="F1994" s="3" t="n">
        <v>3</v>
      </c>
      <c r="G1994" s="3">
        <f>IFERROR(E1994/F1994,0)</f>
        <v/>
      </c>
      <c r="H1994" s="3" t="n">
        <v>3</v>
      </c>
      <c r="I1994" s="2" t="n">
        <v>2</v>
      </c>
      <c r="J1994" s="3">
        <f>IFERROR(E1994/H1994,0)</f>
        <v/>
      </c>
      <c r="K1994" s="10">
        <f>E1994/'По разделам'!$B$21</f>
        <v/>
      </c>
      <c r="L1994" s="4">
        <f>L1993+K1994</f>
        <v/>
      </c>
      <c r="M1994" s="2" t="inlineStr">
        <is>
          <t>03552</t>
        </is>
      </c>
      <c r="N1994" s="2" t="inlineStr">
        <is>
          <t>https://app.redstat.kz/niche/03552?event_date=2026-08-01</t>
        </is>
      </c>
      <c r="O1994" s="2" t="inlineStr">
        <is>
          <t>https://kaspi.kz/shop/c/sprinklers%20and%20nozzles/</t>
        </is>
      </c>
    </row>
    <row r="1995">
      <c r="A1995" s="2" t="n">
        <v>1994</v>
      </c>
      <c r="B1995" s="2" t="inlineStr">
        <is>
          <t>Крепления для мониторов</t>
        </is>
      </c>
      <c r="C1995" s="2" t="inlineStr">
        <is>
          <t>Компьютеры</t>
        </is>
      </c>
      <c r="D1995" s="2" t="inlineStr">
        <is>
          <t>Компьютеры → Периферия → Другая периферия → Крепления для мониторов</t>
        </is>
      </c>
      <c r="E1995" s="3" t="n">
        <v>27000</v>
      </c>
      <c r="F1995" s="3" t="n">
        <v>1</v>
      </c>
      <c r="G1995" s="3">
        <f>IFERROR(E1995/F1995,0)</f>
        <v/>
      </c>
      <c r="H1995" s="3" t="n">
        <v>1</v>
      </c>
      <c r="I1995" s="2" t="n">
        <v>1</v>
      </c>
      <c r="J1995" s="3">
        <f>IFERROR(E1995/H1995,0)</f>
        <v/>
      </c>
      <c r="K1995" s="10">
        <f>E1995/'По разделам'!$B$21</f>
        <v/>
      </c>
      <c r="L1995" s="4">
        <f>L1994+K1995</f>
        <v/>
      </c>
      <c r="M1995" s="2" t="inlineStr">
        <is>
          <t>02350</t>
        </is>
      </c>
      <c r="N1995" s="2" t="inlineStr">
        <is>
          <t>https://app.redstat.kz/niche/02350?event_date=2026-08-01</t>
        </is>
      </c>
      <c r="O1995" s="2" t="inlineStr">
        <is>
          <t>https://kaspi.kz/shop/c/mounts%20for%20monitors/</t>
        </is>
      </c>
    </row>
    <row r="1996">
      <c r="A1996" s="2" t="n">
        <v>1995</v>
      </c>
      <c r="B1996" s="2" t="inlineStr">
        <is>
          <t>Матрицы для ноутбуков</t>
        </is>
      </c>
      <c r="C1996" s="2" t="inlineStr">
        <is>
          <t>Компьютеры</t>
        </is>
      </c>
      <c r="D1996" s="2" t="inlineStr">
        <is>
          <t>Компьютеры → Ноутбуки и аксессуары → Аксессуары для ноутбуков → Матрицы для ноутбуков</t>
        </is>
      </c>
      <c r="E1996" s="3" t="n">
        <v>27000</v>
      </c>
      <c r="F1996" s="3" t="n">
        <v>1</v>
      </c>
      <c r="G1996" s="3">
        <f>IFERROR(E1996/F1996,0)</f>
        <v/>
      </c>
      <c r="H1996" s="3" t="n">
        <v>1</v>
      </c>
      <c r="I1996" s="2" t="n">
        <v>1</v>
      </c>
      <c r="J1996" s="3">
        <f>IFERROR(E1996/H1996,0)</f>
        <v/>
      </c>
      <c r="K1996" s="10">
        <f>E1996/'По разделам'!$B$21</f>
        <v/>
      </c>
      <c r="L1996" s="4">
        <f>L1995+K1996</f>
        <v/>
      </c>
      <c r="M1996" s="2" t="inlineStr">
        <is>
          <t>04529</t>
        </is>
      </c>
      <c r="N1996" s="2" t="inlineStr">
        <is>
          <t>https://app.redstat.kz/niche/04529?event_date=2026-08-01</t>
        </is>
      </c>
      <c r="O1996" s="2" t="inlineStr">
        <is>
          <t>https://kaspi.kz/shop/c/laptop%20matrices/</t>
        </is>
      </c>
    </row>
    <row r="1997">
      <c r="A1997" s="2" t="n">
        <v>1996</v>
      </c>
      <c r="B1997" s="2" t="inlineStr">
        <is>
          <t>Аксессуары для триммеров</t>
        </is>
      </c>
      <c r="C1997" s="2" t="inlineStr">
        <is>
          <t>Товары для дома и дачи</t>
        </is>
      </c>
      <c r="D1997" s="2" t="inlineStr">
        <is>
          <t>Товары для дома и дачи → Дача, сад и огород → Садовая техника → Комплектующие и аксессуары для садовой техники → Аксессуары для триммеров</t>
        </is>
      </c>
      <c r="E1997" s="3" t="n">
        <v>26974</v>
      </c>
      <c r="F1997" s="3" t="n">
        <v>9</v>
      </c>
      <c r="G1997" s="3">
        <f>IFERROR(E1997/F1997,0)</f>
        <v/>
      </c>
      <c r="H1997" s="3" t="n">
        <v>7</v>
      </c>
      <c r="I1997" s="2" t="n">
        <v>5</v>
      </c>
      <c r="J1997" s="3">
        <f>IFERROR(E1997/H1997,0)</f>
        <v/>
      </c>
      <c r="K1997" s="10">
        <f>E1997/'По разделам'!$B$21</f>
        <v/>
      </c>
      <c r="L1997" s="4">
        <f>L1996+K1997</f>
        <v/>
      </c>
      <c r="M1997" s="2" t="inlineStr">
        <is>
          <t>05325</t>
        </is>
      </c>
      <c r="N1997" s="2" t="inlineStr">
        <is>
          <t>https://app.redstat.kz/niche/05325?event_date=2026-08-01</t>
        </is>
      </c>
      <c r="O1997" s="2" t="inlineStr">
        <is>
          <t>https://kaspi.kz/shop/c/trimmer%20lines%20and%20knives/</t>
        </is>
      </c>
    </row>
    <row r="1998">
      <c r="A1998" s="2" t="n">
        <v>1997</v>
      </c>
      <c r="B1998" s="2" t="inlineStr">
        <is>
          <t>Семена овощей</t>
        </is>
      </c>
      <c r="C1998" s="2" t="inlineStr">
        <is>
          <t>Товары для дома и дачи</t>
        </is>
      </c>
      <c r="D1998" s="2" t="inlineStr">
        <is>
          <t>Товары для дома и дачи → Дача, сад и огород → Семена, саженцы, рассада → Семена овощей</t>
        </is>
      </c>
      <c r="E1998" s="3" t="n">
        <v>26695</v>
      </c>
      <c r="F1998" s="3" t="n">
        <v>37</v>
      </c>
      <c r="G1998" s="3">
        <f>IFERROR(E1998/F1998,0)</f>
        <v/>
      </c>
      <c r="H1998" s="3" t="n">
        <v>17</v>
      </c>
      <c r="I1998" s="2" t="n">
        <v>7</v>
      </c>
      <c r="J1998" s="3">
        <f>IFERROR(E1998/H1998,0)</f>
        <v/>
      </c>
      <c r="K1998" s="10">
        <f>E1998/'По разделам'!$B$21</f>
        <v/>
      </c>
      <c r="L1998" s="4">
        <f>L1997+K1998</f>
        <v/>
      </c>
      <c r="M1998" s="2" t="inlineStr">
        <is>
          <t>05205</t>
        </is>
      </c>
      <c r="N1998" s="2" t="inlineStr">
        <is>
          <t>https://app.redstat.kz/niche/05205?event_date=2026-08-01</t>
        </is>
      </c>
      <c r="O1998" s="2" t="inlineStr">
        <is>
          <t>https://kaspi.kz/shop/c/vegetable%20seeds/</t>
        </is>
      </c>
    </row>
    <row r="1999">
      <c r="A1999" s="2" t="n">
        <v>1998</v>
      </c>
      <c r="B1999" s="2" t="inlineStr">
        <is>
          <t>Аксессуары для готовки</t>
        </is>
      </c>
      <c r="C1999" s="2" t="inlineStr">
        <is>
          <t>Товары для дома и дачи</t>
        </is>
      </c>
      <c r="D1999" s="2" t="inlineStr">
        <is>
          <t>Товары для дома и дачи → Посуда и принадлежности → Кухонные принадлежности → Аксессуары для готовки</t>
        </is>
      </c>
      <c r="E1999" s="3" t="n">
        <v>26546</v>
      </c>
      <c r="F1999" s="3" t="n">
        <v>17</v>
      </c>
      <c r="G1999" s="3">
        <f>IFERROR(E1999/F1999,0)</f>
        <v/>
      </c>
      <c r="H1999" s="3" t="n">
        <v>8</v>
      </c>
      <c r="I1999" s="2" t="n">
        <v>2</v>
      </c>
      <c r="J1999" s="3">
        <f>IFERROR(E1999/H1999,0)</f>
        <v/>
      </c>
      <c r="K1999" s="10">
        <f>E1999/'По разделам'!$B$21</f>
        <v/>
      </c>
      <c r="L1999" s="4">
        <f>L1998+K1999</f>
        <v/>
      </c>
      <c r="M1999" s="2" t="inlineStr">
        <is>
          <t>04159</t>
        </is>
      </c>
      <c r="N1999" s="2" t="inlineStr">
        <is>
          <t>https://app.redstat.kz/niche/04159?event_date=2026-08-01</t>
        </is>
      </c>
      <c r="O1999" s="2" t="inlineStr">
        <is>
          <t>https://kaspi.kz/shop/c/food%20preparation%20accessories/</t>
        </is>
      </c>
    </row>
    <row r="2000">
      <c r="A2000" s="2" t="n">
        <v>1999</v>
      </c>
      <c r="B2000" s="2" t="inlineStr">
        <is>
          <t>Рюмки и стопки</t>
        </is>
      </c>
      <c r="C2000" s="2" t="inlineStr">
        <is>
          <t>Товары для дома и дачи</t>
        </is>
      </c>
      <c r="D2000" s="2" t="inlineStr">
        <is>
          <t>Товары для дома и дачи → Посуда и принадлежности → Бокалы и стаканы → Рюмки и стопки</t>
        </is>
      </c>
      <c r="E2000" s="3" t="n">
        <v>26135</v>
      </c>
      <c r="F2000" s="3" t="n">
        <v>6</v>
      </c>
      <c r="G2000" s="3">
        <f>IFERROR(E2000/F2000,0)</f>
        <v/>
      </c>
      <c r="H2000" s="3" t="n">
        <v>5</v>
      </c>
      <c r="I2000" s="2" t="n">
        <v>3</v>
      </c>
      <c r="J2000" s="3">
        <f>IFERROR(E2000/H2000,0)</f>
        <v/>
      </c>
      <c r="K2000" s="10">
        <f>E2000/'По разделам'!$B$21</f>
        <v/>
      </c>
      <c r="L2000" s="4">
        <f>L1999+K2000</f>
        <v/>
      </c>
      <c r="M2000" s="2" t="inlineStr">
        <is>
          <t>04501</t>
        </is>
      </c>
      <c r="N2000" s="2" t="inlineStr">
        <is>
          <t>https://app.redstat.kz/niche/04501?event_date=2026-08-01</t>
        </is>
      </c>
      <c r="O2000" s="2" t="inlineStr">
        <is>
          <t>https://kaspi.kz/shop/c/wineglasses%20and%20shot%20glasses/</t>
        </is>
      </c>
    </row>
    <row r="2001">
      <c r="A2001" s="2" t="n">
        <v>2000</v>
      </c>
      <c r="B2001" s="2" t="inlineStr">
        <is>
          <t>Формы для льда, шоколада и десертов</t>
        </is>
      </c>
      <c r="C2001" s="2" t="inlineStr">
        <is>
          <t>Товары для дома и дачи</t>
        </is>
      </c>
      <c r="D2001" s="2" t="inlineStr">
        <is>
          <t>Товары для дома и дачи → Посуда и принадлежности → Кухонные принадлежности → Формы для льда, шоколада и десертов</t>
        </is>
      </c>
      <c r="E2001" s="3" t="n">
        <v>26099</v>
      </c>
      <c r="F2001" s="3" t="n">
        <v>20</v>
      </c>
      <c r="G2001" s="3">
        <f>IFERROR(E2001/F2001,0)</f>
        <v/>
      </c>
      <c r="H2001" s="3" t="n">
        <v>8</v>
      </c>
      <c r="I2001" s="2" t="n">
        <v>4</v>
      </c>
      <c r="J2001" s="3">
        <f>IFERROR(E2001/H2001,0)</f>
        <v/>
      </c>
      <c r="K2001" s="10">
        <f>E2001/'По разделам'!$B$21</f>
        <v/>
      </c>
      <c r="L2001" s="4">
        <f>L2000+K2001</f>
        <v/>
      </c>
      <c r="M2001" s="2" t="inlineStr">
        <is>
          <t>03824</t>
        </is>
      </c>
      <c r="N2001" s="2" t="inlineStr">
        <is>
          <t>https://app.redstat.kz/niche/03824?event_date=2026-08-01</t>
        </is>
      </c>
      <c r="O2001" s="2" t="inlineStr">
        <is>
          <t>https://kaspi.kz/shop/c/forms%20for%20ice%20and%20chocolate/</t>
        </is>
      </c>
    </row>
    <row r="2002">
      <c r="A2002" s="2" t="n">
        <v>2001</v>
      </c>
      <c r="B2002" s="2" t="inlineStr">
        <is>
          <t>Газовые редукторы</t>
        </is>
      </c>
      <c r="C2002" s="2" t="inlineStr">
        <is>
          <t>Строительство, ремонт</t>
        </is>
      </c>
      <c r="D2002" s="2" t="inlineStr">
        <is>
          <t>Строительство, ремонт → Инструменты → Сварочное оборудование → Комплектующие для сварочных аппаратов → Газовые редукторы</t>
        </is>
      </c>
      <c r="E2002" s="3" t="n">
        <v>26000</v>
      </c>
      <c r="F2002" s="3" t="n">
        <v>2</v>
      </c>
      <c r="G2002" s="3">
        <f>IFERROR(E2002/F2002,0)</f>
        <v/>
      </c>
      <c r="H2002" s="3" t="n">
        <v>1</v>
      </c>
      <c r="I2002" s="2" t="n">
        <v>0</v>
      </c>
      <c r="J2002" s="3">
        <f>IFERROR(E2002/H2002,0)</f>
        <v/>
      </c>
      <c r="K2002" s="10">
        <f>E2002/'По разделам'!$B$21</f>
        <v/>
      </c>
      <c r="L2002" s="4">
        <f>L2001+K2002</f>
        <v/>
      </c>
      <c r="M2002" s="2" t="inlineStr">
        <is>
          <t>04412</t>
        </is>
      </c>
      <c r="N2002" s="2" t="inlineStr">
        <is>
          <t>https://app.redstat.kz/niche/04412?event_date=2026-08-01</t>
        </is>
      </c>
      <c r="O2002" s="2" t="inlineStr">
        <is>
          <t>https://kaspi.kz/shop/c/gas%20reducers/</t>
        </is>
      </c>
    </row>
    <row r="2003">
      <c r="A2003" s="2" t="n">
        <v>2002</v>
      </c>
      <c r="B2003" s="2" t="inlineStr">
        <is>
          <t>Натяжитель ремня и комплектующие</t>
        </is>
      </c>
      <c r="C2003" s="2" t="inlineStr">
        <is>
          <t>Автотовары</t>
        </is>
      </c>
      <c r="D2003" s="2" t="inlineStr">
        <is>
          <t>Автотовары → Автозапчасти → Двигатель → Ременной и цепной приводы → Натяжитель ремня и комплектующие</t>
        </is>
      </c>
      <c r="E2003" s="3" t="n">
        <v>26000</v>
      </c>
      <c r="F2003" s="3" t="n">
        <v>1</v>
      </c>
      <c r="G2003" s="3">
        <f>IFERROR(E2003/F2003,0)</f>
        <v/>
      </c>
      <c r="H2003" s="3" t="n">
        <v>1</v>
      </c>
      <c r="I2003" s="2" t="n">
        <v>1</v>
      </c>
      <c r="J2003" s="3">
        <f>IFERROR(E2003/H2003,0)</f>
        <v/>
      </c>
      <c r="K2003" s="10">
        <f>E2003/'По разделам'!$B$21</f>
        <v/>
      </c>
      <c r="L2003" s="4">
        <f>L2002+K2003</f>
        <v/>
      </c>
      <c r="M2003" s="2" t="inlineStr">
        <is>
          <t>07371</t>
        </is>
      </c>
      <c r="N2003" s="2" t="inlineStr">
        <is>
          <t>https://app.redstat.kz/niche/07371?event_date=2026-08-01</t>
        </is>
      </c>
      <c r="O2003" s="2" t="inlineStr">
        <is>
          <t>https://kaspi.kz/shop/c/belt%20tensioner%20and%20components/</t>
        </is>
      </c>
    </row>
    <row r="2004">
      <c r="A2004" s="2" t="n">
        <v>2003</v>
      </c>
      <c r="B2004" s="2" t="inlineStr">
        <is>
          <t>Нейтрализаторы запахов</t>
        </is>
      </c>
      <c r="C2004" s="2" t="inlineStr">
        <is>
          <t>Товары для дома и дачи</t>
        </is>
      </c>
      <c r="D2004" s="2" t="inlineStr">
        <is>
          <t>Товары для дома и дачи → Бытовая химия → Освежители и нейтрализаторы запахов → Нейтрализаторы запахов</t>
        </is>
      </c>
      <c r="E2004" s="3" t="n">
        <v>25985</v>
      </c>
      <c r="F2004" s="3" t="n">
        <v>17</v>
      </c>
      <c r="G2004" s="3">
        <f>IFERROR(E2004/F2004,0)</f>
        <v/>
      </c>
      <c r="H2004" s="3" t="n">
        <v>2</v>
      </c>
      <c r="I2004" s="2" t="n">
        <v>2</v>
      </c>
      <c r="J2004" s="3">
        <f>IFERROR(E2004/H2004,0)</f>
        <v/>
      </c>
      <c r="K2004" s="10">
        <f>E2004/'По разделам'!$B$21</f>
        <v/>
      </c>
      <c r="L2004" s="4">
        <f>L2003+K2004</f>
        <v/>
      </c>
      <c r="M2004" s="2" t="inlineStr">
        <is>
          <t>05816</t>
        </is>
      </c>
      <c r="N2004" s="2" t="inlineStr">
        <is>
          <t>https://app.redstat.kz/niche/05816?event_date=2026-08-01</t>
        </is>
      </c>
      <c r="O2004" s="2" t="inlineStr">
        <is>
          <t>https://kaspi.kz/shop/c/odor%20neutralizers/</t>
        </is>
      </c>
    </row>
    <row r="2005">
      <c r="A2005" s="2" t="n">
        <v>2004</v>
      </c>
      <c r="B2005" s="2" t="inlineStr">
        <is>
          <t>Пиалы</t>
        </is>
      </c>
      <c r="C2005" s="2" t="inlineStr">
        <is>
          <t>Товары для дома и дачи</t>
        </is>
      </c>
      <c r="D2005" s="2" t="inlineStr">
        <is>
          <t>Товары для дома и дачи → Посуда и принадлежности → Столовая посуда → Пиалы</t>
        </is>
      </c>
      <c r="E2005" s="3" t="n">
        <v>25841</v>
      </c>
      <c r="F2005" s="3" t="n">
        <v>6</v>
      </c>
      <c r="G2005" s="3">
        <f>IFERROR(E2005/F2005,0)</f>
        <v/>
      </c>
      <c r="H2005" s="3" t="n">
        <v>5</v>
      </c>
      <c r="I2005" s="2" t="n">
        <v>2</v>
      </c>
      <c r="J2005" s="3">
        <f>IFERROR(E2005/H2005,0)</f>
        <v/>
      </c>
      <c r="K2005" s="10">
        <f>E2005/'По разделам'!$B$21</f>
        <v/>
      </c>
      <c r="L2005" s="4">
        <f>L2004+K2005</f>
        <v/>
      </c>
      <c r="M2005" s="2" t="inlineStr">
        <is>
          <t>04498</t>
        </is>
      </c>
      <c r="N2005" s="2" t="inlineStr">
        <is>
          <t>https://app.redstat.kz/niche/04498?event_date=2026-08-01</t>
        </is>
      </c>
      <c r="O2005" s="2" t="inlineStr">
        <is>
          <t>https://kaspi.kz/shop/c/tea%20bowl/</t>
        </is>
      </c>
    </row>
    <row r="2006">
      <c r="A2006" s="2" t="n">
        <v>2005</v>
      </c>
      <c r="B2006" s="2" t="inlineStr">
        <is>
          <t>Шланги для душа</t>
        </is>
      </c>
      <c r="C2006" s="2" t="inlineStr">
        <is>
          <t>Строительство, ремонт</t>
        </is>
      </c>
      <c r="D2006" s="2" t="inlineStr">
        <is>
          <t>Строительство, ремонт → Сантехника → Души, гарнитуры и аксессуары → Шланги для душа</t>
        </is>
      </c>
      <c r="E2006" s="3" t="n">
        <v>25000</v>
      </c>
      <c r="F2006" s="3" t="n">
        <v>2</v>
      </c>
      <c r="G2006" s="3">
        <f>IFERROR(E2006/F2006,0)</f>
        <v/>
      </c>
      <c r="H2006" s="3" t="n">
        <v>1</v>
      </c>
      <c r="I2006" s="2" t="n">
        <v>1</v>
      </c>
      <c r="J2006" s="3">
        <f>IFERROR(E2006/H2006,0)</f>
        <v/>
      </c>
      <c r="K2006" s="10">
        <f>E2006/'По разделам'!$B$21</f>
        <v/>
      </c>
      <c r="L2006" s="4">
        <f>L2005+K2006</f>
        <v/>
      </c>
      <c r="M2006" s="2" t="inlineStr">
        <is>
          <t>02520</t>
        </is>
      </c>
      <c r="N2006" s="2" t="inlineStr">
        <is>
          <t>https://app.redstat.kz/niche/02520?event_date=2026-08-01</t>
        </is>
      </c>
      <c r="O2006" s="2" t="inlineStr">
        <is>
          <t>https://kaspi.kz/shop/c/shower%20hoses/</t>
        </is>
      </c>
    </row>
    <row r="2007">
      <c r="A2007" s="2" t="n">
        <v>2006</v>
      </c>
      <c r="B2007" s="2" t="inlineStr">
        <is>
          <t>Льдогенераторы</t>
        </is>
      </c>
      <c r="C2007" s="2" t="inlineStr">
        <is>
          <t>Бытовая техника</t>
        </is>
      </c>
      <c r="D2007" s="2" t="inlineStr">
        <is>
          <t>Бытовая техника → Мелкая техника для кухни → Прочая кухонная техника → Льдогенераторы</t>
        </is>
      </c>
      <c r="E2007" s="3" t="n">
        <v>25000</v>
      </c>
      <c r="F2007" s="3" t="n">
        <v>1</v>
      </c>
      <c r="G2007" s="3">
        <f>IFERROR(E2007/F2007,0)</f>
        <v/>
      </c>
      <c r="H2007" s="3" t="n">
        <v>1</v>
      </c>
      <c r="I2007" s="2" t="n">
        <v>1</v>
      </c>
      <c r="J2007" s="3">
        <f>IFERROR(E2007/H2007,0)</f>
        <v/>
      </c>
      <c r="K2007" s="10">
        <f>E2007/'По разделам'!$B$21</f>
        <v/>
      </c>
      <c r="L2007" s="4">
        <f>L2006+K2007</f>
        <v/>
      </c>
      <c r="M2007" s="2" t="inlineStr">
        <is>
          <t>02901</t>
        </is>
      </c>
      <c r="N2007" s="2" t="inlineStr">
        <is>
          <t>https://app.redstat.kz/niche/02901?event_date=2026-08-01</t>
        </is>
      </c>
      <c r="O2007" s="2" t="inlineStr">
        <is>
          <t>https://kaspi.kz/shop/c/ice%20makers/</t>
        </is>
      </c>
    </row>
    <row r="2008">
      <c r="A2008" s="2" t="n">
        <v>2007</v>
      </c>
      <c r="B2008" s="2" t="inlineStr">
        <is>
          <t>Расходные материалы для наращивания волос</t>
        </is>
      </c>
      <c r="C2008" s="2" t="inlineStr">
        <is>
          <t>Красота и здоровье</t>
        </is>
      </c>
      <c r="D2008" s="2" t="inlineStr">
        <is>
          <t>Красота и здоровье → Инструменты для укладки, ухода и наращивания волос → Инструменты и материалы для наращивания волос → Расходные материалы для наращивания волос</t>
        </is>
      </c>
      <c r="E2008" s="3" t="n">
        <v>24780</v>
      </c>
      <c r="F2008" s="3" t="n">
        <v>10</v>
      </c>
      <c r="G2008" s="3">
        <f>IFERROR(E2008/F2008,0)</f>
        <v/>
      </c>
      <c r="H2008" s="3" t="n">
        <v>3</v>
      </c>
      <c r="I2008" s="2" t="n">
        <v>2</v>
      </c>
      <c r="J2008" s="3">
        <f>IFERROR(E2008/H2008,0)</f>
        <v/>
      </c>
      <c r="K2008" s="10">
        <f>E2008/'По разделам'!$B$21</f>
        <v/>
      </c>
      <c r="L2008" s="4">
        <f>L2007+K2008</f>
        <v/>
      </c>
      <c r="M2008" s="2" t="inlineStr">
        <is>
          <t>qa5b7053708edc9f</t>
        </is>
      </c>
      <c r="N2008" s="2" t="inlineStr">
        <is>
          <t>https://app.redstat.kz/niche/qa5b7053708edc9f?event_date=2026-08-01</t>
        </is>
      </c>
      <c r="O2008" s="2" t="inlineStr"/>
    </row>
    <row r="2009">
      <c r="A2009" s="2" t="n">
        <v>2008</v>
      </c>
      <c r="B2009" s="2" t="inlineStr">
        <is>
          <t>Фильтры для душа</t>
        </is>
      </c>
      <c r="C2009" s="2" t="inlineStr">
        <is>
          <t>Товары для дома и дачи</t>
        </is>
      </c>
      <c r="D2009" s="2" t="inlineStr">
        <is>
          <t>Товары для дома и дачи → Хозяйственные товары → Аксессуары для ванной и туалета → Фильтры для душа</t>
        </is>
      </c>
      <c r="E2009" s="3" t="n">
        <v>24500</v>
      </c>
      <c r="F2009" s="3" t="n">
        <v>3</v>
      </c>
      <c r="G2009" s="3">
        <f>IFERROR(E2009/F2009,0)</f>
        <v/>
      </c>
      <c r="H2009" s="3" t="n">
        <v>2</v>
      </c>
      <c r="I2009" s="2" t="n">
        <v>1</v>
      </c>
      <c r="J2009" s="3">
        <f>IFERROR(E2009/H2009,0)</f>
        <v/>
      </c>
      <c r="K2009" s="10">
        <f>E2009/'По разделам'!$B$21</f>
        <v/>
      </c>
      <c r="L2009" s="4">
        <f>L2008+K2009</f>
        <v/>
      </c>
      <c r="M2009" s="2" t="inlineStr">
        <is>
          <t>06988</t>
        </is>
      </c>
      <c r="N2009" s="2" t="inlineStr">
        <is>
          <t>https://app.redstat.kz/niche/06988?event_date=2026-08-01</t>
        </is>
      </c>
      <c r="O2009" s="2" t="inlineStr">
        <is>
          <t>https://kaspi.kz/shop/c/shower%20filters/</t>
        </is>
      </c>
    </row>
    <row r="2010">
      <c r="A2010" s="2" t="n">
        <v>2009</v>
      </c>
      <c r="B2010" s="2" t="inlineStr">
        <is>
          <t>Подставки и держатели для смарт-часов</t>
        </is>
      </c>
      <c r="C2010" s="2" t="inlineStr">
        <is>
          <t>Телефоны и гаджеты</t>
        </is>
      </c>
      <c r="D2010" s="2" t="inlineStr">
        <is>
          <t>Телефоны и гаджеты → Аксессуары для смарт-часов и фитнесс браслетов → Подставки и держатели для смарт-часов</t>
        </is>
      </c>
      <c r="E2010" s="3" t="n">
        <v>24400</v>
      </c>
      <c r="F2010" s="3" t="n">
        <v>12</v>
      </c>
      <c r="G2010" s="3">
        <f>IFERROR(E2010/F2010,0)</f>
        <v/>
      </c>
      <c r="H2010" s="3" t="n">
        <v>2</v>
      </c>
      <c r="I2010" s="2" t="n">
        <v>0</v>
      </c>
      <c r="J2010" s="3">
        <f>IFERROR(E2010/H2010,0)</f>
        <v/>
      </c>
      <c r="K2010" s="10">
        <f>E2010/'По разделам'!$B$21</f>
        <v/>
      </c>
      <c r="L2010" s="4">
        <f>L2009+K2010</f>
        <v/>
      </c>
      <c r="M2010" s="2" t="inlineStr">
        <is>
          <t>09058</t>
        </is>
      </c>
      <c r="N2010" s="2" t="inlineStr">
        <is>
          <t>https://app.redstat.kz/niche/09058?event_date=2026-08-01</t>
        </is>
      </c>
      <c r="O2010" s="2" t="inlineStr">
        <is>
          <t>https://kaspi.kz/shop/c/stands%20and%20holders%20for%20smart%20watches/</t>
        </is>
      </c>
    </row>
    <row r="2011">
      <c r="A2011" s="2" t="n">
        <v>2010</v>
      </c>
      <c r="B2011" s="2" t="inlineStr">
        <is>
          <t>Замки и защелки мебельные</t>
        </is>
      </c>
      <c r="C2011" s="2" t="inlineStr">
        <is>
          <t>Мебель</t>
        </is>
      </c>
      <c r="D2011" s="2" t="inlineStr">
        <is>
          <t>Мебель → Фурнитура и комплектующие для мебели → Фурнитура для мебели → Замки и защелки мебельные</t>
        </is>
      </c>
      <c r="E2011" s="3" t="n">
        <v>24141</v>
      </c>
      <c r="F2011" s="3" t="n">
        <v>10</v>
      </c>
      <c r="G2011" s="3">
        <f>IFERROR(E2011/F2011,0)</f>
        <v/>
      </c>
      <c r="H2011" s="3" t="n">
        <v>4</v>
      </c>
      <c r="I2011" s="2" t="n">
        <v>2</v>
      </c>
      <c r="J2011" s="3">
        <f>IFERROR(E2011/H2011,0)</f>
        <v/>
      </c>
      <c r="K2011" s="10">
        <f>E2011/'По разделам'!$B$21</f>
        <v/>
      </c>
      <c r="L2011" s="4">
        <f>L2010+K2011</f>
        <v/>
      </c>
      <c r="M2011" s="2" t="inlineStr">
        <is>
          <t>07362</t>
        </is>
      </c>
      <c r="N2011" s="2" t="inlineStr">
        <is>
          <t>https://app.redstat.kz/niche/07362?event_date=2026-08-01</t>
        </is>
      </c>
      <c r="O2011" s="2" t="inlineStr">
        <is>
          <t>https://kaspi.kz/shop/c/locks%20for%20furniture/</t>
        </is>
      </c>
    </row>
    <row r="2012">
      <c r="A2012" s="2" t="n">
        <v>2011</v>
      </c>
      <c r="B2012" s="2" t="inlineStr">
        <is>
          <t>Грунты и субстраты</t>
        </is>
      </c>
      <c r="C2012" s="2" t="inlineStr">
        <is>
          <t>Товары для дома и дачи</t>
        </is>
      </c>
      <c r="D2012" s="2" t="inlineStr">
        <is>
          <t>Товары для дома и дачи → Дача, сад и огород → Грунты и удобрения → Грунты и субстраты</t>
        </is>
      </c>
      <c r="E2012" s="3" t="n">
        <v>24068</v>
      </c>
      <c r="F2012" s="3" t="n">
        <v>11</v>
      </c>
      <c r="G2012" s="3">
        <f>IFERROR(E2012/F2012,0)</f>
        <v/>
      </c>
      <c r="H2012" s="3" t="n">
        <v>6</v>
      </c>
      <c r="I2012" s="2" t="n">
        <v>5</v>
      </c>
      <c r="J2012" s="3">
        <f>IFERROR(E2012/H2012,0)</f>
        <v/>
      </c>
      <c r="K2012" s="10">
        <f>E2012/'По разделам'!$B$21</f>
        <v/>
      </c>
      <c r="L2012" s="4">
        <f>L2011+K2012</f>
        <v/>
      </c>
      <c r="M2012" s="2" t="inlineStr">
        <is>
          <t>05211</t>
        </is>
      </c>
      <c r="N2012" s="2" t="inlineStr">
        <is>
          <t>https://app.redstat.kz/niche/05211?event_date=2026-08-01</t>
        </is>
      </c>
      <c r="O2012" s="2" t="inlineStr">
        <is>
          <t>https://kaspi.kz/shop/c/soils%20and%20growing%20substrates/</t>
        </is>
      </c>
    </row>
    <row r="2013">
      <c r="A2013" s="2" t="n">
        <v>2012</v>
      </c>
      <c r="B2013" s="2" t="inlineStr">
        <is>
          <t>Крылья автомобилей</t>
        </is>
      </c>
      <c r="C2013" s="2" t="inlineStr">
        <is>
          <t>Автотовары</t>
        </is>
      </c>
      <c r="D2013" s="2" t="inlineStr">
        <is>
          <t>Автотовары → Автозапчасти → Кузовные детали → Крылья автомобилей</t>
        </is>
      </c>
      <c r="E2013" s="3" t="n">
        <v>24000</v>
      </c>
      <c r="F2013" s="3" t="n">
        <v>1</v>
      </c>
      <c r="G2013" s="3">
        <f>IFERROR(E2013/F2013,0)</f>
        <v/>
      </c>
      <c r="H2013" s="3" t="n">
        <v>1</v>
      </c>
      <c r="I2013" s="2" t="n">
        <v>1</v>
      </c>
      <c r="J2013" s="3">
        <f>IFERROR(E2013/H2013,0)</f>
        <v/>
      </c>
      <c r="K2013" s="10">
        <f>E2013/'По разделам'!$B$21</f>
        <v/>
      </c>
      <c r="L2013" s="4">
        <f>L2012+K2013</f>
        <v/>
      </c>
      <c r="M2013" s="2" t="inlineStr">
        <is>
          <t>04181</t>
        </is>
      </c>
      <c r="N2013" s="2" t="inlineStr">
        <is>
          <t>https://app.redstat.kz/niche/04181?event_date=2026-08-01</t>
        </is>
      </c>
      <c r="O2013" s="2" t="inlineStr">
        <is>
          <t>https://kaspi.kz/shop/c/car%20fenders/</t>
        </is>
      </c>
    </row>
    <row r="2014">
      <c r="A2014" s="2" t="n">
        <v>2013</v>
      </c>
      <c r="B2014" s="2" t="inlineStr">
        <is>
          <t>Кондитерские аксессуары</t>
        </is>
      </c>
      <c r="C2014" s="2" t="inlineStr">
        <is>
          <t>Товары для дома и дачи</t>
        </is>
      </c>
      <c r="D2014" s="2" t="inlineStr">
        <is>
          <t>Товары для дома и дачи → Посуда и принадлежности → Кухонные принадлежности → Кондитерские аксессуары</t>
        </is>
      </c>
      <c r="E2014" s="3" t="n">
        <v>23962</v>
      </c>
      <c r="F2014" s="3" t="n">
        <v>15</v>
      </c>
      <c r="G2014" s="3">
        <f>IFERROR(E2014/F2014,0)</f>
        <v/>
      </c>
      <c r="H2014" s="3" t="n">
        <v>7</v>
      </c>
      <c r="I2014" s="2" t="n">
        <v>3</v>
      </c>
      <c r="J2014" s="3">
        <f>IFERROR(E2014/H2014,0)</f>
        <v/>
      </c>
      <c r="K2014" s="10">
        <f>E2014/'По разделам'!$B$21</f>
        <v/>
      </c>
      <c r="L2014" s="4">
        <f>L2013+K2014</f>
        <v/>
      </c>
      <c r="M2014" s="2" t="inlineStr">
        <is>
          <t>03342</t>
        </is>
      </c>
      <c r="N2014" s="2" t="inlineStr">
        <is>
          <t>https://app.redstat.kz/niche/03342?event_date=2026-08-01</t>
        </is>
      </c>
      <c r="O2014" s="2" t="inlineStr">
        <is>
          <t>https://kaspi.kz/shop/c/confectionery%20accessories/</t>
        </is>
      </c>
    </row>
    <row r="2015">
      <c r="A2015" s="2" t="n">
        <v>2014</v>
      </c>
      <c r="B2015" s="2" t="inlineStr">
        <is>
          <t>Респираторы</t>
        </is>
      </c>
      <c r="C2015" s="2" t="inlineStr">
        <is>
          <t>Строительство, ремонт</t>
        </is>
      </c>
      <c r="D2015" s="2" t="inlineStr">
        <is>
          <t>Строительство, ремонт → Строительный инвентарь → Средства индивидуальной защиты → Респираторы</t>
        </is>
      </c>
      <c r="E2015" s="3" t="n">
        <v>23922</v>
      </c>
      <c r="F2015" s="3" t="n">
        <v>3</v>
      </c>
      <c r="G2015" s="3">
        <f>IFERROR(E2015/F2015,0)</f>
        <v/>
      </c>
      <c r="H2015" s="3" t="n">
        <v>2</v>
      </c>
      <c r="I2015" s="2" t="n">
        <v>1</v>
      </c>
      <c r="J2015" s="3">
        <f>IFERROR(E2015/H2015,0)</f>
        <v/>
      </c>
      <c r="K2015" s="10">
        <f>E2015/'По разделам'!$B$21</f>
        <v/>
      </c>
      <c r="L2015" s="4">
        <f>L2014+K2015</f>
        <v/>
      </c>
      <c r="M2015" s="2" t="inlineStr">
        <is>
          <t>03228</t>
        </is>
      </c>
      <c r="N2015" s="2" t="inlineStr">
        <is>
          <t>https://app.redstat.kz/niche/03228?event_date=2026-08-01</t>
        </is>
      </c>
      <c r="O2015" s="2" t="inlineStr">
        <is>
          <t>https://kaspi.kz/shop/c/respirators/</t>
        </is>
      </c>
    </row>
    <row r="2016">
      <c r="A2016" s="2" t="n">
        <v>2015</v>
      </c>
      <c r="B2016" s="2" t="inlineStr">
        <is>
          <t>Спортивная обувь для девочек</t>
        </is>
      </c>
      <c r="C2016" s="2" t="inlineStr">
        <is>
          <t>Обувь</t>
        </is>
      </c>
      <c r="D2016" s="2" t="inlineStr">
        <is>
          <t>Обувь → Обувь для девочек → Спортивная обувь для девочек</t>
        </is>
      </c>
      <c r="E2016" s="3" t="n">
        <v>23900</v>
      </c>
      <c r="F2016" s="3" t="n">
        <v>1</v>
      </c>
      <c r="G2016" s="3">
        <f>IFERROR(E2016/F2016,0)</f>
        <v/>
      </c>
      <c r="H2016" s="3" t="n">
        <v>1</v>
      </c>
      <c r="I2016" s="2" t="n">
        <v>1</v>
      </c>
      <c r="J2016" s="3">
        <f>IFERROR(E2016/H2016,0)</f>
        <v/>
      </c>
      <c r="K2016" s="10">
        <f>E2016/'По разделам'!$B$21</f>
        <v/>
      </c>
      <c r="L2016" s="4">
        <f>L2015+K2016</f>
        <v/>
      </c>
      <c r="M2016" s="2" t="inlineStr">
        <is>
          <t>03600</t>
        </is>
      </c>
      <c r="N2016" s="2" t="inlineStr">
        <is>
          <t>https://app.redstat.kz/niche/03600?event_date=2026-08-01</t>
        </is>
      </c>
      <c r="O2016" s="2" t="inlineStr">
        <is>
          <t>https://kaspi.kz/shop/c/girl%20athletic%20shoes/</t>
        </is>
      </c>
    </row>
    <row r="2017">
      <c r="A2017" s="2" t="n">
        <v>2016</v>
      </c>
      <c r="B2017" s="2" t="inlineStr">
        <is>
          <t>Каймарезы и щипцы для натяжки баннера</t>
        </is>
      </c>
      <c r="C2017" s="2" t="inlineStr">
        <is>
          <t>Канцелярские товары</t>
        </is>
      </c>
      <c r="D2017" s="2" t="inlineStr">
        <is>
          <t>Канцелярские товары → Постпечатное оборудование → Каймарезы и щипцы для натяжки баннера</t>
        </is>
      </c>
      <c r="E2017" s="3" t="n">
        <v>23606</v>
      </c>
      <c r="F2017" s="3" t="n">
        <v>5</v>
      </c>
      <c r="G2017" s="3">
        <f>IFERROR(E2017/F2017,0)</f>
        <v/>
      </c>
      <c r="H2017" s="3" t="n">
        <v>2</v>
      </c>
      <c r="I2017" s="2" t="n">
        <v>1</v>
      </c>
      <c r="J2017" s="3">
        <f>IFERROR(E2017/H2017,0)</f>
        <v/>
      </c>
      <c r="K2017" s="10">
        <f>E2017/'По разделам'!$B$21</f>
        <v/>
      </c>
      <c r="L2017" s="4">
        <f>L2016+K2017</f>
        <v/>
      </c>
      <c r="M2017" s="2" t="inlineStr">
        <is>
          <t>06324</t>
        </is>
      </c>
      <c r="N2017" s="2" t="inlineStr">
        <is>
          <t>https://app.redstat.kz/niche/06324?event_date=2026-08-01</t>
        </is>
      </c>
      <c r="O2017" s="2" t="inlineStr">
        <is>
          <t>https://kaspi.kz/shop/c/caimarez%20and%20tongs%20for%20stretching/</t>
        </is>
      </c>
    </row>
    <row r="2018">
      <c r="A2018" s="2" t="n">
        <v>2017</v>
      </c>
      <c r="B2018" s="2" t="inlineStr">
        <is>
          <t>Прихватки, рукавицы и комплекты</t>
        </is>
      </c>
      <c r="C2018" s="2" t="inlineStr">
        <is>
          <t>Товары для дома и дачи</t>
        </is>
      </c>
      <c r="D2018" s="2" t="inlineStr">
        <is>
          <t>Товары для дома и дачи → Домашний текстиль → Текстиль для кухни → Прихватки, рукавицы и комплекты</t>
        </is>
      </c>
      <c r="E2018" s="3" t="n">
        <v>23446</v>
      </c>
      <c r="F2018" s="3" t="n">
        <v>11</v>
      </c>
      <c r="G2018" s="3">
        <f>IFERROR(E2018/F2018,0)</f>
        <v/>
      </c>
      <c r="H2018" s="3" t="n">
        <v>5</v>
      </c>
      <c r="I2018" s="2" t="n">
        <v>2</v>
      </c>
      <c r="J2018" s="3">
        <f>IFERROR(E2018/H2018,0)</f>
        <v/>
      </c>
      <c r="K2018" s="10">
        <f>E2018/'По разделам'!$B$21</f>
        <v/>
      </c>
      <c r="L2018" s="4">
        <f>L2017+K2018</f>
        <v/>
      </c>
      <c r="M2018" s="2" t="inlineStr">
        <is>
          <t>06248</t>
        </is>
      </c>
      <c r="N2018" s="2" t="inlineStr">
        <is>
          <t>https://app.redstat.kz/niche/06248?event_date=2026-08-01</t>
        </is>
      </c>
      <c r="O2018" s="2" t="inlineStr">
        <is>
          <t>https://kaspi.kz/shop/c/potholders%20and%20mittens/</t>
        </is>
      </c>
    </row>
    <row r="2019">
      <c r="A2019" s="2" t="n">
        <v>2018</v>
      </c>
      <c r="B2019" s="2" t="inlineStr">
        <is>
          <t>Клеи и герметики для автомобилей</t>
        </is>
      </c>
      <c r="C2019" s="2" t="inlineStr">
        <is>
          <t>Автотовары</t>
        </is>
      </c>
      <c r="D2019" s="2" t="inlineStr">
        <is>
          <t>Автотовары → Автохимия и автокосметика → Клеи, герметики и фиксаторы для ремонта автомобилей → Клеи и герметики для автомобилей</t>
        </is>
      </c>
      <c r="E2019" s="3" t="n">
        <v>23443</v>
      </c>
      <c r="F2019" s="3" t="n">
        <v>22</v>
      </c>
      <c r="G2019" s="3">
        <f>IFERROR(E2019/F2019,0)</f>
        <v/>
      </c>
      <c r="H2019" s="3" t="n">
        <v>10</v>
      </c>
      <c r="I2019" s="2" t="n">
        <v>6</v>
      </c>
      <c r="J2019" s="3">
        <f>IFERROR(E2019/H2019,0)</f>
        <v/>
      </c>
      <c r="K2019" s="10">
        <f>E2019/'По разделам'!$B$21</f>
        <v/>
      </c>
      <c r="L2019" s="4">
        <f>L2018+K2019</f>
        <v/>
      </c>
      <c r="M2019" s="2" t="inlineStr">
        <is>
          <t>03197</t>
        </is>
      </c>
      <c r="N2019" s="2" t="inlineStr">
        <is>
          <t>https://app.redstat.kz/niche/03197?event_date=2026-08-01</t>
        </is>
      </c>
      <c r="O2019" s="2" t="inlineStr">
        <is>
          <t>https://kaspi.kz/shop/c/car%20adhesives%20and%20sealants/</t>
        </is>
      </c>
    </row>
    <row r="2020">
      <c r="A2020" s="2" t="n">
        <v>2019</v>
      </c>
      <c r="B2020" s="2" t="inlineStr">
        <is>
          <t>Капсулы и пластины для стирки</t>
        </is>
      </c>
      <c r="C2020" s="2" t="inlineStr">
        <is>
          <t>Товары для дома и дачи</t>
        </is>
      </c>
      <c r="D2020" s="2" t="inlineStr">
        <is>
          <t>Товары для дома и дачи → Бытовая химия → Средства для стирки → Капсулы и пластины для стирки</t>
        </is>
      </c>
      <c r="E2020" s="3" t="n">
        <v>23245</v>
      </c>
      <c r="F2020" s="3" t="n">
        <v>8</v>
      </c>
      <c r="G2020" s="3">
        <f>IFERROR(E2020/F2020,0)</f>
        <v/>
      </c>
      <c r="H2020" s="3" t="n">
        <v>5</v>
      </c>
      <c r="I2020" s="2" t="n">
        <v>3</v>
      </c>
      <c r="J2020" s="3">
        <f>IFERROR(E2020/H2020,0)</f>
        <v/>
      </c>
      <c r="K2020" s="10">
        <f>E2020/'По разделам'!$B$21</f>
        <v/>
      </c>
      <c r="L2020" s="4">
        <f>L2019+K2020</f>
        <v/>
      </c>
      <c r="M2020" s="2" t="inlineStr">
        <is>
          <t>02781</t>
        </is>
      </c>
      <c r="N2020" s="2" t="inlineStr">
        <is>
          <t>https://app.redstat.kz/niche/02781?event_date=2026-08-01</t>
        </is>
      </c>
      <c r="O2020" s="2" t="inlineStr">
        <is>
          <t>https://kaspi.kz/shop/c/washing%20capsules%20and%20pods/</t>
        </is>
      </c>
    </row>
    <row r="2021">
      <c r="A2021" s="2" t="n">
        <v>2020</v>
      </c>
      <c r="B2021" s="2" t="inlineStr">
        <is>
          <t>Интерьерные духи и саше</t>
        </is>
      </c>
      <c r="C2021" s="2" t="inlineStr">
        <is>
          <t>Товары для дома и дачи</t>
        </is>
      </c>
      <c r="D2021" s="2" t="inlineStr">
        <is>
          <t>Товары для дома и дачи → Интерьер → Парфюмерия для дома → Интерьерные духи и саше</t>
        </is>
      </c>
      <c r="E2021" s="3" t="n">
        <v>23079</v>
      </c>
      <c r="F2021" s="3" t="n">
        <v>8</v>
      </c>
      <c r="G2021" s="3">
        <f>IFERROR(E2021/F2021,0)</f>
        <v/>
      </c>
      <c r="H2021" s="3" t="n">
        <v>6</v>
      </c>
      <c r="I2021" s="2" t="n">
        <v>4</v>
      </c>
      <c r="J2021" s="3">
        <f>IFERROR(E2021/H2021,0)</f>
        <v/>
      </c>
      <c r="K2021" s="10">
        <f>E2021/'По разделам'!$B$21</f>
        <v/>
      </c>
      <c r="L2021" s="4">
        <f>L2020+K2021</f>
        <v/>
      </c>
      <c r="M2021" s="2" t="inlineStr">
        <is>
          <t>02023</t>
        </is>
      </c>
      <c r="N2021" s="2" t="inlineStr">
        <is>
          <t>https://app.redstat.kz/niche/02023?event_date=2026-08-01</t>
        </is>
      </c>
      <c r="O2021" s="2" t="inlineStr">
        <is>
          <t>https://kaspi.kz/shop/c/home%20fragrance/</t>
        </is>
      </c>
    </row>
    <row r="2022">
      <c r="A2022" s="2" t="n">
        <v>2021</v>
      </c>
      <c r="B2022" s="2" t="inlineStr">
        <is>
          <t>Самоклеящиеся обои и пленки</t>
        </is>
      </c>
      <c r="C2022" s="2" t="inlineStr">
        <is>
          <t>Строительство, ремонт</t>
        </is>
      </c>
      <c r="D2022" s="2" t="inlineStr">
        <is>
          <t>Строительство, ремонт → Отделочные материалы → Отделка стен → Самоклеящиеся обои и пленки</t>
        </is>
      </c>
      <c r="E2022" s="3" t="n">
        <v>22091</v>
      </c>
      <c r="F2022" s="3" t="n">
        <v>3</v>
      </c>
      <c r="G2022" s="3">
        <f>IFERROR(E2022/F2022,0)</f>
        <v/>
      </c>
      <c r="H2022" s="3" t="n">
        <v>2</v>
      </c>
      <c r="I2022" s="2" t="n">
        <v>1</v>
      </c>
      <c r="J2022" s="3">
        <f>IFERROR(E2022/H2022,0)</f>
        <v/>
      </c>
      <c r="K2022" s="10">
        <f>E2022/'По разделам'!$B$21</f>
        <v/>
      </c>
      <c r="L2022" s="4">
        <f>L2021+K2022</f>
        <v/>
      </c>
      <c r="M2022" s="2" t="inlineStr">
        <is>
          <t>04128</t>
        </is>
      </c>
      <c r="N2022" s="2" t="inlineStr">
        <is>
          <t>https://app.redstat.kz/niche/04128?event_date=2026-08-01</t>
        </is>
      </c>
      <c r="O2022" s="2" t="inlineStr">
        <is>
          <t>https://kaspi.kz/shop/c/self%20adhesive%20wallpaper/</t>
        </is>
      </c>
    </row>
    <row r="2023">
      <c r="A2023" s="2" t="n">
        <v>2022</v>
      </c>
      <c r="B2023" s="2" t="inlineStr">
        <is>
          <t>Стеклоподъемники</t>
        </is>
      </c>
      <c r="C2023" s="2" t="inlineStr">
        <is>
          <t>Автотовары</t>
        </is>
      </c>
      <c r="D2023" s="2" t="inlineStr">
        <is>
          <t>Автотовары → Автозапчасти → Автоэлектрика → Стеклоподъемники</t>
        </is>
      </c>
      <c r="E2023" s="3" t="n">
        <v>22000</v>
      </c>
      <c r="F2023" s="3" t="n">
        <v>2</v>
      </c>
      <c r="G2023" s="3">
        <f>IFERROR(E2023/F2023,0)</f>
        <v/>
      </c>
      <c r="H2023" s="3" t="n">
        <v>1</v>
      </c>
      <c r="I2023" s="2" t="n">
        <v>1</v>
      </c>
      <c r="J2023" s="3">
        <f>IFERROR(E2023/H2023,0)</f>
        <v/>
      </c>
      <c r="K2023" s="10">
        <f>E2023/'По разделам'!$B$21</f>
        <v/>
      </c>
      <c r="L2023" s="4">
        <f>L2022+K2023</f>
        <v/>
      </c>
      <c r="M2023" s="2" t="inlineStr">
        <is>
          <t>03803</t>
        </is>
      </c>
      <c r="N2023" s="2" t="inlineStr">
        <is>
          <t>https://app.redstat.kz/niche/03803?event_date=2026-08-01</t>
        </is>
      </c>
      <c r="O2023" s="2" t="inlineStr">
        <is>
          <t>https://kaspi.kz/shop/c/window%20lifters/</t>
        </is>
      </c>
    </row>
    <row r="2024">
      <c r="A2024" s="2" t="n">
        <v>2023</v>
      </c>
      <c r="B2024" s="2" t="inlineStr">
        <is>
          <t>Аксессуары для духовых шкафов</t>
        </is>
      </c>
      <c r="C2024" s="2" t="inlineStr">
        <is>
          <t>Бытовая техника</t>
        </is>
      </c>
      <c r="D2024" s="2" t="inlineStr">
        <is>
          <t>Бытовая техника → Крупная техника для дома → Аксессуары для крупной бытовой техники → Аксессуары для духовых шкафов</t>
        </is>
      </c>
      <c r="E2024" s="3" t="n">
        <v>22000</v>
      </c>
      <c r="F2024" s="3" t="n">
        <v>2</v>
      </c>
      <c r="G2024" s="3">
        <f>IFERROR(E2024/F2024,0)</f>
        <v/>
      </c>
      <c r="H2024" s="3" t="n">
        <v>1</v>
      </c>
      <c r="I2024" s="2" t="n">
        <v>0</v>
      </c>
      <c r="J2024" s="3">
        <f>IFERROR(E2024/H2024,0)</f>
        <v/>
      </c>
      <c r="K2024" s="10">
        <f>E2024/'По разделам'!$B$21</f>
        <v/>
      </c>
      <c r="L2024" s="4">
        <f>L2023+K2024</f>
        <v/>
      </c>
      <c r="M2024" s="2" t="inlineStr">
        <is>
          <t>05780</t>
        </is>
      </c>
      <c r="N2024" s="2" t="inlineStr">
        <is>
          <t>https://app.redstat.kz/niche/05780?event_date=2026-08-01</t>
        </is>
      </c>
      <c r="O2024" s="2" t="inlineStr">
        <is>
          <t>https://kaspi.kz/shop/c/oven%20accessories/</t>
        </is>
      </c>
    </row>
    <row r="2025">
      <c r="A2025" s="2" t="n">
        <v>2024</v>
      </c>
      <c r="B2025" s="2" t="inlineStr">
        <is>
          <t>Миксеры</t>
        </is>
      </c>
      <c r="C2025" s="2" t="inlineStr">
        <is>
          <t>Бытовая техника</t>
        </is>
      </c>
      <c r="D2025" s="2" t="inlineStr">
        <is>
          <t>Бытовая техника → Мелкая техника для кухни → Миксеры, блендеры и измельчители → Миксеры</t>
        </is>
      </c>
      <c r="E2025" s="3" t="n">
        <v>21990</v>
      </c>
      <c r="F2025" s="3" t="n">
        <v>2</v>
      </c>
      <c r="G2025" s="3">
        <f>IFERROR(E2025/F2025,0)</f>
        <v/>
      </c>
      <c r="H2025" s="3" t="n">
        <v>2</v>
      </c>
      <c r="I2025" s="2" t="n">
        <v>2</v>
      </c>
      <c r="J2025" s="3">
        <f>IFERROR(E2025/H2025,0)</f>
        <v/>
      </c>
      <c r="K2025" s="10">
        <f>E2025/'По разделам'!$B$21</f>
        <v/>
      </c>
      <c r="L2025" s="4">
        <f>L2024+K2025</f>
        <v/>
      </c>
      <c r="M2025" s="2" t="inlineStr">
        <is>
          <t>03501</t>
        </is>
      </c>
      <c r="N2025" s="2" t="inlineStr">
        <is>
          <t>https://app.redstat.kz/niche/03501?event_date=2026-08-01</t>
        </is>
      </c>
      <c r="O2025" s="2" t="inlineStr">
        <is>
          <t>https://kaspi.kz/shop/c/mixers/</t>
        </is>
      </c>
    </row>
    <row r="2026">
      <c r="A2026" s="2" t="n">
        <v>2025</v>
      </c>
      <c r="B2026" s="2" t="inlineStr">
        <is>
          <t>Слипоны для девочек</t>
        </is>
      </c>
      <c r="C2026" s="2" t="inlineStr">
        <is>
          <t>Обувь</t>
        </is>
      </c>
      <c r="D2026" s="2" t="inlineStr">
        <is>
          <t>Обувь → Обувь для девочек → Слипоны для девочек</t>
        </is>
      </c>
      <c r="E2026" s="3" t="n">
        <v>21955</v>
      </c>
      <c r="F2026" s="3" t="n">
        <v>4</v>
      </c>
      <c r="G2026" s="3">
        <f>IFERROR(E2026/F2026,0)</f>
        <v/>
      </c>
      <c r="H2026" s="3" t="n">
        <v>2</v>
      </c>
      <c r="I2026" s="2" t="n">
        <v>2</v>
      </c>
      <c r="J2026" s="3">
        <f>IFERROR(E2026/H2026,0)</f>
        <v/>
      </c>
      <c r="K2026" s="10">
        <f>E2026/'По разделам'!$B$21</f>
        <v/>
      </c>
      <c r="L2026" s="4">
        <f>L2025+K2026</f>
        <v/>
      </c>
      <c r="M2026" s="2" t="inlineStr">
        <is>
          <t>01715</t>
        </is>
      </c>
      <c r="N2026" s="2" t="inlineStr">
        <is>
          <t>https://app.redstat.kz/niche/01715?event_date=2026-08-01</t>
        </is>
      </c>
      <c r="O2026" s="2" t="inlineStr">
        <is>
          <t>https://kaspi.kz/shop/c/girl%20slip-ons/</t>
        </is>
      </c>
    </row>
    <row r="2027">
      <c r="A2027" s="2" t="n">
        <v>2026</v>
      </c>
      <c r="B2027" s="2" t="inlineStr">
        <is>
          <t>Рейлинги, крючки и полки для кухни</t>
        </is>
      </c>
      <c r="C2027" s="2" t="inlineStr">
        <is>
          <t>Товары для дома и дачи</t>
        </is>
      </c>
      <c r="D2027" s="2" t="inlineStr">
        <is>
          <t>Товары для дома и дачи → Посуда и принадлежности → Кухонные принадлежности → Рейлинги, крючки и полки для кухни</t>
        </is>
      </c>
      <c r="E2027" s="3" t="n">
        <v>21790</v>
      </c>
      <c r="F2027" s="3" t="n">
        <v>3</v>
      </c>
      <c r="G2027" s="3">
        <f>IFERROR(E2027/F2027,0)</f>
        <v/>
      </c>
      <c r="H2027" s="3" t="n">
        <v>3</v>
      </c>
      <c r="I2027" s="2" t="n">
        <v>0</v>
      </c>
      <c r="J2027" s="3">
        <f>IFERROR(E2027/H2027,0)</f>
        <v/>
      </c>
      <c r="K2027" s="10">
        <f>E2027/'По разделам'!$B$21</f>
        <v/>
      </c>
      <c r="L2027" s="4">
        <f>L2026+K2027</f>
        <v/>
      </c>
      <c r="M2027" s="2" t="inlineStr">
        <is>
          <t>03757</t>
        </is>
      </c>
      <c r="N2027" s="2" t="inlineStr">
        <is>
          <t>https://app.redstat.kz/niche/03757?event_date=2026-08-01</t>
        </is>
      </c>
      <c r="O2027" s="2" t="inlineStr">
        <is>
          <t>https://kaspi.kz/shop/c/kitchen%20roof%20rails%20and%20hooks/</t>
        </is>
      </c>
    </row>
    <row r="2028">
      <c r="A2028" s="2" t="n">
        <v>2027</v>
      </c>
      <c r="B2028" s="2" t="inlineStr">
        <is>
          <t>Копилки</t>
        </is>
      </c>
      <c r="C2028" s="2" t="inlineStr">
        <is>
          <t>Товары для дома и дачи</t>
        </is>
      </c>
      <c r="D2028" s="2" t="inlineStr">
        <is>
          <t>Товары для дома и дачи → Интерьер → Оформление интерьера → Копилки</t>
        </is>
      </c>
      <c r="E2028" s="3" t="n">
        <v>21704</v>
      </c>
      <c r="F2028" s="3" t="n">
        <v>8</v>
      </c>
      <c r="G2028" s="3">
        <f>IFERROR(E2028/F2028,0)</f>
        <v/>
      </c>
      <c r="H2028" s="3" t="n">
        <v>7</v>
      </c>
      <c r="I2028" s="2" t="n">
        <v>1</v>
      </c>
      <c r="J2028" s="3">
        <f>IFERROR(E2028/H2028,0)</f>
        <v/>
      </c>
      <c r="K2028" s="10">
        <f>E2028/'По разделам'!$B$21</f>
        <v/>
      </c>
      <c r="L2028" s="4">
        <f>L2027+K2028</f>
        <v/>
      </c>
      <c r="M2028" s="2" t="inlineStr">
        <is>
          <t>02742</t>
        </is>
      </c>
      <c r="N2028" s="2" t="inlineStr">
        <is>
          <t>https://app.redstat.kz/niche/02742?event_date=2026-08-01</t>
        </is>
      </c>
      <c r="O2028" s="2" t="inlineStr">
        <is>
          <t>https://kaspi.kz/shop/c/piggy%20banks/</t>
        </is>
      </c>
    </row>
    <row r="2029">
      <c r="A2029" s="2" t="n">
        <v>2028</v>
      </c>
      <c r="B2029" s="2" t="inlineStr">
        <is>
          <t>Аксессуары для бассейнов</t>
        </is>
      </c>
      <c r="C2029" s="2" t="inlineStr">
        <is>
          <t>Товары для дома и дачи</t>
        </is>
      </c>
      <c r="D2029" s="2" t="inlineStr">
        <is>
          <t>Товары для дома и дачи → Дача, сад и огород → Бассейны и аксессуары → Аксессуары для бассейнов</t>
        </is>
      </c>
      <c r="E2029" s="3" t="n">
        <v>21448</v>
      </c>
      <c r="F2029" s="3" t="n">
        <v>3</v>
      </c>
      <c r="G2029" s="3">
        <f>IFERROR(E2029/F2029,0)</f>
        <v/>
      </c>
      <c r="H2029" s="3" t="n">
        <v>3</v>
      </c>
      <c r="I2029" s="2" t="n">
        <v>2</v>
      </c>
      <c r="J2029" s="3">
        <f>IFERROR(E2029/H2029,0)</f>
        <v/>
      </c>
      <c r="K2029" s="10">
        <f>E2029/'По разделам'!$B$21</f>
        <v/>
      </c>
      <c r="L2029" s="4">
        <f>L2028+K2029</f>
        <v/>
      </c>
      <c r="M2029" s="2" t="inlineStr">
        <is>
          <t>03351</t>
        </is>
      </c>
      <c r="N2029" s="2" t="inlineStr">
        <is>
          <t>https://app.redstat.kz/niche/03351?event_date=2026-08-01</t>
        </is>
      </c>
      <c r="O2029" s="2" t="inlineStr">
        <is>
          <t>https://kaspi.kz/shop/c/pool%20accessories/</t>
        </is>
      </c>
    </row>
    <row r="2030">
      <c r="A2030" s="2" t="n">
        <v>2029</v>
      </c>
      <c r="B2030" s="2" t="inlineStr">
        <is>
          <t>Комплектующие для водяных фильтров</t>
        </is>
      </c>
      <c r="C2030" s="2" t="inlineStr">
        <is>
          <t>Строительство, ремонт</t>
        </is>
      </c>
      <c r="D2030" s="2" t="inlineStr">
        <is>
          <t>Строительство, ремонт → Водоснабжение → Фильтры для воды и комплектующие → Комплектующие для водяных фильтров</t>
        </is>
      </c>
      <c r="E2030" s="3" t="n">
        <v>21398</v>
      </c>
      <c r="F2030" s="3" t="n">
        <v>9</v>
      </c>
      <c r="G2030" s="3">
        <f>IFERROR(E2030/F2030,0)</f>
        <v/>
      </c>
      <c r="H2030" s="3" t="n">
        <v>5</v>
      </c>
      <c r="I2030" s="2" t="n">
        <v>2</v>
      </c>
      <c r="J2030" s="3">
        <f>IFERROR(E2030/H2030,0)</f>
        <v/>
      </c>
      <c r="K2030" s="10">
        <f>E2030/'По разделам'!$B$21</f>
        <v/>
      </c>
      <c r="L2030" s="4">
        <f>L2029+K2030</f>
        <v/>
      </c>
      <c r="M2030" s="2" t="inlineStr">
        <is>
          <t>03130</t>
        </is>
      </c>
      <c r="N2030" s="2" t="inlineStr">
        <is>
          <t>https://app.redstat.kz/niche/03130?event_date=2026-08-01</t>
        </is>
      </c>
      <c r="O2030" s="2" t="inlineStr">
        <is>
          <t>https://kaspi.kz/shop/c/accessories%20for%20water%20filters/</t>
        </is>
      </c>
    </row>
    <row r="2031">
      <c r="A2031" s="2" t="n">
        <v>2030</v>
      </c>
      <c r="B2031" s="2" t="inlineStr">
        <is>
          <t>Подпруги и нагрудники для лошадей</t>
        </is>
      </c>
      <c r="C2031" s="2" t="inlineStr">
        <is>
          <t>Спорт, туризм</t>
        </is>
      </c>
      <c r="D2031" s="2" t="inlineStr">
        <is>
          <t>Спорт, туризм → Конный спорт → Подпруги и нагрудники для лошадей</t>
        </is>
      </c>
      <c r="E2031" s="3" t="n">
        <v>20990</v>
      </c>
      <c r="F2031" s="3" t="n">
        <v>4</v>
      </c>
      <c r="G2031" s="3">
        <f>IFERROR(E2031/F2031,0)</f>
        <v/>
      </c>
      <c r="H2031" s="3" t="n">
        <v>3</v>
      </c>
      <c r="I2031" s="2" t="n">
        <v>0</v>
      </c>
      <c r="J2031" s="3">
        <f>IFERROR(E2031/H2031,0)</f>
        <v/>
      </c>
      <c r="K2031" s="10">
        <f>E2031/'По разделам'!$B$21</f>
        <v/>
      </c>
      <c r="L2031" s="4">
        <f>L2030+K2031</f>
        <v/>
      </c>
      <c r="M2031" s="2" t="inlineStr">
        <is>
          <t>07313</t>
        </is>
      </c>
      <c r="N2031" s="2" t="inlineStr">
        <is>
          <t>https://app.redstat.kz/niche/07313?event_date=2026-08-01</t>
        </is>
      </c>
      <c r="O2031" s="2" t="inlineStr">
        <is>
          <t>https://kaspi.kz/shop/c/horse%20girths/</t>
        </is>
      </c>
    </row>
    <row r="2032">
      <c r="A2032" s="2" t="n">
        <v>2031</v>
      </c>
      <c r="B2032" s="2" t="inlineStr">
        <is>
          <t>Линолеум</t>
        </is>
      </c>
      <c r="C2032" s="2" t="inlineStr">
        <is>
          <t>Строительство, ремонт</t>
        </is>
      </c>
      <c r="D2032" s="2" t="inlineStr">
        <is>
          <t>Строительство, ремонт → Отделочные материалы → Напольные покрытия → Линолеум</t>
        </is>
      </c>
      <c r="E2032" s="3" t="n">
        <v>20815</v>
      </c>
      <c r="F2032" s="3" t="n">
        <v>16</v>
      </c>
      <c r="G2032" s="3">
        <f>IFERROR(E2032/F2032,0)</f>
        <v/>
      </c>
      <c r="H2032" s="3" t="n">
        <v>8</v>
      </c>
      <c r="I2032" s="2" t="n">
        <v>3</v>
      </c>
      <c r="J2032" s="3">
        <f>IFERROR(E2032/H2032,0)</f>
        <v/>
      </c>
      <c r="K2032" s="10">
        <f>E2032/'По разделам'!$B$21</f>
        <v/>
      </c>
      <c r="L2032" s="4">
        <f>L2031+K2032</f>
        <v/>
      </c>
      <c r="M2032" s="2" t="inlineStr">
        <is>
          <t>00333</t>
        </is>
      </c>
      <c r="N2032" s="2" t="inlineStr">
        <is>
          <t>https://app.redstat.kz/niche/00333?event_date=2026-08-01</t>
        </is>
      </c>
      <c r="O2032" s="2" t="inlineStr">
        <is>
          <t>https://kaspi.kz/shop/c/linoleum/</t>
        </is>
      </c>
    </row>
    <row r="2033">
      <c r="A2033" s="2" t="n">
        <v>2032</v>
      </c>
      <c r="B2033" s="2" t="inlineStr">
        <is>
          <t>Туалетная бумага</t>
        </is>
      </c>
      <c r="C2033" s="2" t="inlineStr">
        <is>
          <t>Товары для дома и дачи</t>
        </is>
      </c>
      <c r="D2033" s="2" t="inlineStr">
        <is>
          <t>Товары для дома и дачи → Хозяйственные товары → Бумажная продукция для дома → Туалетная бумага</t>
        </is>
      </c>
      <c r="E2033" s="3" t="n">
        <v>20729</v>
      </c>
      <c r="F2033" s="3" t="n">
        <v>4</v>
      </c>
      <c r="G2033" s="3">
        <f>IFERROR(E2033/F2033,0)</f>
        <v/>
      </c>
      <c r="H2033" s="3" t="n">
        <v>4</v>
      </c>
      <c r="I2033" s="2" t="n">
        <v>1</v>
      </c>
      <c r="J2033" s="3">
        <f>IFERROR(E2033/H2033,0)</f>
        <v/>
      </c>
      <c r="K2033" s="10">
        <f>E2033/'По разделам'!$B$21</f>
        <v/>
      </c>
      <c r="L2033" s="4">
        <f>L2032+K2033</f>
        <v/>
      </c>
      <c r="M2033" s="2" t="inlineStr">
        <is>
          <t>03216</t>
        </is>
      </c>
      <c r="N2033" s="2" t="inlineStr">
        <is>
          <t>https://app.redstat.kz/niche/03216?event_date=2026-08-01</t>
        </is>
      </c>
      <c r="O2033" s="2" t="inlineStr">
        <is>
          <t>https://kaspi.kz/shop/c/toilet%20paper/</t>
        </is>
      </c>
    </row>
    <row r="2034">
      <c r="A2034" s="2" t="n">
        <v>2033</v>
      </c>
      <c r="B2034" s="2" t="inlineStr">
        <is>
          <t>Чехлы на сиденье для унитаза</t>
        </is>
      </c>
      <c r="C2034" s="2" t="inlineStr">
        <is>
          <t>Товары для дома и дачи</t>
        </is>
      </c>
      <c r="D2034" s="2" t="inlineStr">
        <is>
          <t>Товары для дома и дачи → Хозяйственные товары → Аксессуары для ванной и туалета → Чехлы на сиденье для унитаза</t>
        </is>
      </c>
      <c r="E2034" s="3" t="n">
        <v>20523</v>
      </c>
      <c r="F2034" s="3" t="n">
        <v>14</v>
      </c>
      <c r="G2034" s="3">
        <f>IFERROR(E2034/F2034,0)</f>
        <v/>
      </c>
      <c r="H2034" s="3" t="n">
        <v>9</v>
      </c>
      <c r="I2034" s="2" t="n">
        <v>1</v>
      </c>
      <c r="J2034" s="3">
        <f>IFERROR(E2034/H2034,0)</f>
        <v/>
      </c>
      <c r="K2034" s="10">
        <f>E2034/'По разделам'!$B$21</f>
        <v/>
      </c>
      <c r="L2034" s="4">
        <f>L2033+K2034</f>
        <v/>
      </c>
      <c r="M2034" s="2" t="inlineStr">
        <is>
          <t>06773</t>
        </is>
      </c>
      <c r="N2034" s="2" t="inlineStr">
        <is>
          <t>https://app.redstat.kz/niche/06773?event_date=2026-08-01</t>
        </is>
      </c>
      <c r="O2034" s="2" t="inlineStr">
        <is>
          <t>https://kaspi.kz/shop/c/toilet%20seat%20covers/</t>
        </is>
      </c>
    </row>
    <row r="2035">
      <c r="A2035" s="2" t="n">
        <v>2034</v>
      </c>
      <c r="B2035" s="2" t="inlineStr">
        <is>
          <t>Аксессуары для лошадей</t>
        </is>
      </c>
      <c r="C2035" s="2" t="inlineStr">
        <is>
          <t>Спорт, туризм</t>
        </is>
      </c>
      <c r="D2035" s="2" t="inlineStr">
        <is>
          <t>Спорт, туризм → Конный спорт → Аксессуары для лошадей</t>
        </is>
      </c>
      <c r="E2035" s="3" t="n">
        <v>20461</v>
      </c>
      <c r="F2035" s="3" t="n">
        <v>5</v>
      </c>
      <c r="G2035" s="3">
        <f>IFERROR(E2035/F2035,0)</f>
        <v/>
      </c>
      <c r="H2035" s="3" t="n">
        <v>2</v>
      </c>
      <c r="I2035" s="2" t="n">
        <v>0</v>
      </c>
      <c r="J2035" s="3">
        <f>IFERROR(E2035/H2035,0)</f>
        <v/>
      </c>
      <c r="K2035" s="10">
        <f>E2035/'По разделам'!$B$21</f>
        <v/>
      </c>
      <c r="L2035" s="4">
        <f>L2034+K2035</f>
        <v/>
      </c>
      <c r="M2035" s="2" t="inlineStr">
        <is>
          <t>09227</t>
        </is>
      </c>
      <c r="N2035" s="2" t="inlineStr">
        <is>
          <t>https://app.redstat.kz/niche/09227?event_date=2026-08-01</t>
        </is>
      </c>
      <c r="O2035" s="2" t="inlineStr">
        <is>
          <t>https://kaspi.kz/shop/c/horse%20accessories/</t>
        </is>
      </c>
    </row>
    <row r="2036">
      <c r="A2036" s="2" t="n">
        <v>2035</v>
      </c>
      <c r="B2036" s="2" t="inlineStr">
        <is>
          <t>Защитные аксессуары для обуви</t>
        </is>
      </c>
      <c r="C2036" s="2" t="inlineStr">
        <is>
          <t>Товары для дома и дачи</t>
        </is>
      </c>
      <c r="D2036" s="2" t="inlineStr">
        <is>
          <t>Товары для дома и дачи → Хозяйственные товары → Уход за обувью → Защитные аксессуары для обуви</t>
        </is>
      </c>
      <c r="E2036" s="3" t="n">
        <v>20335</v>
      </c>
      <c r="F2036" s="3" t="n">
        <v>9</v>
      </c>
      <c r="G2036" s="3">
        <f>IFERROR(E2036/F2036,0)</f>
        <v/>
      </c>
      <c r="H2036" s="3" t="n">
        <v>4</v>
      </c>
      <c r="I2036" s="2" t="n">
        <v>3</v>
      </c>
      <c r="J2036" s="3">
        <f>IFERROR(E2036/H2036,0)</f>
        <v/>
      </c>
      <c r="K2036" s="10">
        <f>E2036/'По разделам'!$B$21</f>
        <v/>
      </c>
      <c r="L2036" s="4">
        <f>L2035+K2036</f>
        <v/>
      </c>
      <c r="M2036" s="2" t="inlineStr">
        <is>
          <t>06224</t>
        </is>
      </c>
      <c r="N2036" s="2" t="inlineStr">
        <is>
          <t>https://app.redstat.kz/niche/06224?event_date=2026-08-01</t>
        </is>
      </c>
      <c r="O2036" s="2" t="inlineStr">
        <is>
          <t>https://kaspi.kz/shop/c/protective%20accessories%20for%20shoes/</t>
        </is>
      </c>
    </row>
    <row r="2037">
      <c r="A2037" s="2" t="n">
        <v>2036</v>
      </c>
      <c r="B2037" s="2" t="inlineStr">
        <is>
          <t>Ширмы</t>
        </is>
      </c>
      <c r="C2037" s="2" t="inlineStr">
        <is>
          <t>Товары для дома и дачи</t>
        </is>
      </c>
      <c r="D2037" s="2" t="inlineStr">
        <is>
          <t>Товары для дома и дачи → Интерьер → Оформление интерьера → Ширмы</t>
        </is>
      </c>
      <c r="E2037" s="3" t="n">
        <v>20000</v>
      </c>
      <c r="F2037" s="3" t="n">
        <v>1</v>
      </c>
      <c r="G2037" s="3">
        <f>IFERROR(E2037/F2037,0)</f>
        <v/>
      </c>
      <c r="H2037" s="3" t="n">
        <v>1</v>
      </c>
      <c r="I2037" s="2" t="n">
        <v>0</v>
      </c>
      <c r="J2037" s="3">
        <f>IFERROR(E2037/H2037,0)</f>
        <v/>
      </c>
      <c r="K2037" s="10">
        <f>E2037/'По разделам'!$B$21</f>
        <v/>
      </c>
      <c r="L2037" s="4">
        <f>L2036+K2037</f>
        <v/>
      </c>
      <c r="M2037" s="2" t="inlineStr">
        <is>
          <t>03081</t>
        </is>
      </c>
      <c r="N2037" s="2" t="inlineStr">
        <is>
          <t>https://app.redstat.kz/niche/03081?event_date=2026-08-01</t>
        </is>
      </c>
      <c r="O2037" s="2" t="inlineStr">
        <is>
          <t>https://kaspi.kz/shop/c/room%20dividers/</t>
        </is>
      </c>
    </row>
    <row r="2038">
      <c r="A2038" s="2" t="n">
        <v>2037</v>
      </c>
      <c r="B2038" s="2" t="inlineStr">
        <is>
          <t>Прочая оснастка к садовой технике</t>
        </is>
      </c>
      <c r="C2038" s="2" t="inlineStr">
        <is>
          <t>Товары для дома и дачи</t>
        </is>
      </c>
      <c r="D2038" s="2" t="inlineStr">
        <is>
          <t>Товары для дома и дачи → Дача, сад и огород → Садовая техника → Комплектующие и аксессуары для садовой техники → Прочая оснастка к садовой технике</t>
        </is>
      </c>
      <c r="E2038" s="3" t="n">
        <v>20000</v>
      </c>
      <c r="F2038" s="3" t="n">
        <v>1</v>
      </c>
      <c r="G2038" s="3">
        <f>IFERROR(E2038/F2038,0)</f>
        <v/>
      </c>
      <c r="H2038" s="3" t="n">
        <v>1</v>
      </c>
      <c r="I2038" s="2" t="n">
        <v>1</v>
      </c>
      <c r="J2038" s="3">
        <f>IFERROR(E2038/H2038,0)</f>
        <v/>
      </c>
      <c r="K2038" s="10">
        <f>E2038/'По разделам'!$B$21</f>
        <v/>
      </c>
      <c r="L2038" s="4">
        <f>L2037+K2038</f>
        <v/>
      </c>
      <c r="M2038" s="2" t="inlineStr">
        <is>
          <t>06758</t>
        </is>
      </c>
      <c r="N2038" s="2" t="inlineStr">
        <is>
          <t>https://app.redstat.kz/niche/06758?event_date=2026-08-01</t>
        </is>
      </c>
      <c r="O2038" s="2" t="inlineStr">
        <is>
          <t>https://kaspi.kz/shop/c/other%20accessories%20for%20garden%20equipment/</t>
        </is>
      </c>
    </row>
    <row r="2039">
      <c r="A2039" s="2" t="n">
        <v>2038</v>
      </c>
      <c r="B2039" s="2" t="inlineStr">
        <is>
          <t>Вакуумные упаковщики</t>
        </is>
      </c>
      <c r="C2039" s="2" t="inlineStr">
        <is>
          <t>Бытовая техника</t>
        </is>
      </c>
      <c r="D2039" s="2" t="inlineStr">
        <is>
          <t>Бытовая техника → Мелкая техника для кухни → Прочая кухонная техника → Вакуумные упаковщики</t>
        </is>
      </c>
      <c r="E2039" s="3" t="n">
        <v>19990</v>
      </c>
      <c r="F2039" s="3" t="n">
        <v>1</v>
      </c>
      <c r="G2039" s="3">
        <f>IFERROR(E2039/F2039,0)</f>
        <v/>
      </c>
      <c r="H2039" s="3" t="n">
        <v>1</v>
      </c>
      <c r="I2039" s="2" t="n">
        <v>1</v>
      </c>
      <c r="J2039" s="3">
        <f>IFERROR(E2039/H2039,0)</f>
        <v/>
      </c>
      <c r="K2039" s="10">
        <f>E2039/'По разделам'!$B$21</f>
        <v/>
      </c>
      <c r="L2039" s="4">
        <f>L2038+K2039</f>
        <v/>
      </c>
      <c r="M2039" s="2" t="inlineStr">
        <is>
          <t>02907</t>
        </is>
      </c>
      <c r="N2039" s="2" t="inlineStr">
        <is>
          <t>https://app.redstat.kz/niche/02907?event_date=2026-08-01</t>
        </is>
      </c>
      <c r="O2039" s="2" t="inlineStr">
        <is>
          <t>https://kaspi.kz/shop/c/vacuum%20sealers/</t>
        </is>
      </c>
    </row>
    <row r="2040">
      <c r="A2040" s="2" t="n">
        <v>2039</v>
      </c>
      <c r="B2040" s="2" t="inlineStr">
        <is>
          <t>Комплектующие для гофрированных труб и металлорукавов</t>
        </is>
      </c>
      <c r="C2040" s="2" t="inlineStr">
        <is>
          <t>Строительство, ремонт</t>
        </is>
      </c>
      <c r="D2040" s="2" t="inlineStr">
        <is>
          <t>Строительство, ремонт → Электрика → Изделия для электромонтажных работ → Кабеленесущие системы → Комплектующие для гофрированных труб и металлорукавов</t>
        </is>
      </c>
      <c r="E2040" s="3" t="n">
        <v>19990</v>
      </c>
      <c r="F2040" s="3" t="n">
        <v>1</v>
      </c>
      <c r="G2040" s="3">
        <f>IFERROR(E2040/F2040,0)</f>
        <v/>
      </c>
      <c r="H2040" s="3" t="n">
        <v>1</v>
      </c>
      <c r="I2040" s="2" t="n">
        <v>1</v>
      </c>
      <c r="J2040" s="3">
        <f>IFERROR(E2040/H2040,0)</f>
        <v/>
      </c>
      <c r="K2040" s="10">
        <f>E2040/'По разделам'!$B$21</f>
        <v/>
      </c>
      <c r="L2040" s="4">
        <f>L2039+K2040</f>
        <v/>
      </c>
      <c r="M2040" s="2" t="inlineStr">
        <is>
          <t>05092</t>
        </is>
      </c>
      <c r="N2040" s="2" t="inlineStr">
        <is>
          <t>https://app.redstat.kz/niche/05092?event_date=2026-08-01</t>
        </is>
      </c>
      <c r="O2040" s="2" t="inlineStr">
        <is>
          <t>https://kaspi.kz/shop/c/corrugated%20pipe%20accessories/</t>
        </is>
      </c>
    </row>
    <row r="2041">
      <c r="A2041" s="2" t="n">
        <v>2040</v>
      </c>
      <c r="B2041" s="2" t="inlineStr">
        <is>
          <t>Подрулевые шлейфы</t>
        </is>
      </c>
      <c r="C2041" s="2" t="inlineStr">
        <is>
          <t>Автотовары</t>
        </is>
      </c>
      <c r="D2041" s="2" t="inlineStr">
        <is>
          <t>Автотовары → Автозапчасти → Автоэлектрика → Подрулевые шлейфы</t>
        </is>
      </c>
      <c r="E2041" s="3" t="n">
        <v>19980</v>
      </c>
      <c r="F2041" s="3" t="n">
        <v>1</v>
      </c>
      <c r="G2041" s="3">
        <f>IFERROR(E2041/F2041,0)</f>
        <v/>
      </c>
      <c r="H2041" s="3" t="n">
        <v>1</v>
      </c>
      <c r="I2041" s="2" t="n">
        <v>1</v>
      </c>
      <c r="J2041" s="3">
        <f>IFERROR(E2041/H2041,0)</f>
        <v/>
      </c>
      <c r="K2041" s="10">
        <f>E2041/'По разделам'!$B$21</f>
        <v/>
      </c>
      <c r="L2041" s="4">
        <f>L2040+K2041</f>
        <v/>
      </c>
      <c r="M2041" s="2" t="inlineStr">
        <is>
          <t>04041</t>
        </is>
      </c>
      <c r="N2041" s="2" t="inlineStr">
        <is>
          <t>https://app.redstat.kz/niche/04041?event_date=2026-08-01</t>
        </is>
      </c>
      <c r="O2041" s="2" t="inlineStr">
        <is>
          <t>https://kaspi.kz/shop/c/car%20steering%20column%20cables/</t>
        </is>
      </c>
    </row>
    <row r="2042">
      <c r="A2042" s="2" t="n">
        <v>2041</v>
      </c>
      <c r="B2042" s="2" t="inlineStr">
        <is>
          <t>Дисплеи для смарт-часов и фитнесс-браслетов</t>
        </is>
      </c>
      <c r="C2042" s="2" t="inlineStr">
        <is>
          <t>Телефоны и гаджеты</t>
        </is>
      </c>
      <c r="D2042" s="2" t="inlineStr">
        <is>
          <t>Телефоны и гаджеты → Аксессуары для смарт-часов и фитнесс браслетов → Дисплеи для смарт-часов и фитнесс-браслетов</t>
        </is>
      </c>
      <c r="E2042" s="3" t="n">
        <v>19800</v>
      </c>
      <c r="F2042" s="3" t="n">
        <v>2</v>
      </c>
      <c r="G2042" s="3">
        <f>IFERROR(E2042/F2042,0)</f>
        <v/>
      </c>
      <c r="H2042" s="3" t="n">
        <v>2</v>
      </c>
      <c r="I2042" s="2" t="n">
        <v>0</v>
      </c>
      <c r="J2042" s="3">
        <f>IFERROR(E2042/H2042,0)</f>
        <v/>
      </c>
      <c r="K2042" s="10">
        <f>E2042/'По разделам'!$B$21</f>
        <v/>
      </c>
      <c r="L2042" s="4">
        <f>L2041+K2042</f>
        <v/>
      </c>
      <c r="M2042" s="2" t="inlineStr">
        <is>
          <t>07451</t>
        </is>
      </c>
      <c r="N2042" s="2" t="inlineStr">
        <is>
          <t>https://app.redstat.kz/niche/07451?event_date=2026-08-01</t>
        </is>
      </c>
      <c r="O2042" s="2" t="inlineStr">
        <is>
          <t>https://kaspi.kz/shop/c/displays%20for%20smart%20watches%20and%20fitness%20bracelets/</t>
        </is>
      </c>
    </row>
    <row r="2043">
      <c r="A2043" s="2" t="n">
        <v>2042</v>
      </c>
      <c r="B2043" s="2" t="inlineStr">
        <is>
          <t>Водопроводные и канализационные трубы</t>
        </is>
      </c>
      <c r="C2043" s="2" t="inlineStr">
        <is>
          <t>Строительство, ремонт</t>
        </is>
      </c>
      <c r="D2043" s="2" t="inlineStr">
        <is>
          <t>Строительство, ремонт → Водоснабжение → Трубы и фитинги → Водопроводные и канализационные трубы</t>
        </is>
      </c>
      <c r="E2043" s="3" t="n">
        <v>19600</v>
      </c>
      <c r="F2043" s="3" t="n">
        <v>2</v>
      </c>
      <c r="G2043" s="3">
        <f>IFERROR(E2043/F2043,0)</f>
        <v/>
      </c>
      <c r="H2043" s="3" t="n">
        <v>1</v>
      </c>
      <c r="I2043" s="2" t="n">
        <v>1</v>
      </c>
      <c r="J2043" s="3">
        <f>IFERROR(E2043/H2043,0)</f>
        <v/>
      </c>
      <c r="K2043" s="10">
        <f>E2043/'По разделам'!$B$21</f>
        <v/>
      </c>
      <c r="L2043" s="4">
        <f>L2042+K2043</f>
        <v/>
      </c>
      <c r="M2043" s="2" t="inlineStr">
        <is>
          <t>05433</t>
        </is>
      </c>
      <c r="N2043" s="2" t="inlineStr">
        <is>
          <t>https://app.redstat.kz/niche/05433?event_date=2026-08-01</t>
        </is>
      </c>
      <c r="O2043" s="2" t="inlineStr">
        <is>
          <t>https://kaspi.kz/shop/c/water%20pipes/</t>
        </is>
      </c>
    </row>
    <row r="2044">
      <c r="A2044" s="2" t="n">
        <v>2043</v>
      </c>
      <c r="B2044" s="2" t="inlineStr">
        <is>
          <t>Жидкости и наполнители для биотуалетов</t>
        </is>
      </c>
      <c r="C2044" s="2" t="inlineStr">
        <is>
          <t>Товары для дома и дачи</t>
        </is>
      </c>
      <c r="D2044" s="2" t="inlineStr">
        <is>
          <t>Товары для дома и дачи → Дача, сад и огород → Биотуалеты и наполнители → Жидкости и наполнители для биотуалетов</t>
        </is>
      </c>
      <c r="E2044" s="3" t="n">
        <v>19542</v>
      </c>
      <c r="F2044" s="3" t="n">
        <v>4</v>
      </c>
      <c r="G2044" s="3">
        <f>IFERROR(E2044/F2044,0)</f>
        <v/>
      </c>
      <c r="H2044" s="3" t="n">
        <v>3</v>
      </c>
      <c r="I2044" s="2" t="n">
        <v>3</v>
      </c>
      <c r="J2044" s="3">
        <f>IFERROR(E2044/H2044,0)</f>
        <v/>
      </c>
      <c r="K2044" s="10">
        <f>E2044/'По разделам'!$B$21</f>
        <v/>
      </c>
      <c r="L2044" s="4">
        <f>L2043+K2044</f>
        <v/>
      </c>
      <c r="M2044" s="2" t="inlineStr">
        <is>
          <t>02767</t>
        </is>
      </c>
      <c r="N2044" s="2" t="inlineStr">
        <is>
          <t>https://app.redstat.kz/niche/02767?event_date=2026-08-01</t>
        </is>
      </c>
      <c r="O2044" s="2" t="inlineStr">
        <is>
          <t>https://kaspi.kz/shop/c/composting%20toilets%20cleaners/</t>
        </is>
      </c>
    </row>
    <row r="2045">
      <c r="A2045" s="2" t="n">
        <v>2044</v>
      </c>
      <c r="B2045" s="2" t="inlineStr">
        <is>
          <t>Комплектующие к трубам из полипропилена</t>
        </is>
      </c>
      <c r="C2045" s="2" t="inlineStr">
        <is>
          <t>Строительство, ремонт</t>
        </is>
      </c>
      <c r="D2045" s="2" t="inlineStr">
        <is>
          <t>Строительство, ремонт → Водоснабжение → Трубы и фитинги → Комплектующие к трубам из полипропилена</t>
        </is>
      </c>
      <c r="E2045" s="3" t="n">
        <v>19329</v>
      </c>
      <c r="F2045" s="3" t="n">
        <v>24</v>
      </c>
      <c r="G2045" s="3">
        <f>IFERROR(E2045/F2045,0)</f>
        <v/>
      </c>
      <c r="H2045" s="3" t="n">
        <v>11</v>
      </c>
      <c r="I2045" s="2" t="n">
        <v>5</v>
      </c>
      <c r="J2045" s="3">
        <f>IFERROR(E2045/H2045,0)</f>
        <v/>
      </c>
      <c r="K2045" s="10">
        <f>E2045/'По разделам'!$B$21</f>
        <v/>
      </c>
      <c r="L2045" s="4">
        <f>L2044+K2045</f>
        <v/>
      </c>
      <c r="M2045" s="2" t="inlineStr">
        <is>
          <t>04817</t>
        </is>
      </c>
      <c r="N2045" s="2" t="inlineStr">
        <is>
          <t>https://app.redstat.kz/niche/04817?event_date=2026-08-01</t>
        </is>
      </c>
      <c r="O2045" s="2" t="inlineStr">
        <is>
          <t>https://kaspi.kz/shop/c/fittings%20for%20polypropylene%20pipes/</t>
        </is>
      </c>
    </row>
    <row r="2046">
      <c r="A2046" s="2" t="n">
        <v>2045</v>
      </c>
      <c r="B2046" s="2" t="inlineStr">
        <is>
          <t>Прочие измерительные инструменты</t>
        </is>
      </c>
      <c r="C2046" s="2" t="inlineStr">
        <is>
          <t>Строительство, ремонт</t>
        </is>
      </c>
      <c r="D2046" s="2" t="inlineStr">
        <is>
          <t>Строительство, ремонт → Инструменты → Измерительные инструменты → Прочие измерительные инструменты</t>
        </is>
      </c>
      <c r="E2046" s="3" t="n">
        <v>19000</v>
      </c>
      <c r="F2046" s="3" t="n">
        <v>1</v>
      </c>
      <c r="G2046" s="3">
        <f>IFERROR(E2046/F2046,0)</f>
        <v/>
      </c>
      <c r="H2046" s="3" t="n">
        <v>1</v>
      </c>
      <c r="I2046" s="2" t="n">
        <v>1</v>
      </c>
      <c r="J2046" s="3">
        <f>IFERROR(E2046/H2046,0)</f>
        <v/>
      </c>
      <c r="K2046" s="10">
        <f>E2046/'По разделам'!$B$21</f>
        <v/>
      </c>
      <c r="L2046" s="4">
        <f>L2045+K2046</f>
        <v/>
      </c>
      <c r="M2046" s="2" t="inlineStr">
        <is>
          <t>04342</t>
        </is>
      </c>
      <c r="N2046" s="2" t="inlineStr">
        <is>
          <t>https://app.redstat.kz/niche/04342?event_date=2026-08-01</t>
        </is>
      </c>
      <c r="O2046" s="2" t="inlineStr">
        <is>
          <t>https://kaspi.kz/shop/c/other%20measuring%20instruments/</t>
        </is>
      </c>
    </row>
    <row r="2047">
      <c r="A2047" s="2" t="n">
        <v>2046</v>
      </c>
      <c r="B2047" s="2" t="inlineStr">
        <is>
          <t>Болстеры для йоги</t>
        </is>
      </c>
      <c r="C2047" s="2" t="inlineStr">
        <is>
          <t>Спорт, туризм</t>
        </is>
      </c>
      <c r="D2047" s="2" t="inlineStr">
        <is>
          <t>Спорт, туризм → Йога и пилатес → Болстеры для йоги</t>
        </is>
      </c>
      <c r="E2047" s="3" t="n">
        <v>18990</v>
      </c>
      <c r="F2047" s="3" t="n">
        <v>2</v>
      </c>
      <c r="G2047" s="3">
        <f>IFERROR(E2047/F2047,0)</f>
        <v/>
      </c>
      <c r="H2047" s="3" t="n">
        <v>2</v>
      </c>
      <c r="I2047" s="2" t="n">
        <v>2</v>
      </c>
      <c r="J2047" s="3">
        <f>IFERROR(E2047/H2047,0)</f>
        <v/>
      </c>
      <c r="K2047" s="10">
        <f>E2047/'По разделам'!$B$21</f>
        <v/>
      </c>
      <c r="L2047" s="4">
        <f>L2046+K2047</f>
        <v/>
      </c>
      <c r="M2047" s="2" t="inlineStr">
        <is>
          <t>04822</t>
        </is>
      </c>
      <c r="N2047" s="2" t="inlineStr">
        <is>
          <t>https://app.redstat.kz/niche/04822?event_date=2026-08-01</t>
        </is>
      </c>
      <c r="O2047" s="2" t="inlineStr">
        <is>
          <t>https://kaspi.kz/shop/c/yoga%20bolsters/</t>
        </is>
      </c>
    </row>
    <row r="2048">
      <c r="A2048" s="2" t="n">
        <v>2047</v>
      </c>
      <c r="B2048" s="2" t="inlineStr">
        <is>
          <t>Стартовые колодки для легкой атлетики</t>
        </is>
      </c>
      <c r="C2048" s="2" t="inlineStr">
        <is>
          <t>Спорт, туризм</t>
        </is>
      </c>
      <c r="D2048" s="2" t="inlineStr">
        <is>
          <t>Спорт, туризм → Бег и ходьба → Инвентарь для бега → Стартовые колодки для легкой атлетики</t>
        </is>
      </c>
      <c r="E2048" s="3" t="n">
        <v>18690</v>
      </c>
      <c r="F2048" s="3" t="n">
        <v>1</v>
      </c>
      <c r="G2048" s="3">
        <f>IFERROR(E2048/F2048,0)</f>
        <v/>
      </c>
      <c r="H2048" s="3" t="n">
        <v>1</v>
      </c>
      <c r="I2048" s="2" t="n">
        <v>1</v>
      </c>
      <c r="J2048" s="3">
        <f>IFERROR(E2048/H2048,0)</f>
        <v/>
      </c>
      <c r="K2048" s="10">
        <f>E2048/'По разделам'!$B$21</f>
        <v/>
      </c>
      <c r="L2048" s="4">
        <f>L2047+K2048</f>
        <v/>
      </c>
      <c r="M2048" s="2" t="inlineStr">
        <is>
          <t>qa48ce8467e525b6</t>
        </is>
      </c>
      <c r="N2048" s="2" t="inlineStr">
        <is>
          <t>https://app.redstat.kz/niche/qa48ce8467e525b6?event_date=2026-08-01</t>
        </is>
      </c>
      <c r="O2048" s="2" t="inlineStr"/>
    </row>
    <row r="2049">
      <c r="A2049" s="2" t="n">
        <v>2048</v>
      </c>
      <c r="B2049" s="2" t="inlineStr">
        <is>
          <t>Роликовые тренажеры</t>
        </is>
      </c>
      <c r="C2049" s="2" t="inlineStr">
        <is>
          <t>Спорт, туризм</t>
        </is>
      </c>
      <c r="D2049" s="2" t="inlineStr">
        <is>
          <t>Спорт, туризм → Товары для фитнеса → Роликовые тренажеры</t>
        </is>
      </c>
      <c r="E2049" s="3" t="n">
        <v>18648</v>
      </c>
      <c r="F2049" s="3" t="n">
        <v>2</v>
      </c>
      <c r="G2049" s="3">
        <f>IFERROR(E2049/F2049,0)</f>
        <v/>
      </c>
      <c r="H2049" s="3" t="n">
        <v>2</v>
      </c>
      <c r="I2049" s="2" t="n">
        <v>0</v>
      </c>
      <c r="J2049" s="3">
        <f>IFERROR(E2049/H2049,0)</f>
        <v/>
      </c>
      <c r="K2049" s="10">
        <f>E2049/'По разделам'!$B$21</f>
        <v/>
      </c>
      <c r="L2049" s="4">
        <f>L2048+K2049</f>
        <v/>
      </c>
      <c r="M2049" s="2" t="inlineStr">
        <is>
          <t>03683</t>
        </is>
      </c>
      <c r="N2049" s="2" t="inlineStr">
        <is>
          <t>https://app.redstat.kz/niche/03683?event_date=2026-08-01</t>
        </is>
      </c>
      <c r="O2049" s="2" t="inlineStr">
        <is>
          <t>https://kaspi.kz/shop/c/roll%20shapers/</t>
        </is>
      </c>
    </row>
    <row r="2050">
      <c r="A2050" s="2" t="n">
        <v>2049</v>
      </c>
      <c r="B2050" s="2" t="inlineStr">
        <is>
          <t>Коленчатый вал и комплектующие</t>
        </is>
      </c>
      <c r="C2050" s="2" t="inlineStr">
        <is>
          <t>Автотовары</t>
        </is>
      </c>
      <c r="D2050" s="2" t="inlineStr">
        <is>
          <t>Автотовары → Автозапчасти → Двигатель → Кривошипно-шатунный механизм → Коленчатый вал и комплектующие</t>
        </is>
      </c>
      <c r="E2050" s="3" t="n">
        <v>18600</v>
      </c>
      <c r="F2050" s="3" t="n">
        <v>1</v>
      </c>
      <c r="G2050" s="3">
        <f>IFERROR(E2050/F2050,0)</f>
        <v/>
      </c>
      <c r="H2050" s="3" t="n">
        <v>1</v>
      </c>
      <c r="I2050" s="2" t="n">
        <v>1</v>
      </c>
      <c r="J2050" s="3">
        <f>IFERROR(E2050/H2050,0)</f>
        <v/>
      </c>
      <c r="K2050" s="10">
        <f>E2050/'По разделам'!$B$21</f>
        <v/>
      </c>
      <c r="L2050" s="4">
        <f>L2049+K2050</f>
        <v/>
      </c>
      <c r="M2050" s="2" t="inlineStr">
        <is>
          <t>07363</t>
        </is>
      </c>
      <c r="N2050" s="2" t="inlineStr">
        <is>
          <t>https://app.redstat.kz/niche/07363?event_date=2026-08-01</t>
        </is>
      </c>
      <c r="O2050" s="2" t="inlineStr">
        <is>
          <t>https://kaspi.kz/shop/c/crankshaft%20and%20components/</t>
        </is>
      </c>
    </row>
    <row r="2051">
      <c r="A2051" s="2" t="n">
        <v>2050</v>
      </c>
      <c r="B2051" s="2" t="inlineStr">
        <is>
          <t>Шнурки для обуви</t>
        </is>
      </c>
      <c r="C2051" s="2" t="inlineStr">
        <is>
          <t>Товары для дома и дачи</t>
        </is>
      </c>
      <c r="D2051" s="2" t="inlineStr">
        <is>
          <t>Товары для дома и дачи → Хозяйственные товары → Уход за обувью → Шнурки для обуви</t>
        </is>
      </c>
      <c r="E2051" s="3" t="n">
        <v>18329</v>
      </c>
      <c r="F2051" s="3" t="n">
        <v>10</v>
      </c>
      <c r="G2051" s="3">
        <f>IFERROR(E2051/F2051,0)</f>
        <v/>
      </c>
      <c r="H2051" s="3" t="n">
        <v>7</v>
      </c>
      <c r="I2051" s="2" t="n">
        <v>3</v>
      </c>
      <c r="J2051" s="3">
        <f>IFERROR(E2051/H2051,0)</f>
        <v/>
      </c>
      <c r="K2051" s="10">
        <f>E2051/'По разделам'!$B$21</f>
        <v/>
      </c>
      <c r="L2051" s="4">
        <f>L2050+K2051</f>
        <v/>
      </c>
      <c r="M2051" s="2" t="inlineStr">
        <is>
          <t>04071</t>
        </is>
      </c>
      <c r="N2051" s="2" t="inlineStr">
        <is>
          <t>https://app.redstat.kz/niche/04071?event_date=2026-08-01</t>
        </is>
      </c>
      <c r="O2051" s="2" t="inlineStr">
        <is>
          <t>https://kaspi.kz/shop/c/shoe%20laces/</t>
        </is>
      </c>
    </row>
    <row r="2052">
      <c r="A2052" s="2" t="n">
        <v>2051</v>
      </c>
      <c r="B2052" s="2" t="inlineStr">
        <is>
          <t>Хлебницы и корзины для хлеба</t>
        </is>
      </c>
      <c r="C2052" s="2" t="inlineStr">
        <is>
          <t>Товары для дома и дачи</t>
        </is>
      </c>
      <c r="D2052" s="2" t="inlineStr">
        <is>
          <t>Товары для дома и дачи → Посуда и принадлежности → Посуда для хранения продуктов → Хлебницы и корзины для хлеба</t>
        </is>
      </c>
      <c r="E2052" s="3" t="n">
        <v>18273</v>
      </c>
      <c r="F2052" s="3" t="n">
        <v>5</v>
      </c>
      <c r="G2052" s="3">
        <f>IFERROR(E2052/F2052,0)</f>
        <v/>
      </c>
      <c r="H2052" s="3" t="n">
        <v>4</v>
      </c>
      <c r="I2052" s="2" t="n">
        <v>2</v>
      </c>
      <c r="J2052" s="3">
        <f>IFERROR(E2052/H2052,0)</f>
        <v/>
      </c>
      <c r="K2052" s="10">
        <f>E2052/'По разделам'!$B$21</f>
        <v/>
      </c>
      <c r="L2052" s="4">
        <f>L2051+K2052</f>
        <v/>
      </c>
      <c r="M2052" s="2" t="inlineStr">
        <is>
          <t>03331</t>
        </is>
      </c>
      <c r="N2052" s="2" t="inlineStr">
        <is>
          <t>https://app.redstat.kz/niche/03331?event_date=2026-08-01</t>
        </is>
      </c>
      <c r="O2052" s="2" t="inlineStr">
        <is>
          <t>https://kaspi.kz/shop/c/bread%20boxes/</t>
        </is>
      </c>
    </row>
    <row r="2053">
      <c r="A2053" s="2" t="n">
        <v>2052</v>
      </c>
      <c r="B2053" s="2" t="inlineStr">
        <is>
          <t>Защитные пленки и стекла для планшетов</t>
        </is>
      </c>
      <c r="C2053" s="2" t="inlineStr">
        <is>
          <t>Компьютеры</t>
        </is>
      </c>
      <c r="D2053" s="2" t="inlineStr">
        <is>
          <t>Компьютеры → Планшеты и аксессуары → Аксессуары для планшетов → Защитные пленки и стекла для планшетов</t>
        </is>
      </c>
      <c r="E2053" s="3" t="n">
        <v>17961</v>
      </c>
      <c r="F2053" s="3" t="n">
        <v>7</v>
      </c>
      <c r="G2053" s="3">
        <f>IFERROR(E2053/F2053,0)</f>
        <v/>
      </c>
      <c r="H2053" s="3" t="n">
        <v>7</v>
      </c>
      <c r="I2053" s="2" t="n">
        <v>5</v>
      </c>
      <c r="J2053" s="3">
        <f>IFERROR(E2053/H2053,0)</f>
        <v/>
      </c>
      <c r="K2053" s="10">
        <f>E2053/'По разделам'!$B$21</f>
        <v/>
      </c>
      <c r="L2053" s="4">
        <f>L2052+K2053</f>
        <v/>
      </c>
      <c r="M2053" s="2" t="inlineStr">
        <is>
          <t>06956</t>
        </is>
      </c>
      <c r="N2053" s="2" t="inlineStr">
        <is>
          <t>https://app.redstat.kz/niche/06956?event_date=2026-08-01</t>
        </is>
      </c>
      <c r="O2053" s="2" t="inlineStr">
        <is>
          <t>https://kaspi.kz/shop/c/protective%20films%20and%20glasses%20for%20tablets/</t>
        </is>
      </c>
    </row>
    <row r="2054">
      <c r="A2054" s="2" t="n">
        <v>2053</v>
      </c>
      <c r="B2054" s="2" t="inlineStr">
        <is>
          <t>Вилки для самокатов</t>
        </is>
      </c>
      <c r="C2054" s="2" t="inlineStr">
        <is>
          <t>Спорт, туризм</t>
        </is>
      </c>
      <c r="D2054" s="2" t="inlineStr">
        <is>
          <t>Спорт, туризм → Самокаты, гироскутеры, моноколеса → Вилки для самокатов</t>
        </is>
      </c>
      <c r="E2054" s="3" t="n">
        <v>17900</v>
      </c>
      <c r="F2054" s="3" t="n">
        <v>1</v>
      </c>
      <c r="G2054" s="3">
        <f>IFERROR(E2054/F2054,0)</f>
        <v/>
      </c>
      <c r="H2054" s="3" t="n">
        <v>1</v>
      </c>
      <c r="I2054" s="2" t="n">
        <v>1</v>
      </c>
      <c r="J2054" s="3">
        <f>IFERROR(E2054/H2054,0)</f>
        <v/>
      </c>
      <c r="K2054" s="10">
        <f>E2054/'По разделам'!$B$21</f>
        <v/>
      </c>
      <c r="L2054" s="4">
        <f>L2053+K2054</f>
        <v/>
      </c>
      <c r="M2054" s="2" t="inlineStr">
        <is>
          <t>04091</t>
        </is>
      </c>
      <c r="N2054" s="2" t="inlineStr">
        <is>
          <t>https://app.redstat.kz/niche/04091?event_date=2026-08-01</t>
        </is>
      </c>
      <c r="O2054" s="2" t="inlineStr">
        <is>
          <t>https://kaspi.kz/shop/c/scooter%20forks/</t>
        </is>
      </c>
    </row>
    <row r="2055">
      <c r="A2055" s="2" t="n">
        <v>2054</v>
      </c>
      <c r="B2055" s="2" t="inlineStr">
        <is>
          <t>Инструменты для обработки почвы</t>
        </is>
      </c>
      <c r="C2055" s="2" t="inlineStr">
        <is>
          <t>Товары для дома и дачи</t>
        </is>
      </c>
      <c r="D2055" s="2" t="inlineStr">
        <is>
          <t>Товары для дома и дачи → Дача, сад и огород → Садовые инструменты → Инструменты для обработки почвы</t>
        </is>
      </c>
      <c r="E2055" s="3" t="n">
        <v>17892</v>
      </c>
      <c r="F2055" s="3" t="n">
        <v>6</v>
      </c>
      <c r="G2055" s="3">
        <f>IFERROR(E2055/F2055,0)</f>
        <v/>
      </c>
      <c r="H2055" s="3" t="n">
        <v>4</v>
      </c>
      <c r="I2055" s="2" t="n">
        <v>4</v>
      </c>
      <c r="J2055" s="3">
        <f>IFERROR(E2055/H2055,0)</f>
        <v/>
      </c>
      <c r="K2055" s="10">
        <f>E2055/'По разделам'!$B$21</f>
        <v/>
      </c>
      <c r="L2055" s="4">
        <f>L2054+K2055</f>
        <v/>
      </c>
      <c r="M2055" s="2" t="inlineStr">
        <is>
          <t>03564</t>
        </is>
      </c>
      <c r="N2055" s="2" t="inlineStr">
        <is>
          <t>https://app.redstat.kz/niche/03564?event_date=2026-08-01</t>
        </is>
      </c>
      <c r="O2055" s="2" t="inlineStr">
        <is>
          <t>https://kaspi.kz/shop/c/mini%20tillage%20tools/</t>
        </is>
      </c>
    </row>
    <row r="2056">
      <c r="A2056" s="2" t="n">
        <v>2055</v>
      </c>
      <c r="B2056" s="2" t="inlineStr">
        <is>
          <t>Лаки, краски для стемпинга</t>
        </is>
      </c>
      <c r="C2056" s="2" t="inlineStr">
        <is>
          <t>Красота и здоровье</t>
        </is>
      </c>
      <c r="D2056" s="2" t="inlineStr">
        <is>
          <t>Красота и здоровье → Для маникюра и педикюра → Товары для стемпинга → Лаки, краски для стемпинга</t>
        </is>
      </c>
      <c r="E2056" s="3" t="n">
        <v>17710</v>
      </c>
      <c r="F2056" s="3" t="n">
        <v>13</v>
      </c>
      <c r="G2056" s="3">
        <f>IFERROR(E2056/F2056,0)</f>
        <v/>
      </c>
      <c r="H2056" s="3" t="n">
        <v>6</v>
      </c>
      <c r="I2056" s="2" t="n">
        <v>5</v>
      </c>
      <c r="J2056" s="3">
        <f>IFERROR(E2056/H2056,0)</f>
        <v/>
      </c>
      <c r="K2056" s="10">
        <f>E2056/'По разделам'!$B$21</f>
        <v/>
      </c>
      <c r="L2056" s="4">
        <f>L2055+K2056</f>
        <v/>
      </c>
      <c r="M2056" s="2" t="inlineStr">
        <is>
          <t>06622</t>
        </is>
      </c>
      <c r="N2056" s="2" t="inlineStr">
        <is>
          <t>https://app.redstat.kz/niche/06622?event_date=2026-08-01</t>
        </is>
      </c>
      <c r="O2056" s="2" t="inlineStr">
        <is>
          <t>https://kaspi.kz/shop/c/varnishes%20paints%20for%20stamping/</t>
        </is>
      </c>
    </row>
    <row r="2057">
      <c r="A2057" s="2" t="n">
        <v>2056</v>
      </c>
      <c r="B2057" s="2" t="inlineStr">
        <is>
          <t>Электрические щиты</t>
        </is>
      </c>
      <c r="C2057" s="2" t="inlineStr">
        <is>
          <t>Строительство, ремонт</t>
        </is>
      </c>
      <c r="D2057" s="2" t="inlineStr">
        <is>
          <t>Строительство, ремонт → Электрика → Электрические щиты и комплектующие → Электрические щиты</t>
        </is>
      </c>
      <c r="E2057" s="3" t="n">
        <v>17684</v>
      </c>
      <c r="F2057" s="3" t="n">
        <v>24</v>
      </c>
      <c r="G2057" s="3">
        <f>IFERROR(E2057/F2057,0)</f>
        <v/>
      </c>
      <c r="H2057" s="3" t="n">
        <v>12</v>
      </c>
      <c r="I2057" s="2" t="n">
        <v>6</v>
      </c>
      <c r="J2057" s="3">
        <f>IFERROR(E2057/H2057,0)</f>
        <v/>
      </c>
      <c r="K2057" s="10">
        <f>E2057/'По разделам'!$B$21</f>
        <v/>
      </c>
      <c r="L2057" s="4">
        <f>L2056+K2057</f>
        <v/>
      </c>
      <c r="M2057" s="2" t="inlineStr">
        <is>
          <t>02708</t>
        </is>
      </c>
      <c r="N2057" s="2" t="inlineStr">
        <is>
          <t>https://app.redstat.kz/niche/02708?event_date=2026-08-01</t>
        </is>
      </c>
      <c r="O2057" s="2" t="inlineStr">
        <is>
          <t>https://kaspi.kz/shop/c/electrical%20distribution%20boards/</t>
        </is>
      </c>
    </row>
    <row r="2058">
      <c r="A2058" s="2" t="n">
        <v>2057</v>
      </c>
      <c r="B2058" s="2" t="inlineStr">
        <is>
          <t>Кабельные протяжки</t>
        </is>
      </c>
      <c r="C2058" s="2" t="inlineStr">
        <is>
          <t>Строительство, ремонт</t>
        </is>
      </c>
      <c r="D2058" s="2" t="inlineStr">
        <is>
          <t>Строительство, ремонт → Электрика → Изделия для электромонтажных работ → Кабельные протяжки</t>
        </is>
      </c>
      <c r="E2058" s="3" t="n">
        <v>17600</v>
      </c>
      <c r="F2058" s="3" t="n">
        <v>1</v>
      </c>
      <c r="G2058" s="3">
        <f>IFERROR(E2058/F2058,0)</f>
        <v/>
      </c>
      <c r="H2058" s="3" t="n">
        <v>1</v>
      </c>
      <c r="I2058" s="2" t="n">
        <v>1</v>
      </c>
      <c r="J2058" s="3">
        <f>IFERROR(E2058/H2058,0)</f>
        <v/>
      </c>
      <c r="K2058" s="10">
        <f>E2058/'По разделам'!$B$21</f>
        <v/>
      </c>
      <c r="L2058" s="4">
        <f>L2057+K2058</f>
        <v/>
      </c>
      <c r="M2058" s="2" t="inlineStr">
        <is>
          <t>04200</t>
        </is>
      </c>
      <c r="N2058" s="2" t="inlineStr">
        <is>
          <t>https://app.redstat.kz/niche/04200?event_date=2026-08-01</t>
        </is>
      </c>
      <c r="O2058" s="2" t="inlineStr">
        <is>
          <t>https://kaspi.kz/shop/c/cable%20broaches/</t>
        </is>
      </c>
    </row>
    <row r="2059">
      <c r="A2059" s="2" t="n">
        <v>2058</v>
      </c>
      <c r="B2059" s="2" t="inlineStr">
        <is>
          <t>Комплектующие для газосварки</t>
        </is>
      </c>
      <c r="C2059" s="2" t="inlineStr">
        <is>
          <t>Строительство, ремонт</t>
        </is>
      </c>
      <c r="D2059" s="2" t="inlineStr">
        <is>
          <t>Строительство, ремонт → Инструменты → Сварочное оборудование → Комплектующие для сварочных аппаратов → Комплектующие для газосварки</t>
        </is>
      </c>
      <c r="E2059" s="3" t="n">
        <v>17500</v>
      </c>
      <c r="F2059" s="3" t="n">
        <v>1</v>
      </c>
      <c r="G2059" s="3">
        <f>IFERROR(E2059/F2059,0)</f>
        <v/>
      </c>
      <c r="H2059" s="3" t="n">
        <v>1</v>
      </c>
      <c r="I2059" s="2" t="n">
        <v>0</v>
      </c>
      <c r="J2059" s="3">
        <f>IFERROR(E2059/H2059,0)</f>
        <v/>
      </c>
      <c r="K2059" s="10">
        <f>E2059/'По разделам'!$B$21</f>
        <v/>
      </c>
      <c r="L2059" s="4">
        <f>L2058+K2059</f>
        <v/>
      </c>
      <c r="M2059" s="2" t="inlineStr">
        <is>
          <t>06588</t>
        </is>
      </c>
      <c r="N2059" s="2" t="inlineStr">
        <is>
          <t>https://app.redstat.kz/niche/06588?event_date=2026-08-01</t>
        </is>
      </c>
      <c r="O2059" s="2" t="inlineStr">
        <is>
          <t>https://kaspi.kz/shop/c/accessories%20for%20gas%20welding/</t>
        </is>
      </c>
    </row>
    <row r="2060">
      <c r="A2060" s="2" t="n">
        <v>2059</v>
      </c>
      <c r="B2060" s="2" t="inlineStr">
        <is>
          <t>Системы управления поливом</t>
        </is>
      </c>
      <c r="C2060" s="2" t="inlineStr">
        <is>
          <t>Товары для дома и дачи</t>
        </is>
      </c>
      <c r="D2060" s="2" t="inlineStr">
        <is>
          <t>Товары для дома и дачи → Дача, сад и огород → Аксессуары для полива → Системы управления поливом</t>
        </is>
      </c>
      <c r="E2060" s="3" t="n">
        <v>17490</v>
      </c>
      <c r="F2060" s="3" t="n">
        <v>1</v>
      </c>
      <c r="G2060" s="3">
        <f>IFERROR(E2060/F2060,0)</f>
        <v/>
      </c>
      <c r="H2060" s="3" t="n">
        <v>1</v>
      </c>
      <c r="I2060" s="2" t="n">
        <v>1</v>
      </c>
      <c r="J2060" s="3">
        <f>IFERROR(E2060/H2060,0)</f>
        <v/>
      </c>
      <c r="K2060" s="10">
        <f>E2060/'По разделам'!$B$21</f>
        <v/>
      </c>
      <c r="L2060" s="4">
        <f>L2059+K2060</f>
        <v/>
      </c>
      <c r="M2060" s="2" t="inlineStr">
        <is>
          <t>03477</t>
        </is>
      </c>
      <c r="N2060" s="2" t="inlineStr">
        <is>
          <t>https://app.redstat.kz/niche/03477?event_date=2026-08-01</t>
        </is>
      </c>
      <c r="O2060" s="2" t="inlineStr">
        <is>
          <t>https://kaspi.kz/shop/c/irrigation%20control%20systems/</t>
        </is>
      </c>
    </row>
    <row r="2061">
      <c r="A2061" s="2" t="n">
        <v>2060</v>
      </c>
      <c r="B2061" s="2" t="inlineStr">
        <is>
          <t>Садовые пилы, ножовки и ножи</t>
        </is>
      </c>
      <c r="C2061" s="2" t="inlineStr">
        <is>
          <t>Товары для дома и дачи</t>
        </is>
      </c>
      <c r="D2061" s="2" t="inlineStr">
        <is>
          <t>Товары для дома и дачи → Дача, сад и огород → Садовые инструменты → Садовые пилы, ножовки и ножи</t>
        </is>
      </c>
      <c r="E2061" s="3" t="n">
        <v>17200</v>
      </c>
      <c r="F2061" s="3" t="n">
        <v>2</v>
      </c>
      <c r="G2061" s="3">
        <f>IFERROR(E2061/F2061,0)</f>
        <v/>
      </c>
      <c r="H2061" s="3" t="n">
        <v>1</v>
      </c>
      <c r="I2061" s="2" t="n">
        <v>1</v>
      </c>
      <c r="J2061" s="3">
        <f>IFERROR(E2061/H2061,0)</f>
        <v/>
      </c>
      <c r="K2061" s="10">
        <f>E2061/'По разделам'!$B$21</f>
        <v/>
      </c>
      <c r="L2061" s="4">
        <f>L2060+K2061</f>
        <v/>
      </c>
      <c r="M2061" s="2" t="inlineStr">
        <is>
          <t>06130</t>
        </is>
      </c>
      <c r="N2061" s="2" t="inlineStr">
        <is>
          <t>https://app.redstat.kz/niche/06130?event_date=2026-08-01</t>
        </is>
      </c>
      <c r="O2061" s="2" t="inlineStr">
        <is>
          <t>https://kaspi.kz/shop/c/garden%20saws%20and%20knives/</t>
        </is>
      </c>
    </row>
    <row r="2062">
      <c r="A2062" s="2" t="n">
        <v>2061</v>
      </c>
      <c r="B2062" s="2" t="inlineStr">
        <is>
          <t>Цифровые метеостанции и термометры</t>
        </is>
      </c>
      <c r="C2062" s="2" t="inlineStr">
        <is>
          <t>Товары для дома и дачи</t>
        </is>
      </c>
      <c r="D2062" s="2" t="inlineStr">
        <is>
          <t>Товары для дома и дачи → Интерьер → Часы и метеостанции → Цифровые метеостанции и термометры</t>
        </is>
      </c>
      <c r="E2062" s="3" t="n">
        <v>17188</v>
      </c>
      <c r="F2062" s="3" t="n">
        <v>4</v>
      </c>
      <c r="G2062" s="3">
        <f>IFERROR(E2062/F2062,0)</f>
        <v/>
      </c>
      <c r="H2062" s="3" t="n">
        <v>3</v>
      </c>
      <c r="I2062" s="2" t="n">
        <v>1</v>
      </c>
      <c r="J2062" s="3">
        <f>IFERROR(E2062/H2062,0)</f>
        <v/>
      </c>
      <c r="K2062" s="10">
        <f>E2062/'По разделам'!$B$21</f>
        <v/>
      </c>
      <c r="L2062" s="4">
        <f>L2061+K2062</f>
        <v/>
      </c>
      <c r="M2062" s="2" t="inlineStr">
        <is>
          <t>01270</t>
        </is>
      </c>
      <c r="N2062" s="2" t="inlineStr">
        <is>
          <t>https://app.redstat.kz/niche/01270?event_date=2026-08-01</t>
        </is>
      </c>
      <c r="O2062" s="2" t="inlineStr">
        <is>
          <t>https://kaspi.kz/shop/c/electronic%20weather%20stations%20and%20thermometers/</t>
        </is>
      </c>
    </row>
    <row r="2063">
      <c r="A2063" s="2" t="n">
        <v>2062</v>
      </c>
      <c r="B2063" s="2" t="inlineStr">
        <is>
          <t>Камни для печей</t>
        </is>
      </c>
      <c r="C2063" s="2" t="inlineStr">
        <is>
          <t>Товары для дома и дачи</t>
        </is>
      </c>
      <c r="D2063" s="2" t="inlineStr">
        <is>
          <t>Товары для дома и дачи → Дача, сад и огород → Баня и сауна → Камни для печей</t>
        </is>
      </c>
      <c r="E2063" s="3" t="n">
        <v>17000</v>
      </c>
      <c r="F2063" s="3" t="n">
        <v>2</v>
      </c>
      <c r="G2063" s="3">
        <f>IFERROR(E2063/F2063,0)</f>
        <v/>
      </c>
      <c r="H2063" s="3" t="n">
        <v>1</v>
      </c>
      <c r="I2063" s="2" t="n">
        <v>1</v>
      </c>
      <c r="J2063" s="3">
        <f>IFERROR(E2063/H2063,0)</f>
        <v/>
      </c>
      <c r="K2063" s="10">
        <f>E2063/'По разделам'!$B$21</f>
        <v/>
      </c>
      <c r="L2063" s="4">
        <f>L2062+K2063</f>
        <v/>
      </c>
      <c r="M2063" s="2" t="inlineStr">
        <is>
          <t>06194</t>
        </is>
      </c>
      <c r="N2063" s="2" t="inlineStr">
        <is>
          <t>https://app.redstat.kz/niche/06194?event_date=2026-08-01</t>
        </is>
      </c>
      <c r="O2063" s="2" t="inlineStr">
        <is>
          <t>https://kaspi.kz/shop/c/stones%20for%20stoves/</t>
        </is>
      </c>
    </row>
    <row r="2064">
      <c r="A2064" s="2" t="n">
        <v>2063</v>
      </c>
      <c r="B2064" s="2" t="inlineStr">
        <is>
          <t>Пружина подвески, Рессора, Торсион</t>
        </is>
      </c>
      <c r="C2064" s="2" t="inlineStr">
        <is>
          <t>Автотовары</t>
        </is>
      </c>
      <c r="D2064" s="2" t="inlineStr">
        <is>
          <t>Автотовары → Автозапчасти → Ходовая часть → Пружина подвески, Рессора, Торсион</t>
        </is>
      </c>
      <c r="E2064" s="3" t="n">
        <v>17000</v>
      </c>
      <c r="F2064" s="3" t="n">
        <v>1</v>
      </c>
      <c r="G2064" s="3">
        <f>IFERROR(E2064/F2064,0)</f>
        <v/>
      </c>
      <c r="H2064" s="3" t="n">
        <v>1</v>
      </c>
      <c r="I2064" s="2" t="n">
        <v>1</v>
      </c>
      <c r="J2064" s="3">
        <f>IFERROR(E2064/H2064,0)</f>
        <v/>
      </c>
      <c r="K2064" s="10">
        <f>E2064/'По разделам'!$B$21</f>
        <v/>
      </c>
      <c r="L2064" s="4">
        <f>L2063+K2064</f>
        <v/>
      </c>
      <c r="M2064" s="2" t="inlineStr">
        <is>
          <t>07337</t>
        </is>
      </c>
      <c r="N2064" s="2" t="inlineStr">
        <is>
          <t>https://app.redstat.kz/niche/07337?event_date=2026-08-01</t>
        </is>
      </c>
      <c r="O2064" s="2" t="inlineStr">
        <is>
          <t>https://kaspi.kz/shop/c/suspension%20spring/</t>
        </is>
      </c>
    </row>
    <row r="2065">
      <c r="A2065" s="2" t="n">
        <v>2064</v>
      </c>
      <c r="B2065" s="2" t="inlineStr">
        <is>
          <t>Средства для посудомоечных машин</t>
        </is>
      </c>
      <c r="C2065" s="2" t="inlineStr">
        <is>
          <t>Товары для дома и дачи</t>
        </is>
      </c>
      <c r="D2065" s="2" t="inlineStr">
        <is>
          <t>Товары для дома и дачи → Бытовая химия → Средства для мытья посуды → Средства для посудомоечных машин</t>
        </is>
      </c>
      <c r="E2065" s="3" t="n">
        <v>16800</v>
      </c>
      <c r="F2065" s="3" t="n">
        <v>3</v>
      </c>
      <c r="G2065" s="3">
        <f>IFERROR(E2065/F2065,0)</f>
        <v/>
      </c>
      <c r="H2065" s="3" t="n">
        <v>1</v>
      </c>
      <c r="I2065" s="2" t="n">
        <v>1</v>
      </c>
      <c r="J2065" s="3">
        <f>IFERROR(E2065/H2065,0)</f>
        <v/>
      </c>
      <c r="K2065" s="10">
        <f>E2065/'По разделам'!$B$21</f>
        <v/>
      </c>
      <c r="L2065" s="4">
        <f>L2064+K2065</f>
        <v/>
      </c>
      <c r="M2065" s="2" t="inlineStr">
        <is>
          <t>01677</t>
        </is>
      </c>
      <c r="N2065" s="2" t="inlineStr">
        <is>
          <t>https://app.redstat.kz/niche/01677?event_date=2026-08-01</t>
        </is>
      </c>
      <c r="O2065" s="2" t="inlineStr">
        <is>
          <t>https://kaspi.kz/shop/c/dishwasher%20detergents/</t>
        </is>
      </c>
    </row>
    <row r="2066">
      <c r="A2066" s="2" t="n">
        <v>2065</v>
      </c>
      <c r="B2066" s="2" t="inlineStr">
        <is>
          <t>Распределительные коробки</t>
        </is>
      </c>
      <c r="C2066" s="2" t="inlineStr">
        <is>
          <t>Строительство, ремонт</t>
        </is>
      </c>
      <c r="D2066" s="2" t="inlineStr">
        <is>
          <t>Строительство, ремонт → Электрика → Изделия для электромонтажных работ → Распределительные коробки</t>
        </is>
      </c>
      <c r="E2066" s="3" t="n">
        <v>16780</v>
      </c>
      <c r="F2066" s="3" t="n">
        <v>9</v>
      </c>
      <c r="G2066" s="3">
        <f>IFERROR(E2066/F2066,0)</f>
        <v/>
      </c>
      <c r="H2066" s="3" t="n">
        <v>3</v>
      </c>
      <c r="I2066" s="2" t="n">
        <v>2</v>
      </c>
      <c r="J2066" s="3">
        <f>IFERROR(E2066/H2066,0)</f>
        <v/>
      </c>
      <c r="K2066" s="10">
        <f>E2066/'По разделам'!$B$21</f>
        <v/>
      </c>
      <c r="L2066" s="4">
        <f>L2065+K2066</f>
        <v/>
      </c>
      <c r="M2066" s="2" t="inlineStr">
        <is>
          <t>04053</t>
        </is>
      </c>
      <c r="N2066" s="2" t="inlineStr">
        <is>
          <t>https://app.redstat.kz/niche/04053?event_date=2026-08-01</t>
        </is>
      </c>
      <c r="O2066" s="2" t="inlineStr">
        <is>
          <t>https://kaspi.kz/shop/c/junction%20boxes/</t>
        </is>
      </c>
    </row>
    <row r="2067">
      <c r="A2067" s="2" t="n">
        <v>2066</v>
      </c>
      <c r="B2067" s="2" t="inlineStr">
        <is>
          <t>Прочие детали салона</t>
        </is>
      </c>
      <c r="C2067" s="2" t="inlineStr">
        <is>
          <t>Автотовары</t>
        </is>
      </c>
      <c r="D2067" s="2" t="inlineStr">
        <is>
          <t>Автотовары → Автозапчасти → Детали салона → Прочие детали салона</t>
        </is>
      </c>
      <c r="E2067" s="3" t="n">
        <v>16560</v>
      </c>
      <c r="F2067" s="3" t="n">
        <v>9</v>
      </c>
      <c r="G2067" s="3">
        <f>IFERROR(E2067/F2067,0)</f>
        <v/>
      </c>
      <c r="H2067" s="3" t="n">
        <v>2</v>
      </c>
      <c r="I2067" s="2" t="n">
        <v>0</v>
      </c>
      <c r="J2067" s="3">
        <f>IFERROR(E2067/H2067,0)</f>
        <v/>
      </c>
      <c r="K2067" s="10">
        <f>E2067/'По разделам'!$B$21</f>
        <v/>
      </c>
      <c r="L2067" s="4">
        <f>L2066+K2067</f>
        <v/>
      </c>
      <c r="M2067" s="2" t="inlineStr">
        <is>
          <t>05918</t>
        </is>
      </c>
      <c r="N2067" s="2" t="inlineStr">
        <is>
          <t>https://app.redstat.kz/niche/05918?event_date=2026-08-01</t>
        </is>
      </c>
      <c r="O2067" s="2" t="inlineStr">
        <is>
          <t>https://kaspi.kz/shop/c/other%20interior%20details/</t>
        </is>
      </c>
    </row>
    <row r="2068">
      <c r="A2068" s="2" t="n">
        <v>2067</v>
      </c>
      <c r="B2068" s="2" t="inlineStr">
        <is>
          <t>Аксессуары для кухонных плит</t>
        </is>
      </c>
      <c r="C2068" s="2" t="inlineStr">
        <is>
          <t>Бытовая техника</t>
        </is>
      </c>
      <c r="D2068" s="2" t="inlineStr">
        <is>
          <t>Бытовая техника → Крупная техника для дома → Аксессуары для крупной бытовой техники → Аксессуары для кухонных плит</t>
        </is>
      </c>
      <c r="E2068" s="3" t="n">
        <v>16490</v>
      </c>
      <c r="F2068" s="3" t="n">
        <v>3</v>
      </c>
      <c r="G2068" s="3">
        <f>IFERROR(E2068/F2068,0)</f>
        <v/>
      </c>
      <c r="H2068" s="3" t="n">
        <v>3</v>
      </c>
      <c r="I2068" s="2" t="n">
        <v>1</v>
      </c>
      <c r="J2068" s="3">
        <f>IFERROR(E2068/H2068,0)</f>
        <v/>
      </c>
      <c r="K2068" s="10">
        <f>E2068/'По разделам'!$B$21</f>
        <v/>
      </c>
      <c r="L2068" s="4">
        <f>L2067+K2068</f>
        <v/>
      </c>
      <c r="M2068" s="2" t="inlineStr">
        <is>
          <t>05783</t>
        </is>
      </c>
      <c r="N2068" s="2" t="inlineStr">
        <is>
          <t>https://app.redstat.kz/niche/05783?event_date=2026-08-01</t>
        </is>
      </c>
      <c r="O2068" s="2" t="inlineStr">
        <is>
          <t>https://kaspi.kz/shop/c/stove%20accessories/</t>
        </is>
      </c>
    </row>
    <row r="2069">
      <c r="A2069" s="2" t="n">
        <v>2068</v>
      </c>
      <c r="B2069" s="2" t="inlineStr">
        <is>
          <t>Интерьерные подставки для зонтов</t>
        </is>
      </c>
      <c r="C2069" s="2" t="inlineStr">
        <is>
          <t>Товары для дома и дачи</t>
        </is>
      </c>
      <c r="D2069" s="2" t="inlineStr">
        <is>
          <t>Товары для дома и дачи → Интерьер → Оформление интерьера → Интерьерные подставки для зонтов</t>
        </is>
      </c>
      <c r="E2069" s="3" t="n">
        <v>16450</v>
      </c>
      <c r="F2069" s="3" t="n">
        <v>1</v>
      </c>
      <c r="G2069" s="3">
        <f>IFERROR(E2069/F2069,0)</f>
        <v/>
      </c>
      <c r="H2069" s="3" t="n">
        <v>1</v>
      </c>
      <c r="I2069" s="2" t="n">
        <v>0</v>
      </c>
      <c r="J2069" s="3">
        <f>IFERROR(E2069/H2069,0)</f>
        <v/>
      </c>
      <c r="K2069" s="10">
        <f>E2069/'По разделам'!$B$21</f>
        <v/>
      </c>
      <c r="L2069" s="4">
        <f>L2068+K2069</f>
        <v/>
      </c>
      <c r="M2069" s="2" t="inlineStr">
        <is>
          <t>07118</t>
        </is>
      </c>
      <c r="N2069" s="2" t="inlineStr">
        <is>
          <t>https://app.redstat.kz/niche/07118?event_date=2026-08-01</t>
        </is>
      </c>
      <c r="O2069" s="2" t="inlineStr">
        <is>
          <t>https://kaspi.kz/shop/c/interior%20umbrella%20stands/</t>
        </is>
      </c>
    </row>
    <row r="2070">
      <c r="A2070" s="2" t="n">
        <v>2069</v>
      </c>
      <c r="B2070" s="2" t="inlineStr">
        <is>
          <t>Тиски</t>
        </is>
      </c>
      <c r="C2070" s="2" t="inlineStr">
        <is>
          <t>Строительство, ремонт</t>
        </is>
      </c>
      <c r="D2070" s="2" t="inlineStr">
        <is>
          <t>Строительство, ремонт → Ручные инструменты → Зажимной инструмент → Тиски</t>
        </is>
      </c>
      <c r="E2070" s="3" t="n">
        <v>16211</v>
      </c>
      <c r="F2070" s="3" t="n">
        <v>19</v>
      </c>
      <c r="G2070" s="3">
        <f>IFERROR(E2070/F2070,0)</f>
        <v/>
      </c>
      <c r="H2070" s="3" t="n">
        <v>6</v>
      </c>
      <c r="I2070" s="2" t="n">
        <v>2</v>
      </c>
      <c r="J2070" s="3">
        <f>IFERROR(E2070/H2070,0)</f>
        <v/>
      </c>
      <c r="K2070" s="10">
        <f>E2070/'По разделам'!$B$21</f>
        <v/>
      </c>
      <c r="L2070" s="4">
        <f>L2069+K2070</f>
        <v/>
      </c>
      <c r="M2070" s="2" t="inlineStr">
        <is>
          <t>02003</t>
        </is>
      </c>
      <c r="N2070" s="2" t="inlineStr">
        <is>
          <t>https://app.redstat.kz/niche/02003?event_date=2026-08-01</t>
        </is>
      </c>
      <c r="O2070" s="2" t="inlineStr">
        <is>
          <t>https://kaspi.kz/shop/c/vices/</t>
        </is>
      </c>
    </row>
    <row r="2071">
      <c r="A2071" s="2" t="n">
        <v>2070</v>
      </c>
      <c r="B2071" s="2" t="inlineStr">
        <is>
          <t>Кондукторы для сверления</t>
        </is>
      </c>
      <c r="C2071" s="2" t="inlineStr">
        <is>
          <t>Строительство, ремонт</t>
        </is>
      </c>
      <c r="D2071" s="2" t="inlineStr">
        <is>
          <t>Строительство, ремонт → Инструменты → Оснастка и расходники для инструмента → Оснастка для дрелей и шуруповертов → Кондукторы для сверления</t>
        </is>
      </c>
      <c r="E2071" s="3" t="n">
        <v>15980</v>
      </c>
      <c r="F2071" s="3" t="n">
        <v>2</v>
      </c>
      <c r="G2071" s="3">
        <f>IFERROR(E2071/F2071,0)</f>
        <v/>
      </c>
      <c r="H2071" s="3" t="n">
        <v>1</v>
      </c>
      <c r="I2071" s="2" t="n">
        <v>1</v>
      </c>
      <c r="J2071" s="3">
        <f>IFERROR(E2071/H2071,0)</f>
        <v/>
      </c>
      <c r="K2071" s="10">
        <f>E2071/'По разделам'!$B$21</f>
        <v/>
      </c>
      <c r="L2071" s="4">
        <f>L2070+K2071</f>
        <v/>
      </c>
      <c r="M2071" s="2" t="inlineStr">
        <is>
          <t>05170</t>
        </is>
      </c>
      <c r="N2071" s="2" t="inlineStr">
        <is>
          <t>https://app.redstat.kz/niche/05170?event_date=2026-08-01</t>
        </is>
      </c>
      <c r="O2071" s="2" t="inlineStr">
        <is>
          <t>https://kaspi.kz/shop/c/drilling%20jigs/</t>
        </is>
      </c>
    </row>
    <row r="2072">
      <c r="A2072" s="2" t="n">
        <v>2071</v>
      </c>
      <c r="B2072" s="2" t="inlineStr">
        <is>
          <t>Мясорубки ручные</t>
        </is>
      </c>
      <c r="C2072" s="2" t="inlineStr">
        <is>
          <t>Товары для дома и дачи</t>
        </is>
      </c>
      <c r="D2072" s="2" t="inlineStr">
        <is>
          <t>Товары для дома и дачи → Посуда и принадлежности → Кухонные принадлежности → Мясорубки ручные</t>
        </is>
      </c>
      <c r="E2072" s="3" t="n">
        <v>15894</v>
      </c>
      <c r="F2072" s="3" t="n">
        <v>2</v>
      </c>
      <c r="G2072" s="3">
        <f>IFERROR(E2072/F2072,0)</f>
        <v/>
      </c>
      <c r="H2072" s="3" t="n">
        <v>2</v>
      </c>
      <c r="I2072" s="2" t="n">
        <v>0</v>
      </c>
      <c r="J2072" s="3">
        <f>IFERROR(E2072/H2072,0)</f>
        <v/>
      </c>
      <c r="K2072" s="10">
        <f>E2072/'По разделам'!$B$21</f>
        <v/>
      </c>
      <c r="L2072" s="4">
        <f>L2071+K2072</f>
        <v/>
      </c>
      <c r="M2072" s="2" t="inlineStr">
        <is>
          <t>04064</t>
        </is>
      </c>
      <c r="N2072" s="2" t="inlineStr">
        <is>
          <t>https://app.redstat.kz/niche/04064?event_date=2026-08-01</t>
        </is>
      </c>
      <c r="O2072" s="2" t="inlineStr">
        <is>
          <t>https://kaspi.kz/shop/c/mechanical%20meat%20grinders/</t>
        </is>
      </c>
    </row>
    <row r="2073">
      <c r="A2073" s="2" t="n">
        <v>2072</v>
      </c>
      <c r="B2073" s="2" t="inlineStr">
        <is>
          <t>Монтажные ножи</t>
        </is>
      </c>
      <c r="C2073" s="2" t="inlineStr">
        <is>
          <t>Строительство, ремонт</t>
        </is>
      </c>
      <c r="D2073" s="2" t="inlineStr">
        <is>
          <t>Строительство, ремонт → Ручные инструменты → Слесарно-монтажный инструмент → Монтажные ножи</t>
        </is>
      </c>
      <c r="E2073" s="3" t="n">
        <v>15870</v>
      </c>
      <c r="F2073" s="3" t="n">
        <v>9</v>
      </c>
      <c r="G2073" s="3">
        <f>IFERROR(E2073/F2073,0)</f>
        <v/>
      </c>
      <c r="H2073" s="3" t="n">
        <v>2</v>
      </c>
      <c r="I2073" s="2" t="n">
        <v>2</v>
      </c>
      <c r="J2073" s="3">
        <f>IFERROR(E2073/H2073,0)</f>
        <v/>
      </c>
      <c r="K2073" s="10">
        <f>E2073/'По разделам'!$B$21</f>
        <v/>
      </c>
      <c r="L2073" s="4">
        <f>L2072+K2073</f>
        <v/>
      </c>
      <c r="M2073" s="2" t="inlineStr">
        <is>
          <t>04905</t>
        </is>
      </c>
      <c r="N2073" s="2" t="inlineStr">
        <is>
          <t>https://app.redstat.kz/niche/04905?event_date=2026-08-01</t>
        </is>
      </c>
      <c r="O2073" s="2" t="inlineStr">
        <is>
          <t>https://kaspi.kz/shop/c/assembly%20knives/</t>
        </is>
      </c>
    </row>
    <row r="2074">
      <c r="A2074" s="2" t="n">
        <v>2073</v>
      </c>
      <c r="B2074" s="2" t="inlineStr">
        <is>
          <t>Аксессуары для отпаривателей и пароочистителей</t>
        </is>
      </c>
      <c r="C2074" s="2" t="inlineStr">
        <is>
          <t>Бытовая техника</t>
        </is>
      </c>
      <c r="D2074" s="2" t="inlineStr">
        <is>
          <t>Бытовая техника → Малая техника для дома → Аксессуары для малой бытовой техники → Аксессуары для отпаривателей и пароочистителей</t>
        </is>
      </c>
      <c r="E2074" s="3" t="n">
        <v>15787</v>
      </c>
      <c r="F2074" s="3" t="n">
        <v>4</v>
      </c>
      <c r="G2074" s="3">
        <f>IFERROR(E2074/F2074,0)</f>
        <v/>
      </c>
      <c r="H2074" s="3" t="n">
        <v>4</v>
      </c>
      <c r="I2074" s="2" t="n">
        <v>1</v>
      </c>
      <c r="J2074" s="3">
        <f>IFERROR(E2074/H2074,0)</f>
        <v/>
      </c>
      <c r="K2074" s="10">
        <f>E2074/'По разделам'!$B$21</f>
        <v/>
      </c>
      <c r="L2074" s="4">
        <f>L2073+K2074</f>
        <v/>
      </c>
      <c r="M2074" s="2" t="inlineStr">
        <is>
          <t>04922</t>
        </is>
      </c>
      <c r="N2074" s="2" t="inlineStr">
        <is>
          <t>https://app.redstat.kz/niche/04922?event_date=2026-08-01</t>
        </is>
      </c>
      <c r="O2074" s="2" t="inlineStr">
        <is>
          <t>https://kaspi.kz/shop/c/accessories%20for%20garment%20steamers%20and%20steam%20cleaners/</t>
        </is>
      </c>
    </row>
    <row r="2075">
      <c r="A2075" s="2" t="n">
        <v>2074</v>
      </c>
      <c r="B2075" s="2" t="inlineStr">
        <is>
          <t>Стабилизатор, крепление</t>
        </is>
      </c>
      <c r="C2075" s="2" t="inlineStr">
        <is>
          <t>Автотовары</t>
        </is>
      </c>
      <c r="D2075" s="2" t="inlineStr">
        <is>
          <t>Автотовары → Автозапчасти → Ходовая часть → Стабилизатор, крепление</t>
        </is>
      </c>
      <c r="E2075" s="3" t="n">
        <v>15600</v>
      </c>
      <c r="F2075" s="3" t="n">
        <v>2</v>
      </c>
      <c r="G2075" s="3">
        <f>IFERROR(E2075/F2075,0)</f>
        <v/>
      </c>
      <c r="H2075" s="3" t="n">
        <v>1</v>
      </c>
      <c r="I2075" s="2" t="n">
        <v>1</v>
      </c>
      <c r="J2075" s="3">
        <f>IFERROR(E2075/H2075,0)</f>
        <v/>
      </c>
      <c r="K2075" s="10">
        <f>E2075/'По разделам'!$B$21</f>
        <v/>
      </c>
      <c r="L2075" s="4">
        <f>L2074+K2075</f>
        <v/>
      </c>
      <c r="M2075" s="2" t="inlineStr">
        <is>
          <t>07334</t>
        </is>
      </c>
      <c r="N2075" s="2" t="inlineStr">
        <is>
          <t>https://app.redstat.kz/niche/07334?event_date=2026-08-01</t>
        </is>
      </c>
      <c r="O2075" s="2" t="inlineStr">
        <is>
          <t>https://kaspi.kz/shop/c/anti%20roll%20bars/</t>
        </is>
      </c>
    </row>
    <row r="2076">
      <c r="A2076" s="2" t="n">
        <v>2075</v>
      </c>
      <c r="B2076" s="2" t="inlineStr">
        <is>
          <t>Средства для мытья стекол</t>
        </is>
      </c>
      <c r="C2076" s="2" t="inlineStr">
        <is>
          <t>Товары для дома и дачи</t>
        </is>
      </c>
      <c r="D2076" s="2" t="inlineStr">
        <is>
          <t>Товары для дома и дачи → Бытовая химия → Чистящие средства → Средства для мытья стекол</t>
        </is>
      </c>
      <c r="E2076" s="3" t="n">
        <v>15466</v>
      </c>
      <c r="F2076" s="3" t="n">
        <v>17</v>
      </c>
      <c r="G2076" s="3">
        <f>IFERROR(E2076/F2076,0)</f>
        <v/>
      </c>
      <c r="H2076" s="3" t="n">
        <v>5</v>
      </c>
      <c r="I2076" s="2" t="n">
        <v>5</v>
      </c>
      <c r="J2076" s="3">
        <f>IFERROR(E2076/H2076,0)</f>
        <v/>
      </c>
      <c r="K2076" s="10">
        <f>E2076/'По разделам'!$B$21</f>
        <v/>
      </c>
      <c r="L2076" s="4">
        <f>L2075+K2076</f>
        <v/>
      </c>
      <c r="M2076" s="2" t="inlineStr">
        <is>
          <t>01901</t>
        </is>
      </c>
      <c r="N2076" s="2" t="inlineStr">
        <is>
          <t>https://app.redstat.kz/niche/01901?event_date=2026-08-01</t>
        </is>
      </c>
      <c r="O2076" s="2" t="inlineStr">
        <is>
          <t>https://kaspi.kz/shop/c/glass%20cleaners/</t>
        </is>
      </c>
    </row>
    <row r="2077">
      <c r="A2077" s="2" t="n">
        <v>2076</v>
      </c>
      <c r="B2077" s="2" t="inlineStr">
        <is>
          <t>Сумки для художников</t>
        </is>
      </c>
      <c r="C2077" s="2" t="inlineStr">
        <is>
          <t>Досуг, книги</t>
        </is>
      </c>
      <c r="D2077" s="2" t="inlineStr">
        <is>
          <t>Досуг, книги → Хобби и творчество → Товары для рисования → Сумки для художников</t>
        </is>
      </c>
      <c r="E2077" s="3" t="n">
        <v>15450</v>
      </c>
      <c r="F2077" s="3" t="n">
        <v>2</v>
      </c>
      <c r="G2077" s="3">
        <f>IFERROR(E2077/F2077,0)</f>
        <v/>
      </c>
      <c r="H2077" s="3" t="n">
        <v>1</v>
      </c>
      <c r="I2077" s="2" t="n">
        <v>0</v>
      </c>
      <c r="J2077" s="3">
        <f>IFERROR(E2077/H2077,0)</f>
        <v/>
      </c>
      <c r="K2077" s="10">
        <f>E2077/'По разделам'!$B$21</f>
        <v/>
      </c>
      <c r="L2077" s="4">
        <f>L2076+K2077</f>
        <v/>
      </c>
      <c r="M2077" s="2" t="inlineStr">
        <is>
          <t>q5d9084ac975178d</t>
        </is>
      </c>
      <c r="N2077" s="2" t="inlineStr">
        <is>
          <t>https://app.redstat.kz/niche/q5d9084ac975178d?event_date=2026-08-01</t>
        </is>
      </c>
      <c r="O2077" s="2" t="inlineStr"/>
    </row>
    <row r="2078">
      <c r="A2078" s="2" t="n">
        <v>2077</v>
      </c>
      <c r="B2078" s="2" t="inlineStr">
        <is>
          <t>Сушилки для посуды</t>
        </is>
      </c>
      <c r="C2078" s="2" t="inlineStr">
        <is>
          <t>Товары для дома и дачи</t>
        </is>
      </c>
      <c r="D2078" s="2" t="inlineStr">
        <is>
          <t>Товары для дома и дачи → Посуда и принадлежности → Кухонные принадлежности → Сушилки для посуды</t>
        </is>
      </c>
      <c r="E2078" s="3" t="n">
        <v>15200</v>
      </c>
      <c r="F2078" s="3" t="n">
        <v>2</v>
      </c>
      <c r="G2078" s="3">
        <f>IFERROR(E2078/F2078,0)</f>
        <v/>
      </c>
      <c r="H2078" s="3" t="n">
        <v>2</v>
      </c>
      <c r="I2078" s="2" t="n">
        <v>2</v>
      </c>
      <c r="J2078" s="3">
        <f>IFERROR(E2078/H2078,0)</f>
        <v/>
      </c>
      <c r="K2078" s="10">
        <f>E2078/'По разделам'!$B$21</f>
        <v/>
      </c>
      <c r="L2078" s="4">
        <f>L2077+K2078</f>
        <v/>
      </c>
      <c r="M2078" s="2" t="inlineStr">
        <is>
          <t>01930</t>
        </is>
      </c>
      <c r="N2078" s="2" t="inlineStr">
        <is>
          <t>https://app.redstat.kz/niche/01930?event_date=2026-08-01</t>
        </is>
      </c>
      <c r="O2078" s="2" t="inlineStr">
        <is>
          <t>https://kaspi.kz/shop/c/dish%20drying%20racks/</t>
        </is>
      </c>
    </row>
    <row r="2079">
      <c r="A2079" s="2" t="n">
        <v>2078</v>
      </c>
      <c r="B2079" s="2" t="inlineStr">
        <is>
          <t>Биолокационные рамки</t>
        </is>
      </c>
      <c r="C2079" s="2" t="inlineStr">
        <is>
          <t>Досуг, книги</t>
        </is>
      </c>
      <c r="D2079" s="2" t="inlineStr">
        <is>
          <t>Досуг, книги → Гадания и эзотерика → Биолокационные рамки</t>
        </is>
      </c>
      <c r="E2079" s="3" t="n">
        <v>15000</v>
      </c>
      <c r="F2079" s="3" t="n">
        <v>2</v>
      </c>
      <c r="G2079" s="3">
        <f>IFERROR(E2079/F2079,0)</f>
        <v/>
      </c>
      <c r="H2079" s="3" t="n">
        <v>1</v>
      </c>
      <c r="I2079" s="2" t="n">
        <v>1</v>
      </c>
      <c r="J2079" s="3">
        <f>IFERROR(E2079/H2079,0)</f>
        <v/>
      </c>
      <c r="K2079" s="10">
        <f>E2079/'По разделам'!$B$21</f>
        <v/>
      </c>
      <c r="L2079" s="4">
        <f>L2078+K2079</f>
        <v/>
      </c>
      <c r="M2079" s="2" t="inlineStr">
        <is>
          <t>06801</t>
        </is>
      </c>
      <c r="N2079" s="2" t="inlineStr">
        <is>
          <t>https://app.redstat.kz/niche/06801?event_date=2026-08-01</t>
        </is>
      </c>
      <c r="O2079" s="2" t="inlineStr">
        <is>
          <t>https://kaspi.kz/shop/c/dowsing%20frames/</t>
        </is>
      </c>
    </row>
    <row r="2080">
      <c r="A2080" s="2" t="n">
        <v>2079</v>
      </c>
      <c r="B2080" s="2" t="inlineStr">
        <is>
          <t>Кофемолки ручные</t>
        </is>
      </c>
      <c r="C2080" s="2" t="inlineStr">
        <is>
          <t>Товары для дома и дачи</t>
        </is>
      </c>
      <c r="D2080" s="2" t="inlineStr">
        <is>
          <t>Товары для дома и дачи → Посуда и принадлежности → Чайники, кофейники и самовары → Кофемолки ручные</t>
        </is>
      </c>
      <c r="E2080" s="3" t="n">
        <v>14600</v>
      </c>
      <c r="F2080" s="3" t="n">
        <v>8</v>
      </c>
      <c r="G2080" s="3">
        <f>IFERROR(E2080/F2080,0)</f>
        <v/>
      </c>
      <c r="H2080" s="3" t="n">
        <v>1</v>
      </c>
      <c r="I2080" s="2" t="n">
        <v>0</v>
      </c>
      <c r="J2080" s="3">
        <f>IFERROR(E2080/H2080,0)</f>
        <v/>
      </c>
      <c r="K2080" s="10">
        <f>E2080/'По разделам'!$B$21</f>
        <v/>
      </c>
      <c r="L2080" s="4">
        <f>L2079+K2080</f>
        <v/>
      </c>
      <c r="M2080" s="2" t="inlineStr">
        <is>
          <t>05613</t>
        </is>
      </c>
      <c r="N2080" s="2" t="inlineStr">
        <is>
          <t>https://app.redstat.kz/niche/05613?event_date=2026-08-01</t>
        </is>
      </c>
      <c r="O2080" s="2" t="inlineStr">
        <is>
          <t>https://kaspi.kz/shop/c/handle%20coffee%20grinders/</t>
        </is>
      </c>
    </row>
    <row r="2081">
      <c r="A2081" s="2" t="n">
        <v>2080</v>
      </c>
      <c r="B2081" s="2" t="inlineStr">
        <is>
          <t>Щипцы для наращивания волос</t>
        </is>
      </c>
      <c r="C2081" s="2" t="inlineStr">
        <is>
          <t>Красота и здоровье</t>
        </is>
      </c>
      <c r="D2081" s="2" t="inlineStr">
        <is>
          <t>Красота и здоровье → Инструменты для укладки, ухода и наращивания волос → Инструменты и материалы для наращивания волос → Щипцы для наращивания волос</t>
        </is>
      </c>
      <c r="E2081" s="3" t="n">
        <v>14495</v>
      </c>
      <c r="F2081" s="3" t="n">
        <v>2</v>
      </c>
      <c r="G2081" s="3">
        <f>IFERROR(E2081/F2081,0)</f>
        <v/>
      </c>
      <c r="H2081" s="3" t="n">
        <v>2</v>
      </c>
      <c r="I2081" s="2" t="n">
        <v>1</v>
      </c>
      <c r="J2081" s="3">
        <f>IFERROR(E2081/H2081,0)</f>
        <v/>
      </c>
      <c r="K2081" s="10">
        <f>E2081/'По разделам'!$B$21</f>
        <v/>
      </c>
      <c r="L2081" s="4">
        <f>L2080+K2081</f>
        <v/>
      </c>
      <c r="M2081" s="2" t="inlineStr">
        <is>
          <t>06745</t>
        </is>
      </c>
      <c r="N2081" s="2" t="inlineStr">
        <is>
          <t>https://app.redstat.kz/niche/06745?event_date=2026-08-01</t>
        </is>
      </c>
      <c r="O2081" s="2" t="inlineStr">
        <is>
          <t>https://kaspi.kz/shop/c/hair%20extension%20tongs/</t>
        </is>
      </c>
    </row>
    <row r="2082">
      <c r="A2082" s="2" t="n">
        <v>2081</v>
      </c>
      <c r="B2082" s="2" t="inlineStr">
        <is>
          <t>Тонеры для принтера</t>
        </is>
      </c>
      <c r="C2082" s="2" t="inlineStr">
        <is>
          <t>Компьютеры</t>
        </is>
      </c>
      <c r="D2082" s="2" t="inlineStr">
        <is>
          <t>Компьютеры → Оргтехника и расходные материалы → Другая оргтехника → Тонеры для принтера</t>
        </is>
      </c>
      <c r="E2082" s="3" t="n">
        <v>14490</v>
      </c>
      <c r="F2082" s="3" t="n">
        <v>4</v>
      </c>
      <c r="G2082" s="3">
        <f>IFERROR(E2082/F2082,0)</f>
        <v/>
      </c>
      <c r="H2082" s="3" t="n">
        <v>3</v>
      </c>
      <c r="I2082" s="2" t="n">
        <v>1</v>
      </c>
      <c r="J2082" s="3">
        <f>IFERROR(E2082/H2082,0)</f>
        <v/>
      </c>
      <c r="K2082" s="10">
        <f>E2082/'По разделам'!$B$21</f>
        <v/>
      </c>
      <c r="L2082" s="4">
        <f>L2081+K2082</f>
        <v/>
      </c>
      <c r="M2082" s="2" t="inlineStr">
        <is>
          <t>02927</t>
        </is>
      </c>
      <c r="N2082" s="2" t="inlineStr">
        <is>
          <t>https://app.redstat.kz/niche/02927?event_date=2026-08-01</t>
        </is>
      </c>
      <c r="O2082" s="2" t="inlineStr">
        <is>
          <t>https://kaspi.kz/shop/c/printer%20toners/</t>
        </is>
      </c>
    </row>
    <row r="2083">
      <c r="A2083" s="2" t="n">
        <v>2082</v>
      </c>
      <c r="B2083" s="2" t="inlineStr">
        <is>
          <t>Щетки, ролики для чистки одежды</t>
        </is>
      </c>
      <c r="C2083" s="2" t="inlineStr">
        <is>
          <t>Товары для дома и дачи</t>
        </is>
      </c>
      <c r="D2083" s="2" t="inlineStr">
        <is>
          <t>Товары для дома и дачи → Хозяйственные товары → Уход за одеждой → Щетки, ролики для чистки одежды</t>
        </is>
      </c>
      <c r="E2083" s="3" t="n">
        <v>14149</v>
      </c>
      <c r="F2083" s="3" t="n">
        <v>9</v>
      </c>
      <c r="G2083" s="3">
        <f>IFERROR(E2083/F2083,0)</f>
        <v/>
      </c>
      <c r="H2083" s="3" t="n">
        <v>4</v>
      </c>
      <c r="I2083" s="2" t="n">
        <v>0</v>
      </c>
      <c r="J2083" s="3">
        <f>IFERROR(E2083/H2083,0)</f>
        <v/>
      </c>
      <c r="K2083" s="10">
        <f>E2083/'По разделам'!$B$21</f>
        <v/>
      </c>
      <c r="L2083" s="4">
        <f>L2082+K2083</f>
        <v/>
      </c>
      <c r="M2083" s="2" t="inlineStr">
        <is>
          <t>03675</t>
        </is>
      </c>
      <c r="N2083" s="2" t="inlineStr">
        <is>
          <t>https://app.redstat.kz/niche/03675?event_date=2026-08-01</t>
        </is>
      </c>
      <c r="O2083" s="2" t="inlineStr">
        <is>
          <t>https://kaspi.kz/shop/c/brushes%20for%20clothes/</t>
        </is>
      </c>
    </row>
    <row r="2084">
      <c r="A2084" s="2" t="n">
        <v>2083</v>
      </c>
      <c r="B2084" s="2" t="inlineStr">
        <is>
          <t>Герметики</t>
        </is>
      </c>
      <c r="C2084" s="2" t="inlineStr">
        <is>
          <t>Строительство, ремонт</t>
        </is>
      </c>
      <c r="D2084" s="2" t="inlineStr">
        <is>
          <t>Строительство, ремонт → Строительные материалы → Монтажные пены, герметики, клей → Герметики</t>
        </is>
      </c>
      <c r="E2084" s="3" t="n">
        <v>13950</v>
      </c>
      <c r="F2084" s="3" t="n">
        <v>4</v>
      </c>
      <c r="G2084" s="3">
        <f>IFERROR(E2084/F2084,0)</f>
        <v/>
      </c>
      <c r="H2084" s="3" t="n">
        <v>2</v>
      </c>
      <c r="I2084" s="2" t="n">
        <v>2</v>
      </c>
      <c r="J2084" s="3">
        <f>IFERROR(E2084/H2084,0)</f>
        <v/>
      </c>
      <c r="K2084" s="10">
        <f>E2084/'По разделам'!$B$21</f>
        <v/>
      </c>
      <c r="L2084" s="4">
        <f>L2083+K2084</f>
        <v/>
      </c>
      <c r="M2084" s="2" t="inlineStr">
        <is>
          <t>03531</t>
        </is>
      </c>
      <c r="N2084" s="2" t="inlineStr">
        <is>
          <t>https://app.redstat.kz/niche/03531?event_date=2026-08-01</t>
        </is>
      </c>
      <c r="O2084" s="2" t="inlineStr">
        <is>
          <t>https://kaspi.kz/shop/c/sealants/</t>
        </is>
      </c>
    </row>
    <row r="2085">
      <c r="A2085" s="2" t="n">
        <v>2084</v>
      </c>
      <c r="B2085" s="2" t="inlineStr">
        <is>
          <t>Средства для розжига</t>
        </is>
      </c>
      <c r="C2085" s="2" t="inlineStr">
        <is>
          <t>Товары для дома и дачи</t>
        </is>
      </c>
      <c r="D2085" s="2" t="inlineStr">
        <is>
          <t>Товары для дома и дачи → Дача, сад и огород → Пикник, барбекю, гриль → Средства для розжига</t>
        </is>
      </c>
      <c r="E2085" s="3" t="n">
        <v>13940</v>
      </c>
      <c r="F2085" s="3" t="n">
        <v>2</v>
      </c>
      <c r="G2085" s="3">
        <f>IFERROR(E2085/F2085,0)</f>
        <v/>
      </c>
      <c r="H2085" s="3" t="n">
        <v>2</v>
      </c>
      <c r="I2085" s="2" t="n">
        <v>2</v>
      </c>
      <c r="J2085" s="3">
        <f>IFERROR(E2085/H2085,0)</f>
        <v/>
      </c>
      <c r="K2085" s="10">
        <f>E2085/'По разделам'!$B$21</f>
        <v/>
      </c>
      <c r="L2085" s="4">
        <f>L2084+K2085</f>
        <v/>
      </c>
      <c r="M2085" s="2" t="inlineStr">
        <is>
          <t>04002</t>
        </is>
      </c>
      <c r="N2085" s="2" t="inlineStr">
        <is>
          <t>https://app.redstat.kz/niche/04002?event_date=2026-08-01</t>
        </is>
      </c>
      <c r="O2085" s="2" t="inlineStr">
        <is>
          <t>https://kaspi.kz/shop/c/ignition%20aids/</t>
        </is>
      </c>
    </row>
    <row r="2086">
      <c r="A2086" s="2" t="n">
        <v>2085</v>
      </c>
      <c r="B2086" s="2" t="inlineStr">
        <is>
          <t>Рабочие перчатки и краги</t>
        </is>
      </c>
      <c r="C2086" s="2" t="inlineStr">
        <is>
          <t>Строительство, ремонт</t>
        </is>
      </c>
      <c r="D2086" s="2" t="inlineStr">
        <is>
          <t>Строительство, ремонт → Строительный инвентарь → Средства индивидуальной защиты → Рабочие перчатки и краги</t>
        </is>
      </c>
      <c r="E2086" s="3" t="n">
        <v>13714</v>
      </c>
      <c r="F2086" s="3" t="n">
        <v>23</v>
      </c>
      <c r="G2086" s="3">
        <f>IFERROR(E2086/F2086,0)</f>
        <v/>
      </c>
      <c r="H2086" s="3" t="n">
        <v>6</v>
      </c>
      <c r="I2086" s="2" t="n">
        <v>2</v>
      </c>
      <c r="J2086" s="3">
        <f>IFERROR(E2086/H2086,0)</f>
        <v/>
      </c>
      <c r="K2086" s="10">
        <f>E2086/'По разделам'!$B$21</f>
        <v/>
      </c>
      <c r="L2086" s="4">
        <f>L2085+K2086</f>
        <v/>
      </c>
      <c r="M2086" s="2" t="inlineStr">
        <is>
          <t>02923</t>
        </is>
      </c>
      <c r="N2086" s="2" t="inlineStr">
        <is>
          <t>https://app.redstat.kz/niche/02923?event_date=2026-08-01</t>
        </is>
      </c>
      <c r="O2086" s="2" t="inlineStr">
        <is>
          <t>https://kaspi.kz/shop/c/safety%20work%20gloves/</t>
        </is>
      </c>
    </row>
    <row r="2087">
      <c r="A2087" s="2" t="n">
        <v>2086</v>
      </c>
      <c r="B2087" s="2" t="inlineStr">
        <is>
          <t>Аксессуары для стирки белья</t>
        </is>
      </c>
      <c r="C2087" s="2" t="inlineStr">
        <is>
          <t>Товары для дома и дачи</t>
        </is>
      </c>
      <c r="D2087" s="2" t="inlineStr">
        <is>
          <t>Товары для дома и дачи → Хозяйственные товары → Уход за одеждой → Аксессуары для стирки белья</t>
        </is>
      </c>
      <c r="E2087" s="3" t="n">
        <v>13697</v>
      </c>
      <c r="F2087" s="3" t="n">
        <v>13</v>
      </c>
      <c r="G2087" s="3">
        <f>IFERROR(E2087/F2087,0)</f>
        <v/>
      </c>
      <c r="H2087" s="3" t="n">
        <v>6</v>
      </c>
      <c r="I2087" s="2" t="n">
        <v>2</v>
      </c>
      <c r="J2087" s="3">
        <f>IFERROR(E2087/H2087,0)</f>
        <v/>
      </c>
      <c r="K2087" s="10">
        <f>E2087/'По разделам'!$B$21</f>
        <v/>
      </c>
      <c r="L2087" s="4">
        <f>L2086+K2087</f>
        <v/>
      </c>
      <c r="M2087" s="2" t="inlineStr">
        <is>
          <t>04106</t>
        </is>
      </c>
      <c r="N2087" s="2" t="inlineStr">
        <is>
          <t>https://app.redstat.kz/niche/04106?event_date=2026-08-01</t>
        </is>
      </c>
      <c r="O2087" s="2" t="inlineStr">
        <is>
          <t>https://kaspi.kz/shop/c/laundry%20accessories/</t>
        </is>
      </c>
    </row>
    <row r="2088">
      <c r="A2088" s="2" t="n">
        <v>2087</v>
      </c>
      <c r="B2088" s="2" t="inlineStr">
        <is>
          <t>Фрезы</t>
        </is>
      </c>
      <c r="C2088" s="2" t="inlineStr">
        <is>
          <t>Строительство, ремонт</t>
        </is>
      </c>
      <c r="D2088" s="2" t="inlineStr">
        <is>
          <t>Строительство, ремонт → Инструменты → Оснастка и расходники для инструмента → Фрезы</t>
        </is>
      </c>
      <c r="E2088" s="3" t="n">
        <v>13600</v>
      </c>
      <c r="F2088" s="3" t="n">
        <v>2</v>
      </c>
      <c r="G2088" s="3">
        <f>IFERROR(E2088/F2088,0)</f>
        <v/>
      </c>
      <c r="H2088" s="3" t="n">
        <v>1</v>
      </c>
      <c r="I2088" s="2" t="n">
        <v>1</v>
      </c>
      <c r="J2088" s="3">
        <f>IFERROR(E2088/H2088,0)</f>
        <v/>
      </c>
      <c r="K2088" s="10">
        <f>E2088/'По разделам'!$B$21</f>
        <v/>
      </c>
      <c r="L2088" s="4">
        <f>L2087+K2088</f>
        <v/>
      </c>
      <c r="M2088" s="2" t="inlineStr">
        <is>
          <t>02199</t>
        </is>
      </c>
      <c r="N2088" s="2" t="inlineStr">
        <is>
          <t>https://app.redstat.kz/niche/02199?event_date=2026-08-01</t>
        </is>
      </c>
      <c r="O2088" s="2" t="inlineStr">
        <is>
          <t>https://kaspi.kz/shop/c/milling%20cutters/</t>
        </is>
      </c>
    </row>
    <row r="2089">
      <c r="A2089" s="2" t="n">
        <v>2088</v>
      </c>
      <c r="B2089" s="2" t="inlineStr">
        <is>
          <t>Ступки</t>
        </is>
      </c>
      <c r="C2089" s="2" t="inlineStr">
        <is>
          <t>Товары для дома и дачи</t>
        </is>
      </c>
      <c r="D2089" s="2" t="inlineStr">
        <is>
          <t>Товары для дома и дачи → Посуда и принадлежности → Кухонные принадлежности → Ступки</t>
        </is>
      </c>
      <c r="E2089" s="3" t="n">
        <v>13500</v>
      </c>
      <c r="F2089" s="3" t="n">
        <v>1</v>
      </c>
      <c r="G2089" s="3">
        <f>IFERROR(E2089/F2089,0)</f>
        <v/>
      </c>
      <c r="H2089" s="3" t="n">
        <v>1</v>
      </c>
      <c r="I2089" s="2" t="n">
        <v>1</v>
      </c>
      <c r="J2089" s="3">
        <f>IFERROR(E2089/H2089,0)</f>
        <v/>
      </c>
      <c r="K2089" s="10">
        <f>E2089/'По разделам'!$B$21</f>
        <v/>
      </c>
      <c r="L2089" s="4">
        <f>L2088+K2089</f>
        <v/>
      </c>
      <c r="M2089" s="2" t="inlineStr">
        <is>
          <t>05119</t>
        </is>
      </c>
      <c r="N2089" s="2" t="inlineStr">
        <is>
          <t>https://app.redstat.kz/niche/05119?event_date=2026-08-01</t>
        </is>
      </c>
      <c r="O2089" s="2" t="inlineStr">
        <is>
          <t>https://kaspi.kz/shop/c/kitchen%20mortars/</t>
        </is>
      </c>
    </row>
    <row r="2090">
      <c r="A2090" s="2" t="n">
        <v>2089</v>
      </c>
      <c r="B2090" s="2" t="inlineStr">
        <is>
          <t>Колеса мебельные</t>
        </is>
      </c>
      <c r="C2090" s="2" t="inlineStr">
        <is>
          <t>Мебель</t>
        </is>
      </c>
      <c r="D2090" s="2" t="inlineStr">
        <is>
          <t>Мебель → Фурнитура и комплектующие для мебели → Фурнитура для мебели → Колеса мебельные</t>
        </is>
      </c>
      <c r="E2090" s="3" t="n">
        <v>13058</v>
      </c>
      <c r="F2090" s="3" t="n">
        <v>6</v>
      </c>
      <c r="G2090" s="3">
        <f>IFERROR(E2090/F2090,0)</f>
        <v/>
      </c>
      <c r="H2090" s="3" t="n">
        <v>4</v>
      </c>
      <c r="I2090" s="2" t="n">
        <v>3</v>
      </c>
      <c r="J2090" s="3">
        <f>IFERROR(E2090/H2090,0)</f>
        <v/>
      </c>
      <c r="K2090" s="10">
        <f>E2090/'По разделам'!$B$21</f>
        <v/>
      </c>
      <c r="L2090" s="4">
        <f>L2089+K2090</f>
        <v/>
      </c>
      <c r="M2090" s="2" t="inlineStr">
        <is>
          <t>07205</t>
        </is>
      </c>
      <c r="N2090" s="2" t="inlineStr">
        <is>
          <t>https://app.redstat.kz/niche/07205?event_date=2026-08-01</t>
        </is>
      </c>
      <c r="O2090" s="2" t="inlineStr">
        <is>
          <t>https://kaspi.kz/shop/c/furniture%20wheels/</t>
        </is>
      </c>
    </row>
    <row r="2091">
      <c r="A2091" s="2" t="n">
        <v>2090</v>
      </c>
      <c r="B2091" s="2" t="inlineStr">
        <is>
          <t>Валики</t>
        </is>
      </c>
      <c r="C2091" s="2" t="inlineStr">
        <is>
          <t>Строительство, ремонт</t>
        </is>
      </c>
      <c r="D2091" s="2" t="inlineStr">
        <is>
          <t>Строительство, ремонт → Ручные инструменты → Штукатурные и малярные инструменты → Валики</t>
        </is>
      </c>
      <c r="E2091" s="3" t="n">
        <v>12810</v>
      </c>
      <c r="F2091" s="3" t="n">
        <v>17</v>
      </c>
      <c r="G2091" s="3">
        <f>IFERROR(E2091/F2091,0)</f>
        <v/>
      </c>
      <c r="H2091" s="3" t="n">
        <v>3</v>
      </c>
      <c r="I2091" s="2" t="n">
        <v>2</v>
      </c>
      <c r="J2091" s="3">
        <f>IFERROR(E2091/H2091,0)</f>
        <v/>
      </c>
      <c r="K2091" s="10">
        <f>E2091/'По разделам'!$B$21</f>
        <v/>
      </c>
      <c r="L2091" s="4">
        <f>L2090+K2091</f>
        <v/>
      </c>
      <c r="M2091" s="2" t="inlineStr">
        <is>
          <t>05022</t>
        </is>
      </c>
      <c r="N2091" s="2" t="inlineStr">
        <is>
          <t>https://app.redstat.kz/niche/05022?event_date=2026-08-01</t>
        </is>
      </c>
      <c r="O2091" s="2" t="inlineStr">
        <is>
          <t>https://kaspi.kz/shop/c/paint%20rollers/</t>
        </is>
      </c>
    </row>
    <row r="2092">
      <c r="A2092" s="2" t="n">
        <v>2091</v>
      </c>
      <c r="B2092" s="2" t="inlineStr">
        <is>
          <t>Аксессуары для 3D-принтеров</t>
        </is>
      </c>
      <c r="C2092" s="2" t="inlineStr">
        <is>
          <t>Компьютеры</t>
        </is>
      </c>
      <c r="D2092" s="2" t="inlineStr">
        <is>
          <t>Компьютеры → Оргтехника и расходные материалы → Другая оргтехника → Аксессуары для 3D-принтеров</t>
        </is>
      </c>
      <c r="E2092" s="3" t="n">
        <v>12750</v>
      </c>
      <c r="F2092" s="3" t="n">
        <v>2</v>
      </c>
      <c r="G2092" s="3">
        <f>IFERROR(E2092/F2092,0)</f>
        <v/>
      </c>
      <c r="H2092" s="3" t="n">
        <v>2</v>
      </c>
      <c r="I2092" s="2" t="n">
        <v>1</v>
      </c>
      <c r="J2092" s="3">
        <f>IFERROR(E2092/H2092,0)</f>
        <v/>
      </c>
      <c r="K2092" s="10">
        <f>E2092/'По разделам'!$B$21</f>
        <v/>
      </c>
      <c r="L2092" s="4">
        <f>L2091+K2092</f>
        <v/>
      </c>
      <c r="M2092" s="2" t="inlineStr">
        <is>
          <t>05725</t>
        </is>
      </c>
      <c r="N2092" s="2" t="inlineStr">
        <is>
          <t>https://app.redstat.kz/niche/05725?event_date=2026-08-01</t>
        </is>
      </c>
      <c r="O2092" s="2" t="inlineStr">
        <is>
          <t>https://kaspi.kz/shop/c/accessories%20for%203d%20printers/</t>
        </is>
      </c>
    </row>
    <row r="2093">
      <c r="A2093" s="2" t="n">
        <v>2092</v>
      </c>
      <c r="B2093" s="2" t="inlineStr">
        <is>
          <t>Щитки и очки защитные</t>
        </is>
      </c>
      <c r="C2093" s="2" t="inlineStr">
        <is>
          <t>Строительство, ремонт</t>
        </is>
      </c>
      <c r="D2093" s="2" t="inlineStr">
        <is>
          <t>Строительство, ремонт → Строительный инвентарь → Средства индивидуальной защиты → Щитки и очки защитные</t>
        </is>
      </c>
      <c r="E2093" s="3" t="n">
        <v>12732</v>
      </c>
      <c r="F2093" s="3" t="n">
        <v>11</v>
      </c>
      <c r="G2093" s="3">
        <f>IFERROR(E2093/F2093,0)</f>
        <v/>
      </c>
      <c r="H2093" s="3" t="n">
        <v>4</v>
      </c>
      <c r="I2093" s="2" t="n">
        <v>4</v>
      </c>
      <c r="J2093" s="3">
        <f>IFERROR(E2093/H2093,0)</f>
        <v/>
      </c>
      <c r="K2093" s="10">
        <f>E2093/'По разделам'!$B$21</f>
        <v/>
      </c>
      <c r="L2093" s="4">
        <f>L2092+K2093</f>
        <v/>
      </c>
      <c r="M2093" s="2" t="inlineStr">
        <is>
          <t>03226</t>
        </is>
      </c>
      <c r="N2093" s="2" t="inlineStr">
        <is>
          <t>https://app.redstat.kz/niche/03226?event_date=2026-08-01</t>
        </is>
      </c>
      <c r="O2093" s="2" t="inlineStr">
        <is>
          <t>https://kaspi.kz/shop/c/construction%20shields%20and%20glasses/</t>
        </is>
      </c>
    </row>
    <row r="2094">
      <c r="A2094" s="2" t="n">
        <v>2093</v>
      </c>
      <c r="B2094" s="2" t="inlineStr">
        <is>
          <t>Дыроколы</t>
        </is>
      </c>
      <c r="C2094" s="2" t="inlineStr">
        <is>
          <t>Канцелярские товары</t>
        </is>
      </c>
      <c r="D2094" s="2" t="inlineStr">
        <is>
          <t>Канцелярские товары → Офисные принадлежности → Дыроколы и аксессуары → Дыроколы</t>
        </is>
      </c>
      <c r="E2094" s="3" t="n">
        <v>11890</v>
      </c>
      <c r="F2094" s="3" t="n">
        <v>13</v>
      </c>
      <c r="G2094" s="3">
        <f>IFERROR(E2094/F2094,0)</f>
        <v/>
      </c>
      <c r="H2094" s="3" t="n">
        <v>6</v>
      </c>
      <c r="I2094" s="2" t="n">
        <v>3</v>
      </c>
      <c r="J2094" s="3">
        <f>IFERROR(E2094/H2094,0)</f>
        <v/>
      </c>
      <c r="K2094" s="10">
        <f>E2094/'По разделам'!$B$21</f>
        <v/>
      </c>
      <c r="L2094" s="4">
        <f>L2093+K2094</f>
        <v/>
      </c>
      <c r="M2094" s="2" t="inlineStr">
        <is>
          <t>04258</t>
        </is>
      </c>
      <c r="N2094" s="2" t="inlineStr">
        <is>
          <t>https://app.redstat.kz/niche/04258?event_date=2026-08-01</t>
        </is>
      </c>
      <c r="O2094" s="2" t="inlineStr">
        <is>
          <t>https://kaspi.kz/shop/c/hole%20punches/</t>
        </is>
      </c>
    </row>
    <row r="2095">
      <c r="A2095" s="2" t="n">
        <v>2094</v>
      </c>
      <c r="B2095" s="2" t="inlineStr">
        <is>
          <t>Ершики туалетные</t>
        </is>
      </c>
      <c r="C2095" s="2" t="inlineStr">
        <is>
          <t>Товары для дома и дачи</t>
        </is>
      </c>
      <c r="D2095" s="2" t="inlineStr">
        <is>
          <t>Товары для дома и дачи → Хозяйственные товары → Аксессуары для ванной и туалета → Ершики туалетные</t>
        </is>
      </c>
      <c r="E2095" s="3" t="n">
        <v>11890</v>
      </c>
      <c r="F2095" s="3" t="n">
        <v>11</v>
      </c>
      <c r="G2095" s="3">
        <f>IFERROR(E2095/F2095,0)</f>
        <v/>
      </c>
      <c r="H2095" s="3" t="n">
        <v>5</v>
      </c>
      <c r="I2095" s="2" t="n">
        <v>2</v>
      </c>
      <c r="J2095" s="3">
        <f>IFERROR(E2095/H2095,0)</f>
        <v/>
      </c>
      <c r="K2095" s="10">
        <f>E2095/'По разделам'!$B$21</f>
        <v/>
      </c>
      <c r="L2095" s="4">
        <f>L2094+K2095</f>
        <v/>
      </c>
      <c r="M2095" s="2" t="inlineStr">
        <is>
          <t>05761</t>
        </is>
      </c>
      <c r="N2095" s="2" t="inlineStr">
        <is>
          <t>https://app.redstat.kz/niche/05761?event_date=2026-08-01</t>
        </is>
      </c>
      <c r="O2095" s="2" t="inlineStr">
        <is>
          <t>https://kaspi.kz/shop/c/toilet%20brushes/</t>
        </is>
      </c>
    </row>
    <row r="2096">
      <c r="A2096" s="2" t="n">
        <v>2095</v>
      </c>
      <c r="B2096" s="2" t="inlineStr">
        <is>
          <t>Расходные материалы для переплета</t>
        </is>
      </c>
      <c r="C2096" s="2" t="inlineStr">
        <is>
          <t>Канцелярские товары</t>
        </is>
      </c>
      <c r="D2096" s="2" t="inlineStr">
        <is>
          <t>Канцелярские товары → Офисные принадлежности → Канцелярские расходные материалы → Расходные материалы для переплета</t>
        </is>
      </c>
      <c r="E2096" s="3" t="n">
        <v>11886</v>
      </c>
      <c r="F2096" s="3" t="n">
        <v>10</v>
      </c>
      <c r="G2096" s="3">
        <f>IFERROR(E2096/F2096,0)</f>
        <v/>
      </c>
      <c r="H2096" s="3" t="n">
        <v>2</v>
      </c>
      <c r="I2096" s="2" t="n">
        <v>0</v>
      </c>
      <c r="J2096" s="3">
        <f>IFERROR(E2096/H2096,0)</f>
        <v/>
      </c>
      <c r="K2096" s="10">
        <f>E2096/'По разделам'!$B$21</f>
        <v/>
      </c>
      <c r="L2096" s="4">
        <f>L2095+K2096</f>
        <v/>
      </c>
      <c r="M2096" s="2" t="inlineStr">
        <is>
          <t>03519</t>
        </is>
      </c>
      <c r="N2096" s="2" t="inlineStr">
        <is>
          <t>https://app.redstat.kz/niche/03519?event_date=2026-08-01</t>
        </is>
      </c>
      <c r="O2096" s="2" t="inlineStr">
        <is>
          <t>https://kaspi.kz/shop/c/binding%20covers%20and%20combs/</t>
        </is>
      </c>
    </row>
    <row r="2097">
      <c r="A2097" s="2" t="n">
        <v>2096</v>
      </c>
      <c r="B2097" s="2" t="inlineStr">
        <is>
          <t>Кабельные розетки и вилки</t>
        </is>
      </c>
      <c r="C2097" s="2" t="inlineStr">
        <is>
          <t>Строительство, ремонт</t>
        </is>
      </c>
      <c r="D2097" s="2" t="inlineStr">
        <is>
          <t>Строительство, ремонт → Электрика → Удлинители и переходники → Кабельные розетки и вилки</t>
        </is>
      </c>
      <c r="E2097" s="3" t="n">
        <v>11729</v>
      </c>
      <c r="F2097" s="3" t="n">
        <v>12</v>
      </c>
      <c r="G2097" s="3">
        <f>IFERROR(E2097/F2097,0)</f>
        <v/>
      </c>
      <c r="H2097" s="3" t="n">
        <v>5</v>
      </c>
      <c r="I2097" s="2" t="n">
        <v>4</v>
      </c>
      <c r="J2097" s="3">
        <f>IFERROR(E2097/H2097,0)</f>
        <v/>
      </c>
      <c r="K2097" s="10">
        <f>E2097/'По разделам'!$B$21</f>
        <v/>
      </c>
      <c r="L2097" s="4">
        <f>L2096+K2097</f>
        <v/>
      </c>
      <c r="M2097" s="2" t="inlineStr">
        <is>
          <t>05202</t>
        </is>
      </c>
      <c r="N2097" s="2" t="inlineStr">
        <is>
          <t>https://app.redstat.kz/niche/05202?event_date=2026-08-01</t>
        </is>
      </c>
      <c r="O2097" s="2" t="inlineStr">
        <is>
          <t>https://kaspi.kz/shop/c/cable%20sockets%20and%20plugs/</t>
        </is>
      </c>
    </row>
    <row r="2098">
      <c r="A2098" s="2" t="n">
        <v>2097</v>
      </c>
      <c r="B2098" s="2" t="inlineStr">
        <is>
          <t>Масленки, сырницы и лимонницы</t>
        </is>
      </c>
      <c r="C2098" s="2" t="inlineStr">
        <is>
          <t>Товары для дома и дачи</t>
        </is>
      </c>
      <c r="D2098" s="2" t="inlineStr">
        <is>
          <t>Товары для дома и дачи → Посуда и принадлежности → Сервировка стола → Масленки, сырницы и лимонницы</t>
        </is>
      </c>
      <c r="E2098" s="3" t="n">
        <v>11578</v>
      </c>
      <c r="F2098" s="3" t="n">
        <v>8</v>
      </c>
      <c r="G2098" s="3">
        <f>IFERROR(E2098/F2098,0)</f>
        <v/>
      </c>
      <c r="H2098" s="3" t="n">
        <v>4</v>
      </c>
      <c r="I2098" s="2" t="n">
        <v>4</v>
      </c>
      <c r="J2098" s="3">
        <f>IFERROR(E2098/H2098,0)</f>
        <v/>
      </c>
      <c r="K2098" s="10">
        <f>E2098/'По разделам'!$B$21</f>
        <v/>
      </c>
      <c r="L2098" s="4">
        <f>L2097+K2098</f>
        <v/>
      </c>
      <c r="M2098" s="2" t="inlineStr">
        <is>
          <t>06419</t>
        </is>
      </c>
      <c r="N2098" s="2" t="inlineStr">
        <is>
          <t>https://app.redstat.kz/niche/06419?event_date=2026-08-01</t>
        </is>
      </c>
      <c r="O2098" s="2" t="inlineStr">
        <is>
          <t>https://kaspi.kz/shop/c/oilers%20and%20lemongrasses/</t>
        </is>
      </c>
    </row>
    <row r="2099">
      <c r="A2099" s="2" t="n">
        <v>2098</v>
      </c>
      <c r="B2099" s="2" t="inlineStr">
        <is>
          <t>Реле</t>
        </is>
      </c>
      <c r="C2099" s="2" t="inlineStr">
        <is>
          <t>Строительство, ремонт</t>
        </is>
      </c>
      <c r="D2099" s="2" t="inlineStr">
        <is>
          <t>Строительство, ремонт → Электрика → Автоматические выключатели и дифференциальные автоматы → Реле</t>
        </is>
      </c>
      <c r="E2099" s="3" t="n">
        <v>11300</v>
      </c>
      <c r="F2099" s="3" t="n">
        <v>6</v>
      </c>
      <c r="G2099" s="3">
        <f>IFERROR(E2099/F2099,0)</f>
        <v/>
      </c>
      <c r="H2099" s="3" t="n">
        <v>3</v>
      </c>
      <c r="I2099" s="2" t="n">
        <v>1</v>
      </c>
      <c r="J2099" s="3">
        <f>IFERROR(E2099/H2099,0)</f>
        <v/>
      </c>
      <c r="K2099" s="10">
        <f>E2099/'По разделам'!$B$21</f>
        <v/>
      </c>
      <c r="L2099" s="4">
        <f>L2098+K2099</f>
        <v/>
      </c>
      <c r="M2099" s="2" t="inlineStr">
        <is>
          <t>05296</t>
        </is>
      </c>
      <c r="N2099" s="2" t="inlineStr">
        <is>
          <t>https://app.redstat.kz/niche/05296?event_date=2026-08-01</t>
        </is>
      </c>
      <c r="O2099" s="2" t="inlineStr">
        <is>
          <t>https://kaspi.kz/shop/c/relay/</t>
        </is>
      </c>
    </row>
    <row r="2100">
      <c r="A2100" s="2" t="n">
        <v>2099</v>
      </c>
      <c r="B2100" s="2" t="inlineStr">
        <is>
          <t>Запасные части для сельхозтехники</t>
        </is>
      </c>
      <c r="C2100" s="2" t="inlineStr">
        <is>
          <t>Товары для дома и дачи</t>
        </is>
      </c>
      <c r="D2100" s="2" t="inlineStr">
        <is>
          <t>Товары для дома и дачи → Дача, сад и огород → Садовая техника → Комплектующие и аксессуары для садовой техники → Запасные части для сельхозтехники</t>
        </is>
      </c>
      <c r="E2100" s="3" t="n">
        <v>11185</v>
      </c>
      <c r="F2100" s="3" t="n">
        <v>2</v>
      </c>
      <c r="G2100" s="3">
        <f>IFERROR(E2100/F2100,0)</f>
        <v/>
      </c>
      <c r="H2100" s="3" t="n">
        <v>2</v>
      </c>
      <c r="I2100" s="2" t="n">
        <v>1</v>
      </c>
      <c r="J2100" s="3">
        <f>IFERROR(E2100/H2100,0)</f>
        <v/>
      </c>
      <c r="K2100" s="10">
        <f>E2100/'По разделам'!$B$21</f>
        <v/>
      </c>
      <c r="L2100" s="4">
        <f>L2099+K2100</f>
        <v/>
      </c>
      <c r="M2100" s="2" t="inlineStr">
        <is>
          <t>06302</t>
        </is>
      </c>
      <c r="N2100" s="2" t="inlineStr">
        <is>
          <t>https://app.redstat.kz/niche/06302?event_date=2026-08-01</t>
        </is>
      </c>
      <c r="O2100" s="2" t="inlineStr">
        <is>
          <t>https://kaspi.kz/shop/c/agricultural%20machinery%20parts/</t>
        </is>
      </c>
    </row>
    <row r="2101">
      <c r="A2101" s="2" t="n">
        <v>2100</v>
      </c>
      <c r="B2101" s="2" t="inlineStr">
        <is>
          <t>Флорбол</t>
        </is>
      </c>
      <c r="C2101" s="2" t="inlineStr">
        <is>
          <t>Спорт, туризм</t>
        </is>
      </c>
      <c r="D2101" s="2" t="inlineStr">
        <is>
          <t>Спорт, туризм → Командные виды спорта → Флорбол → Флорбол</t>
        </is>
      </c>
      <c r="E2101" s="3" t="n">
        <v>11000</v>
      </c>
      <c r="F2101" s="3" t="n">
        <v>1</v>
      </c>
      <c r="G2101" s="3">
        <f>IFERROR(E2101/F2101,0)</f>
        <v/>
      </c>
      <c r="H2101" s="3" t="n">
        <v>1</v>
      </c>
      <c r="I2101" s="2" t="n">
        <v>1</v>
      </c>
      <c r="J2101" s="3">
        <f>IFERROR(E2101/H2101,0)</f>
        <v/>
      </c>
      <c r="K2101" s="10">
        <f>E2101/'По разделам'!$B$21</f>
        <v/>
      </c>
      <c r="L2101" s="4">
        <f>L2100+K2101</f>
        <v/>
      </c>
      <c r="M2101" s="2" t="inlineStr">
        <is>
          <t>q7ee817fcfdd0f24</t>
        </is>
      </c>
      <c r="N2101" s="2" t="inlineStr">
        <is>
          <t>https://app.redstat.kz/niche/q7ee817fcfdd0f24?event_date=2026-08-01</t>
        </is>
      </c>
      <c r="O2101" s="2" t="inlineStr"/>
    </row>
    <row r="2102">
      <c r="A2102" s="2" t="n">
        <v>2101</v>
      </c>
      <c r="B2102" s="2" t="inlineStr">
        <is>
          <t>Прочие комплектующие для мебели</t>
        </is>
      </c>
      <c r="C2102" s="2" t="inlineStr">
        <is>
          <t>Мебель</t>
        </is>
      </c>
      <c r="D2102" s="2" t="inlineStr">
        <is>
          <t>Мебель → Фурнитура и комплектующие для мебели → Комплектующие для мебели → Прочие комплектующие для мебели</t>
        </is>
      </c>
      <c r="E2102" s="3" t="n">
        <v>10981</v>
      </c>
      <c r="F2102" s="3" t="n">
        <v>7</v>
      </c>
      <c r="G2102" s="3">
        <f>IFERROR(E2102/F2102,0)</f>
        <v/>
      </c>
      <c r="H2102" s="3" t="n">
        <v>6</v>
      </c>
      <c r="I2102" s="2" t="n">
        <v>2</v>
      </c>
      <c r="J2102" s="3">
        <f>IFERROR(E2102/H2102,0)</f>
        <v/>
      </c>
      <c r="K2102" s="10">
        <f>E2102/'По разделам'!$B$21</f>
        <v/>
      </c>
      <c r="L2102" s="4">
        <f>L2101+K2102</f>
        <v/>
      </c>
      <c r="M2102" s="2" t="inlineStr">
        <is>
          <t>07367</t>
        </is>
      </c>
      <c r="N2102" s="2" t="inlineStr">
        <is>
          <t>https://app.redstat.kz/niche/07367?event_date=2026-08-01</t>
        </is>
      </c>
      <c r="O2102" s="2" t="inlineStr">
        <is>
          <t>https://kaspi.kz/shop/c/other%20components%20for%20furniture/</t>
        </is>
      </c>
    </row>
    <row r="2103">
      <c r="A2103" s="2" t="n">
        <v>2102</v>
      </c>
      <c r="B2103" s="2" t="inlineStr">
        <is>
          <t>Полки для серверов и телекоммуникационных шкафов</t>
        </is>
      </c>
      <c r="C2103" s="2" t="inlineStr">
        <is>
          <t>Компьютеры</t>
        </is>
      </c>
      <c r="D2103" s="2" t="inlineStr">
        <is>
          <t>Компьютеры → Серверное оборудование → Полки для серверов и телекоммуникационных шкафов</t>
        </is>
      </c>
      <c r="E2103" s="3" t="n">
        <v>10620</v>
      </c>
      <c r="F2103" s="3" t="n">
        <v>1</v>
      </c>
      <c r="G2103" s="3">
        <f>IFERROR(E2103/F2103,0)</f>
        <v/>
      </c>
      <c r="H2103" s="3" t="n">
        <v>1</v>
      </c>
      <c r="I2103" s="2" t="n">
        <v>0</v>
      </c>
      <c r="J2103" s="3">
        <f>IFERROR(E2103/H2103,0)</f>
        <v/>
      </c>
      <c r="K2103" s="10">
        <f>E2103/'По разделам'!$B$21</f>
        <v/>
      </c>
      <c r="L2103" s="4">
        <f>L2102+K2103</f>
        <v/>
      </c>
      <c r="M2103" s="2" t="inlineStr">
        <is>
          <t>09224</t>
        </is>
      </c>
      <c r="N2103" s="2" t="inlineStr">
        <is>
          <t>https://app.redstat.kz/niche/09224?event_date=2026-08-01</t>
        </is>
      </c>
      <c r="O2103" s="2" t="inlineStr">
        <is>
          <t>https://kaspi.kz/shop/c/shelves%20for%20servers%20and%20telecommunication%20cabinets/</t>
        </is>
      </c>
    </row>
    <row r="2104">
      <c r="A2104" s="2" t="n">
        <v>2103</v>
      </c>
      <c r="B2104" s="2" t="inlineStr">
        <is>
          <t>Маникюрные ванночки, контейнеры для инструментов</t>
        </is>
      </c>
      <c r="C2104" s="2" t="inlineStr">
        <is>
          <t>Красота и здоровье</t>
        </is>
      </c>
      <c r="D2104" s="2" t="inlineStr">
        <is>
          <t>Красота и здоровье → Для маникюра и педикюра → Инструменты для маникюра и педикюра → Маникюрные ванночки, контейнеры для инструментов</t>
        </is>
      </c>
      <c r="E2104" s="3" t="n">
        <v>10277</v>
      </c>
      <c r="F2104" s="3" t="n">
        <v>13</v>
      </c>
      <c r="G2104" s="3">
        <f>IFERROR(E2104/F2104,0)</f>
        <v/>
      </c>
      <c r="H2104" s="3" t="n">
        <v>6</v>
      </c>
      <c r="I2104" s="2" t="n">
        <v>2</v>
      </c>
      <c r="J2104" s="3">
        <f>IFERROR(E2104/H2104,0)</f>
        <v/>
      </c>
      <c r="K2104" s="10">
        <f>E2104/'По разделам'!$B$21</f>
        <v/>
      </c>
      <c r="L2104" s="4">
        <f>L2103+K2104</f>
        <v/>
      </c>
      <c r="M2104" s="2" t="inlineStr">
        <is>
          <t>06548</t>
        </is>
      </c>
      <c r="N2104" s="2" t="inlineStr">
        <is>
          <t>https://app.redstat.kz/niche/06548?event_date=2026-08-01</t>
        </is>
      </c>
      <c r="O2104" s="2" t="inlineStr">
        <is>
          <t>https://kaspi.kz/shop/c/manicure%20trays/</t>
        </is>
      </c>
    </row>
    <row r="2105">
      <c r="A2105" s="2" t="n">
        <v>2104</v>
      </c>
      <c r="B2105" s="2" t="inlineStr">
        <is>
          <t>Крепление и фурнитура для картин</t>
        </is>
      </c>
      <c r="C2105" s="2" t="inlineStr">
        <is>
          <t>Товары для дома и дачи</t>
        </is>
      </c>
      <c r="D2105" s="2" t="inlineStr">
        <is>
          <t>Товары для дома и дачи → Интерьер → Картины, панно и рамки → Крепление и фурнитура для картин</t>
        </is>
      </c>
      <c r="E2105" s="3" t="n">
        <v>10087</v>
      </c>
      <c r="F2105" s="3" t="n">
        <v>4</v>
      </c>
      <c r="G2105" s="3">
        <f>IFERROR(E2105/F2105,0)</f>
        <v/>
      </c>
      <c r="H2105" s="3" t="n">
        <v>2</v>
      </c>
      <c r="I2105" s="2" t="n">
        <v>2</v>
      </c>
      <c r="J2105" s="3">
        <f>IFERROR(E2105/H2105,0)</f>
        <v/>
      </c>
      <c r="K2105" s="10">
        <f>E2105/'По разделам'!$B$21</f>
        <v/>
      </c>
      <c r="L2105" s="4">
        <f>L2104+K2105</f>
        <v/>
      </c>
      <c r="M2105" s="2" t="inlineStr">
        <is>
          <t>06282</t>
        </is>
      </c>
      <c r="N2105" s="2" t="inlineStr">
        <is>
          <t>https://app.redstat.kz/niche/06282?event_date=2026-08-01</t>
        </is>
      </c>
      <c r="O2105" s="2" t="inlineStr">
        <is>
          <t>https://kaspi.kz/shop/c/mounting%20and%20fittings%20for%20paintings/</t>
        </is>
      </c>
    </row>
    <row r="2106">
      <c r="A2106" s="2" t="n">
        <v>2105</v>
      </c>
      <c r="B2106" s="2" t="inlineStr">
        <is>
          <t>Линзы для спортивных очков и масок</t>
        </is>
      </c>
      <c r="C2106" s="2" t="inlineStr">
        <is>
          <t>Спорт, туризм</t>
        </is>
      </c>
      <c r="D2106" s="2" t="inlineStr">
        <is>
          <t>Спорт, туризм → Спортивная защита и экипировка → Линзы для спортивных очков и масок</t>
        </is>
      </c>
      <c r="E2106" s="3" t="n">
        <v>10000</v>
      </c>
      <c r="F2106" s="3" t="n">
        <v>1</v>
      </c>
      <c r="G2106" s="3">
        <f>IFERROR(E2106/F2106,0)</f>
        <v/>
      </c>
      <c r="H2106" s="3" t="n">
        <v>1</v>
      </c>
      <c r="I2106" s="2" t="n">
        <v>1</v>
      </c>
      <c r="J2106" s="3">
        <f>IFERROR(E2106/H2106,0)</f>
        <v/>
      </c>
      <c r="K2106" s="10">
        <f>E2106/'По разделам'!$B$21</f>
        <v/>
      </c>
      <c r="L2106" s="4">
        <f>L2105+K2106</f>
        <v/>
      </c>
      <c r="M2106" s="2" t="inlineStr">
        <is>
          <t>07166</t>
        </is>
      </c>
      <c r="N2106" s="2" t="inlineStr">
        <is>
          <t>https://app.redstat.kz/niche/07166?event_date=2026-08-01</t>
        </is>
      </c>
      <c r="O2106" s="2" t="inlineStr">
        <is>
          <t>https://kaspi.kz/shop/c/lenses%20for%20ski%20masks/</t>
        </is>
      </c>
    </row>
    <row r="2107">
      <c r="A2107" s="2" t="n">
        <v>2106</v>
      </c>
      <c r="B2107" s="2" t="inlineStr">
        <is>
          <t>Веники, метлы и совки</t>
        </is>
      </c>
      <c r="C2107" s="2" t="inlineStr">
        <is>
          <t>Товары для дома и дачи</t>
        </is>
      </c>
      <c r="D2107" s="2" t="inlineStr">
        <is>
          <t>Товары для дома и дачи → Хозяйственные товары → Инвентарь для уборки → Веники, метлы и совки</t>
        </is>
      </c>
      <c r="E2107" s="3" t="n">
        <v>9965</v>
      </c>
      <c r="F2107" s="3" t="n">
        <v>3</v>
      </c>
      <c r="G2107" s="3">
        <f>IFERROR(E2107/F2107,0)</f>
        <v/>
      </c>
      <c r="H2107" s="3" t="n">
        <v>2</v>
      </c>
      <c r="I2107" s="2" t="n">
        <v>2</v>
      </c>
      <c r="J2107" s="3">
        <f>IFERROR(E2107/H2107,0)</f>
        <v/>
      </c>
      <c r="K2107" s="10">
        <f>E2107/'По разделам'!$B$21</f>
        <v/>
      </c>
      <c r="L2107" s="4">
        <f>L2106+K2107</f>
        <v/>
      </c>
      <c r="M2107" s="2" t="inlineStr">
        <is>
          <t>05726</t>
        </is>
      </c>
      <c r="N2107" s="2" t="inlineStr">
        <is>
          <t>https://app.redstat.kz/niche/05726?event_date=2026-08-01</t>
        </is>
      </c>
      <c r="O2107" s="2" t="inlineStr">
        <is>
          <t>https://kaspi.kz/shop/c/brooms%20for%20cleaning/</t>
        </is>
      </c>
    </row>
    <row r="2108">
      <c r="A2108" s="2" t="n">
        <v>2107</v>
      </c>
      <c r="B2108" s="2" t="inlineStr">
        <is>
          <t>Выключатели</t>
        </is>
      </c>
      <c r="C2108" s="2" t="inlineStr">
        <is>
          <t>Строительство, ремонт</t>
        </is>
      </c>
      <c r="D2108" s="2" t="inlineStr">
        <is>
          <t>Строительство, ремонт → Электрика → Розетки и выключатели → Выключатели</t>
        </is>
      </c>
      <c r="E2108" s="3" t="n">
        <v>9950</v>
      </c>
      <c r="F2108" s="3" t="n">
        <v>17</v>
      </c>
      <c r="G2108" s="3">
        <f>IFERROR(E2108/F2108,0)</f>
        <v/>
      </c>
      <c r="H2108" s="3" t="n">
        <v>6</v>
      </c>
      <c r="I2108" s="2" t="n">
        <v>3</v>
      </c>
      <c r="J2108" s="3">
        <f>IFERROR(E2108/H2108,0)</f>
        <v/>
      </c>
      <c r="K2108" s="10">
        <f>E2108/'По разделам'!$B$21</f>
        <v/>
      </c>
      <c r="L2108" s="4">
        <f>L2107+K2108</f>
        <v/>
      </c>
      <c r="M2108" s="2" t="inlineStr">
        <is>
          <t>03383</t>
        </is>
      </c>
      <c r="N2108" s="2" t="inlineStr">
        <is>
          <t>https://app.redstat.kz/niche/03383?event_date=2026-08-01</t>
        </is>
      </c>
      <c r="O2108" s="2" t="inlineStr">
        <is>
          <t>https://kaspi.kz/shop/c/light%20switches/</t>
        </is>
      </c>
    </row>
    <row r="2109">
      <c r="A2109" s="2" t="n">
        <v>2108</v>
      </c>
      <c r="B2109" s="2" t="inlineStr">
        <is>
          <t>Средства для ухода за бытовой техникой</t>
        </is>
      </c>
      <c r="C2109" s="2" t="inlineStr">
        <is>
          <t>Товары для дома и дачи</t>
        </is>
      </c>
      <c r="D2109" s="2" t="inlineStr">
        <is>
          <t>Товары для дома и дачи → Бытовая химия → Чистящие средства → Средства для ухода за бытовой техникой</t>
        </is>
      </c>
      <c r="E2109" s="3" t="n">
        <v>9895</v>
      </c>
      <c r="F2109" s="3" t="n">
        <v>18</v>
      </c>
      <c r="G2109" s="3">
        <f>IFERROR(E2109/F2109,0)</f>
        <v/>
      </c>
      <c r="H2109" s="3" t="n">
        <v>6</v>
      </c>
      <c r="I2109" s="2" t="n">
        <v>3</v>
      </c>
      <c r="J2109" s="3">
        <f>IFERROR(E2109/H2109,0)</f>
        <v/>
      </c>
      <c r="K2109" s="10">
        <f>E2109/'По разделам'!$B$21</f>
        <v/>
      </c>
      <c r="L2109" s="4">
        <f>L2108+K2109</f>
        <v/>
      </c>
      <c r="M2109" s="2" t="inlineStr">
        <is>
          <t>01752</t>
        </is>
      </c>
      <c r="N2109" s="2" t="inlineStr">
        <is>
          <t>https://app.redstat.kz/niche/01752?event_date=2026-08-01</t>
        </is>
      </c>
      <c r="O2109" s="2" t="inlineStr">
        <is>
          <t>https://kaspi.kz/shop/c/household%20appliances%20cleaners/</t>
        </is>
      </c>
    </row>
    <row r="2110">
      <c r="A2110" s="2" t="n">
        <v>2109</v>
      </c>
      <c r="B2110" s="2" t="inlineStr">
        <is>
          <t>Дверные задвижки и шпингалеты</t>
        </is>
      </c>
      <c r="C2110" s="2" t="inlineStr">
        <is>
          <t>Строительство, ремонт</t>
        </is>
      </c>
      <c r="D2110" s="2" t="inlineStr">
        <is>
          <t>Строительство, ремонт → Двери, окна, лестницы → Двери → Ручки, замки и фурнитура для дверей → Дверные задвижки и шпингалеты</t>
        </is>
      </c>
      <c r="E2110" s="3" t="n">
        <v>9893</v>
      </c>
      <c r="F2110" s="3" t="n">
        <v>8</v>
      </c>
      <c r="G2110" s="3">
        <f>IFERROR(E2110/F2110,0)</f>
        <v/>
      </c>
      <c r="H2110" s="3" t="n">
        <v>4</v>
      </c>
      <c r="I2110" s="2" t="n">
        <v>3</v>
      </c>
      <c r="J2110" s="3">
        <f>IFERROR(E2110/H2110,0)</f>
        <v/>
      </c>
      <c r="K2110" s="10">
        <f>E2110/'По разделам'!$B$21</f>
        <v/>
      </c>
      <c r="L2110" s="4">
        <f>L2109+K2110</f>
        <v/>
      </c>
      <c r="M2110" s="2" t="inlineStr">
        <is>
          <t>04980</t>
        </is>
      </c>
      <c r="N2110" s="2" t="inlineStr">
        <is>
          <t>https://app.redstat.kz/niche/04980?event_date=2026-08-01</t>
        </is>
      </c>
      <c r="O2110" s="2" t="inlineStr">
        <is>
          <t>https://kaspi.kz/shop/c/door%20latches/</t>
        </is>
      </c>
    </row>
    <row r="2111">
      <c r="A2111" s="2" t="n">
        <v>2110</v>
      </c>
      <c r="B2111" s="2" t="inlineStr">
        <is>
          <t>Подставки под рулоны</t>
        </is>
      </c>
      <c r="C2111" s="2" t="inlineStr">
        <is>
          <t>Канцелярские товары</t>
        </is>
      </c>
      <c r="D2111" s="2" t="inlineStr">
        <is>
          <t>Канцелярские товары → Постпечатное оборудование → Подставки под рулоны</t>
        </is>
      </c>
      <c r="E2111" s="3" t="n">
        <v>9890</v>
      </c>
      <c r="F2111" s="3" t="n">
        <v>1</v>
      </c>
      <c r="G2111" s="3">
        <f>IFERROR(E2111/F2111,0)</f>
        <v/>
      </c>
      <c r="H2111" s="3" t="n">
        <v>1</v>
      </c>
      <c r="I2111" s="2" t="n">
        <v>0</v>
      </c>
      <c r="J2111" s="3">
        <f>IFERROR(E2111/H2111,0)</f>
        <v/>
      </c>
      <c r="K2111" s="10">
        <f>E2111/'По разделам'!$B$21</f>
        <v/>
      </c>
      <c r="L2111" s="4">
        <f>L2110+K2111</f>
        <v/>
      </c>
      <c r="M2111" s="2" t="inlineStr">
        <is>
          <t>06320</t>
        </is>
      </c>
      <c r="N2111" s="2" t="inlineStr">
        <is>
          <t>https://app.redstat.kz/niche/06320?event_date=2026-08-01</t>
        </is>
      </c>
      <c r="O2111" s="2" t="inlineStr">
        <is>
          <t>https://kaspi.kz/shop/c/roll%20stand/</t>
        </is>
      </c>
    </row>
    <row r="2112">
      <c r="A2112" s="2" t="n">
        <v>2111</v>
      </c>
      <c r="B2112" s="2" t="inlineStr">
        <is>
          <t>Мангалы</t>
        </is>
      </c>
      <c r="C2112" s="2" t="inlineStr">
        <is>
          <t>Товары для дома и дачи</t>
        </is>
      </c>
      <c r="D2112" s="2" t="inlineStr">
        <is>
          <t>Товары для дома и дачи → Дача, сад и огород → Пикник, барбекю, гриль → Мангалы</t>
        </is>
      </c>
      <c r="E2112" s="3" t="n">
        <v>9879</v>
      </c>
      <c r="F2112" s="3" t="n">
        <v>2</v>
      </c>
      <c r="G2112" s="3">
        <f>IFERROR(E2112/F2112,0)</f>
        <v/>
      </c>
      <c r="H2112" s="3" t="n">
        <v>2</v>
      </c>
      <c r="I2112" s="2" t="n">
        <v>1</v>
      </c>
      <c r="J2112" s="3">
        <f>IFERROR(E2112/H2112,0)</f>
        <v/>
      </c>
      <c r="K2112" s="10">
        <f>E2112/'По разделам'!$B$21</f>
        <v/>
      </c>
      <c r="L2112" s="4">
        <f>L2111+K2112</f>
        <v/>
      </c>
      <c r="M2112" s="2" t="inlineStr">
        <is>
          <t>00917</t>
        </is>
      </c>
      <c r="N2112" s="2" t="inlineStr">
        <is>
          <t>https://app.redstat.kz/niche/00917?event_date=2026-08-01</t>
        </is>
      </c>
      <c r="O2112" s="2" t="inlineStr">
        <is>
          <t>https://kaspi.kz/shop/c/mangals/</t>
        </is>
      </c>
    </row>
    <row r="2113">
      <c r="A2113" s="2" t="n">
        <v>2112</v>
      </c>
      <c r="B2113" s="2" t="inlineStr">
        <is>
          <t>Строительные краски</t>
        </is>
      </c>
      <c r="C2113" s="2" t="inlineStr">
        <is>
          <t>Строительство, ремонт</t>
        </is>
      </c>
      <c r="D2113" s="2" t="inlineStr">
        <is>
          <t>Строительство, ремонт → Лакокрасочные материалы → Интерьерные краски → Строительные краски</t>
        </is>
      </c>
      <c r="E2113" s="3" t="n">
        <v>9800</v>
      </c>
      <c r="F2113" s="3" t="n">
        <v>2</v>
      </c>
      <c r="G2113" s="3">
        <f>IFERROR(E2113/F2113,0)</f>
        <v/>
      </c>
      <c r="H2113" s="3" t="n">
        <v>1</v>
      </c>
      <c r="I2113" s="2" t="n">
        <v>1</v>
      </c>
      <c r="J2113" s="3">
        <f>IFERROR(E2113/H2113,0)</f>
        <v/>
      </c>
      <c r="K2113" s="10">
        <f>E2113/'По разделам'!$B$21</f>
        <v/>
      </c>
      <c r="L2113" s="4">
        <f>L2112+K2113</f>
        <v/>
      </c>
      <c r="M2113" s="2" t="inlineStr">
        <is>
          <t>00335</t>
        </is>
      </c>
      <c r="N2113" s="2" t="inlineStr">
        <is>
          <t>https://app.redstat.kz/niche/00335?event_date=2026-08-01</t>
        </is>
      </c>
      <c r="O2113" s="2" t="inlineStr">
        <is>
          <t>https://kaspi.kz/shop/c/paints/</t>
        </is>
      </c>
    </row>
    <row r="2114">
      <c r="A2114" s="2" t="n">
        <v>2113</v>
      </c>
      <c r="B2114" s="2" t="inlineStr">
        <is>
          <t>Химические средства защиты от вредителей</t>
        </is>
      </c>
      <c r="C2114" s="2" t="inlineStr">
        <is>
          <t>Товары для дома и дачи</t>
        </is>
      </c>
      <c r="D2114" s="2" t="inlineStr">
        <is>
          <t>Товары для дома и дачи → Дача, сад и огород → Средства защиты от грызунов и вредителей → Химические средства защиты от вредителей</t>
        </is>
      </c>
      <c r="E2114" s="3" t="n">
        <v>9786</v>
      </c>
      <c r="F2114" s="3" t="n">
        <v>6</v>
      </c>
      <c r="G2114" s="3">
        <f>IFERROR(E2114/F2114,0)</f>
        <v/>
      </c>
      <c r="H2114" s="3" t="n">
        <v>3</v>
      </c>
      <c r="I2114" s="2" t="n">
        <v>2</v>
      </c>
      <c r="J2114" s="3">
        <f>IFERROR(E2114/H2114,0)</f>
        <v/>
      </c>
      <c r="K2114" s="10">
        <f>E2114/'По разделам'!$B$21</f>
        <v/>
      </c>
      <c r="L2114" s="4">
        <f>L2113+K2114</f>
        <v/>
      </c>
      <c r="M2114" s="2" t="inlineStr">
        <is>
          <t>03680</t>
        </is>
      </c>
      <c r="N2114" s="2" t="inlineStr">
        <is>
          <t>https://app.redstat.kz/niche/03680?event_date=2026-08-01</t>
        </is>
      </c>
      <c r="O2114" s="2" t="inlineStr">
        <is>
          <t>https://kaspi.kz/shop/c/rodent%20control/</t>
        </is>
      </c>
    </row>
    <row r="2115">
      <c r="A2115" s="2" t="n">
        <v>2114</v>
      </c>
      <c r="B2115" s="2" t="inlineStr">
        <is>
          <t>Жидкость для стеклоомывателя</t>
        </is>
      </c>
      <c r="C2115" s="2" t="inlineStr">
        <is>
          <t>Автотовары</t>
        </is>
      </c>
      <c r="D2115" s="2" t="inlineStr">
        <is>
          <t>Автотовары → Автохимия и автокосметика → Уход за стеклами и фарами автомобилей → Жидкость для стеклоомывателя</t>
        </is>
      </c>
      <c r="E2115" s="3" t="n">
        <v>9690</v>
      </c>
      <c r="F2115" s="3" t="n">
        <v>6</v>
      </c>
      <c r="G2115" s="3">
        <f>IFERROR(E2115/F2115,0)</f>
        <v/>
      </c>
      <c r="H2115" s="3" t="n">
        <v>3</v>
      </c>
      <c r="I2115" s="2" t="n">
        <v>0</v>
      </c>
      <c r="J2115" s="3">
        <f>IFERROR(E2115/H2115,0)</f>
        <v/>
      </c>
      <c r="K2115" s="10">
        <f>E2115/'По разделам'!$B$21</f>
        <v/>
      </c>
      <c r="L2115" s="4">
        <f>L2114+K2115</f>
        <v/>
      </c>
      <c r="M2115" s="2" t="inlineStr">
        <is>
          <t>01410</t>
        </is>
      </c>
      <c r="N2115" s="2" t="inlineStr">
        <is>
          <t>https://app.redstat.kz/niche/01410?event_date=2026-08-01</t>
        </is>
      </c>
      <c r="O2115" s="2" t="inlineStr">
        <is>
          <t>https://kaspi.kz/shop/c/washer%20fluid/</t>
        </is>
      </c>
    </row>
    <row r="2116">
      <c r="A2116" s="2" t="n">
        <v>2115</v>
      </c>
      <c r="B2116" s="2" t="inlineStr">
        <is>
          <t>Огнетушители</t>
        </is>
      </c>
      <c r="C2116" s="2" t="inlineStr">
        <is>
          <t>Строительство, ремонт</t>
        </is>
      </c>
      <c r="D2116" s="2" t="inlineStr">
        <is>
          <t>Строительство, ремонт → Системы безопасности → Пожарное оборудование → Огнетушители</t>
        </is>
      </c>
      <c r="E2116" s="3" t="n">
        <v>9600</v>
      </c>
      <c r="F2116" s="3" t="n">
        <v>2</v>
      </c>
      <c r="G2116" s="3">
        <f>IFERROR(E2116/F2116,0)</f>
        <v/>
      </c>
      <c r="H2116" s="3" t="n">
        <v>1</v>
      </c>
      <c r="I2116" s="2" t="n">
        <v>1</v>
      </c>
      <c r="J2116" s="3">
        <f>IFERROR(E2116/H2116,0)</f>
        <v/>
      </c>
      <c r="K2116" s="10">
        <f>E2116/'По разделам'!$B$21</f>
        <v/>
      </c>
      <c r="L2116" s="4">
        <f>L2115+K2116</f>
        <v/>
      </c>
      <c r="M2116" s="2" t="inlineStr">
        <is>
          <t>02295</t>
        </is>
      </c>
      <c r="N2116" s="2" t="inlineStr">
        <is>
          <t>https://app.redstat.kz/niche/02295?event_date=2026-08-01</t>
        </is>
      </c>
      <c r="O2116" s="2" t="inlineStr">
        <is>
          <t>https://kaspi.kz/shop/c/fire%20extinguishers/</t>
        </is>
      </c>
    </row>
    <row r="2117">
      <c r="A2117" s="2" t="n">
        <v>2116</v>
      </c>
      <c r="B2117" s="2" t="inlineStr">
        <is>
          <t>Механические сушилки и мойки для овощей и фруктов</t>
        </is>
      </c>
      <c r="C2117" s="2" t="inlineStr">
        <is>
          <t>Товары для дома и дачи</t>
        </is>
      </c>
      <c r="D2117" s="2" t="inlineStr">
        <is>
          <t>Товары для дома и дачи → Посуда и принадлежности → Кухонные принадлежности → Механические сушилки и мойки для овощей и фруктов</t>
        </is>
      </c>
      <c r="E2117" s="3" t="n">
        <v>9380</v>
      </c>
      <c r="F2117" s="3" t="n">
        <v>2</v>
      </c>
      <c r="G2117" s="3">
        <f>IFERROR(E2117/F2117,0)</f>
        <v/>
      </c>
      <c r="H2117" s="3" t="n">
        <v>2</v>
      </c>
      <c r="I2117" s="2" t="n">
        <v>0</v>
      </c>
      <c r="J2117" s="3">
        <f>IFERROR(E2117/H2117,0)</f>
        <v/>
      </c>
      <c r="K2117" s="10">
        <f>E2117/'По разделам'!$B$21</f>
        <v/>
      </c>
      <c r="L2117" s="4">
        <f>L2116+K2117</f>
        <v/>
      </c>
      <c r="M2117" s="2" t="inlineStr">
        <is>
          <t>05947</t>
        </is>
      </c>
      <c r="N2117" s="2" t="inlineStr">
        <is>
          <t>https://app.redstat.kz/niche/05947?event_date=2026-08-01</t>
        </is>
      </c>
      <c r="O2117" s="2" t="inlineStr">
        <is>
          <t>https://kaspi.kz/shop/c/vegetable%20mechanical%20dryers/</t>
        </is>
      </c>
    </row>
    <row r="2118">
      <c r="A2118" s="2" t="n">
        <v>2117</v>
      </c>
      <c r="B2118" s="2" t="inlineStr">
        <is>
          <t>Опора амортизатора</t>
        </is>
      </c>
      <c r="C2118" s="2" t="inlineStr">
        <is>
          <t>Автотовары</t>
        </is>
      </c>
      <c r="D2118" s="2" t="inlineStr">
        <is>
          <t>Автотовары → Автозапчасти → Ходовая часть → Амортизаторы, составляющие → Опора амортизатора</t>
        </is>
      </c>
      <c r="E2118" s="3" t="n">
        <v>9200</v>
      </c>
      <c r="F2118" s="3" t="n">
        <v>2</v>
      </c>
      <c r="G2118" s="3">
        <f>IFERROR(E2118/F2118,0)</f>
        <v/>
      </c>
      <c r="H2118" s="3" t="n">
        <v>1</v>
      </c>
      <c r="I2118" s="2" t="n">
        <v>1</v>
      </c>
      <c r="J2118" s="3">
        <f>IFERROR(E2118/H2118,0)</f>
        <v/>
      </c>
      <c r="K2118" s="10">
        <f>E2118/'По разделам'!$B$21</f>
        <v/>
      </c>
      <c r="L2118" s="4">
        <f>L2117+K2118</f>
        <v/>
      </c>
      <c r="M2118" s="2" t="inlineStr">
        <is>
          <t>07343</t>
        </is>
      </c>
      <c r="N2118" s="2" t="inlineStr">
        <is>
          <t>https://app.redstat.kz/niche/07343?event_date=2026-08-01</t>
        </is>
      </c>
      <c r="O2118" s="2" t="inlineStr">
        <is>
          <t>https://kaspi.kz/shop/c/shock%20absorber%20support/</t>
        </is>
      </c>
    </row>
    <row r="2119">
      <c r="A2119" s="2" t="n">
        <v>2118</v>
      </c>
      <c r="B2119" s="2" t="inlineStr">
        <is>
          <t>Аксессуары и комплектующие для строительных пылесосов</t>
        </is>
      </c>
      <c r="C2119" s="2" t="inlineStr">
        <is>
          <t>Строительство, ремонт</t>
        </is>
      </c>
      <c r="D2119" s="2" t="inlineStr">
        <is>
          <t>Строительство, ремонт → Строительный инвентарь → Комплектующие для строительного инвентаря → Аксессуары и комплектующие для строительных пылесосов</t>
        </is>
      </c>
      <c r="E2119" s="3" t="n">
        <v>9186</v>
      </c>
      <c r="F2119" s="3" t="n">
        <v>4</v>
      </c>
      <c r="G2119" s="3">
        <f>IFERROR(E2119/F2119,0)</f>
        <v/>
      </c>
      <c r="H2119" s="3" t="n">
        <v>2</v>
      </c>
      <c r="I2119" s="2" t="n">
        <v>1</v>
      </c>
      <c r="J2119" s="3">
        <f>IFERROR(E2119/H2119,0)</f>
        <v/>
      </c>
      <c r="K2119" s="10">
        <f>E2119/'По разделам'!$B$21</f>
        <v/>
      </c>
      <c r="L2119" s="4">
        <f>L2118+K2119</f>
        <v/>
      </c>
      <c r="M2119" s="2" t="inlineStr">
        <is>
          <t>03943</t>
        </is>
      </c>
      <c r="N2119" s="2" t="inlineStr">
        <is>
          <t>https://app.redstat.kz/niche/03943?event_date=2026-08-01</t>
        </is>
      </c>
      <c r="O2119" s="2" t="inlineStr">
        <is>
          <t>https://kaspi.kz/shop/c/bags%20for%20construction%20vacuum%20cleaners/</t>
        </is>
      </c>
    </row>
    <row r="2120">
      <c r="A2120" s="2" t="n">
        <v>2119</v>
      </c>
      <c r="B2120" s="2" t="inlineStr">
        <is>
          <t>Переходники, вилки и тройники</t>
        </is>
      </c>
      <c r="C2120" s="2" t="inlineStr">
        <is>
          <t>Строительство, ремонт</t>
        </is>
      </c>
      <c r="D2120" s="2" t="inlineStr">
        <is>
          <t>Строительство, ремонт → Электрика → Удлинители и переходники → Переходники, вилки и тройники</t>
        </is>
      </c>
      <c r="E2120" s="3" t="n">
        <v>9029</v>
      </c>
      <c r="F2120" s="3" t="n">
        <v>15</v>
      </c>
      <c r="G2120" s="3">
        <f>IFERROR(E2120/F2120,0)</f>
        <v/>
      </c>
      <c r="H2120" s="3" t="n">
        <v>6</v>
      </c>
      <c r="I2120" s="2" t="n">
        <v>1</v>
      </c>
      <c r="J2120" s="3">
        <f>IFERROR(E2120/H2120,0)</f>
        <v/>
      </c>
      <c r="K2120" s="10">
        <f>E2120/'По разделам'!$B$21</f>
        <v/>
      </c>
      <c r="L2120" s="4">
        <f>L2119+K2120</f>
        <v/>
      </c>
      <c r="M2120" s="2" t="inlineStr">
        <is>
          <t>05255</t>
        </is>
      </c>
      <c r="N2120" s="2" t="inlineStr">
        <is>
          <t>https://app.redstat.kz/niche/05255?event_date=2026-08-01</t>
        </is>
      </c>
      <c r="O2120" s="2" t="inlineStr">
        <is>
          <t>https://kaspi.kz/shop/c/adapters%20plugs%20and%20tees/</t>
        </is>
      </c>
    </row>
    <row r="2121">
      <c r="A2121" s="2" t="n">
        <v>2120</v>
      </c>
      <c r="B2121" s="2" t="inlineStr">
        <is>
          <t>Фильтры, влагоотделители и лубрикаторы для пневмоинструмента</t>
        </is>
      </c>
      <c r="C2121" s="2" t="inlineStr">
        <is>
          <t>Строительство, ремонт</t>
        </is>
      </c>
      <c r="D2121" s="2" t="inlineStr">
        <is>
          <t>Строительство, ремонт → Инструменты → Пневмоинструменты → Фильтры, влагоотделители и лубрикаторы для пневмоинструмента</t>
        </is>
      </c>
      <c r="E2121" s="3" t="n">
        <v>8980</v>
      </c>
      <c r="F2121" s="3" t="n">
        <v>2</v>
      </c>
      <c r="G2121" s="3">
        <f>IFERROR(E2121/F2121,0)</f>
        <v/>
      </c>
      <c r="H2121" s="3" t="n">
        <v>1</v>
      </c>
      <c r="I2121" s="2" t="n">
        <v>1</v>
      </c>
      <c r="J2121" s="3">
        <f>IFERROR(E2121/H2121,0)</f>
        <v/>
      </c>
      <c r="K2121" s="10">
        <f>E2121/'По разделам'!$B$21</f>
        <v/>
      </c>
      <c r="L2121" s="4">
        <f>L2120+K2121</f>
        <v/>
      </c>
      <c r="M2121" s="2" t="inlineStr">
        <is>
          <t>04319</t>
        </is>
      </c>
      <c r="N2121" s="2" t="inlineStr">
        <is>
          <t>https://app.redstat.kz/niche/04319?event_date=2026-08-01</t>
        </is>
      </c>
      <c r="O2121" s="2" t="inlineStr">
        <is>
          <t>https://kaspi.kz/shop/c/filters%20for%20pnumatic%20tool/</t>
        </is>
      </c>
    </row>
    <row r="2122">
      <c r="A2122" s="2" t="n">
        <v>2121</v>
      </c>
      <c r="B2122" s="2" t="inlineStr">
        <is>
          <t>Плафоны для светильников</t>
        </is>
      </c>
      <c r="C2122" s="2" t="inlineStr">
        <is>
          <t>Товары для дома и дачи</t>
        </is>
      </c>
      <c r="D2122" s="2" t="inlineStr">
        <is>
          <t>Товары для дома и дачи → Освещение → Комплектующие и аксессуары для освещения → Плафоны для светильников</t>
        </is>
      </c>
      <c r="E2122" s="3" t="n">
        <v>8960</v>
      </c>
      <c r="F2122" s="3" t="n">
        <v>3</v>
      </c>
      <c r="G2122" s="3">
        <f>IFERROR(E2122/F2122,0)</f>
        <v/>
      </c>
      <c r="H2122" s="3" t="n">
        <v>2</v>
      </c>
      <c r="I2122" s="2" t="n">
        <v>2</v>
      </c>
      <c r="J2122" s="3">
        <f>IFERROR(E2122/H2122,0)</f>
        <v/>
      </c>
      <c r="K2122" s="10">
        <f>E2122/'По разделам'!$B$21</f>
        <v/>
      </c>
      <c r="L2122" s="4">
        <f>L2121+K2122</f>
        <v/>
      </c>
      <c r="M2122" s="2" t="inlineStr">
        <is>
          <t>04909</t>
        </is>
      </c>
      <c r="N2122" s="2" t="inlineStr">
        <is>
          <t>https://app.redstat.kz/niche/04909?event_date=2026-08-01</t>
        </is>
      </c>
      <c r="O2122" s="2" t="inlineStr">
        <is>
          <t>https://kaspi.kz/shop/c/plafonds%20for%20lamps/</t>
        </is>
      </c>
    </row>
    <row r="2123">
      <c r="A2123" s="2" t="n">
        <v>2122</v>
      </c>
      <c r="B2123" s="2" t="inlineStr">
        <is>
          <t>Средства для чистки кухонных поверхностей</t>
        </is>
      </c>
      <c r="C2123" s="2" t="inlineStr">
        <is>
          <t>Товары для дома и дачи</t>
        </is>
      </c>
      <c r="D2123" s="2" t="inlineStr">
        <is>
          <t>Товары для дома и дачи → Бытовая химия → Чистящие средства → Средства для чистки кухонных поверхностей</t>
        </is>
      </c>
      <c r="E2123" s="3" t="n">
        <v>8919</v>
      </c>
      <c r="F2123" s="3" t="n">
        <v>4</v>
      </c>
      <c r="G2123" s="3">
        <f>IFERROR(E2123/F2123,0)</f>
        <v/>
      </c>
      <c r="H2123" s="3" t="n">
        <v>3</v>
      </c>
      <c r="I2123" s="2" t="n">
        <v>3</v>
      </c>
      <c r="J2123" s="3">
        <f>IFERROR(E2123/H2123,0)</f>
        <v/>
      </c>
      <c r="K2123" s="10">
        <f>E2123/'По разделам'!$B$21</f>
        <v/>
      </c>
      <c r="L2123" s="4">
        <f>L2122+K2123</f>
        <v/>
      </c>
      <c r="M2123" s="2" t="inlineStr">
        <is>
          <t>01660</t>
        </is>
      </c>
      <c r="N2123" s="2" t="inlineStr">
        <is>
          <t>https://app.redstat.kz/niche/01660?event_date=2026-08-01</t>
        </is>
      </c>
      <c r="O2123" s="2" t="inlineStr">
        <is>
          <t>https://kaspi.kz/shop/c/kitchen%20cleaners/</t>
        </is>
      </c>
    </row>
    <row r="2124">
      <c r="A2124" s="2" t="n">
        <v>2123</v>
      </c>
      <c r="B2124" s="2" t="inlineStr">
        <is>
          <t>Аварийные принадлежности</t>
        </is>
      </c>
      <c r="C2124" s="2" t="inlineStr">
        <is>
          <t>Автотовары</t>
        </is>
      </c>
      <c r="D2124" s="2" t="inlineStr">
        <is>
          <t>Автотовары → Автомобильное оборудование → Аварийное оборудование → Аварийные принадлежности</t>
        </is>
      </c>
      <c r="E2124" s="3" t="n">
        <v>8500</v>
      </c>
      <c r="F2124" s="3" t="n">
        <v>4</v>
      </c>
      <c r="G2124" s="3">
        <f>IFERROR(E2124/F2124,0)</f>
        <v/>
      </c>
      <c r="H2124" s="3" t="n">
        <v>2</v>
      </c>
      <c r="I2124" s="2" t="n">
        <v>1</v>
      </c>
      <c r="J2124" s="3">
        <f>IFERROR(E2124/H2124,0)</f>
        <v/>
      </c>
      <c r="K2124" s="10">
        <f>E2124/'По разделам'!$B$21</f>
        <v/>
      </c>
      <c r="L2124" s="4">
        <f>L2123+K2124</f>
        <v/>
      </c>
      <c r="M2124" s="2" t="inlineStr">
        <is>
          <t>06999</t>
        </is>
      </c>
      <c r="N2124" s="2" t="inlineStr">
        <is>
          <t>https://app.redstat.kz/niche/06999?event_date=2026-08-01</t>
        </is>
      </c>
      <c r="O2124" s="2" t="inlineStr">
        <is>
          <t>https://kaspi.kz/shop/c/emergency%20accessories/</t>
        </is>
      </c>
    </row>
    <row r="2125">
      <c r="A2125" s="2" t="n">
        <v>2124</v>
      </c>
      <c r="B2125" s="2" t="inlineStr">
        <is>
          <t>Автомобильные резисторы</t>
        </is>
      </c>
      <c r="C2125" s="2" t="inlineStr">
        <is>
          <t>Автотовары</t>
        </is>
      </c>
      <c r="D2125" s="2" t="inlineStr">
        <is>
          <t>Автотовары → Автозапчасти → Автоэлектрика → Автомобильные резисторы</t>
        </is>
      </c>
      <c r="E2125" s="3" t="n">
        <v>8455</v>
      </c>
      <c r="F2125" s="3" t="n">
        <v>10</v>
      </c>
      <c r="G2125" s="3">
        <f>IFERROR(E2125/F2125,0)</f>
        <v/>
      </c>
      <c r="H2125" s="3" t="n">
        <v>5</v>
      </c>
      <c r="I2125" s="2" t="n">
        <v>1</v>
      </c>
      <c r="J2125" s="3">
        <f>IFERROR(E2125/H2125,0)</f>
        <v/>
      </c>
      <c r="K2125" s="10">
        <f>E2125/'По разделам'!$B$21</f>
        <v/>
      </c>
      <c r="L2125" s="4">
        <f>L2124+K2125</f>
        <v/>
      </c>
      <c r="M2125" s="2" t="inlineStr">
        <is>
          <t>07060</t>
        </is>
      </c>
      <c r="N2125" s="2" t="inlineStr">
        <is>
          <t>https://app.redstat.kz/niche/07060?event_date=2026-08-01</t>
        </is>
      </c>
      <c r="O2125" s="2" t="inlineStr">
        <is>
          <t>https://kaspi.kz/shop/c/automotive%20resistors/</t>
        </is>
      </c>
    </row>
    <row r="2126">
      <c r="A2126" s="2" t="n">
        <v>2125</v>
      </c>
      <c r="B2126" s="2" t="inlineStr">
        <is>
          <t>Аксессуары для кулеров и пурифайеров</t>
        </is>
      </c>
      <c r="C2126" s="2" t="inlineStr">
        <is>
          <t>Бытовая техника</t>
        </is>
      </c>
      <c r="D2126" s="2" t="inlineStr">
        <is>
          <t>Бытовая техника → Крупная техника для дома → Аксессуары для крупной бытовой техники → Аксессуары для кулеров и пурифайеров</t>
        </is>
      </c>
      <c r="E2126" s="3" t="n">
        <v>8000</v>
      </c>
      <c r="F2126" s="3" t="n">
        <v>2</v>
      </c>
      <c r="G2126" s="3">
        <f>IFERROR(E2126/F2126,0)</f>
        <v/>
      </c>
      <c r="H2126" s="3" t="n">
        <v>2</v>
      </c>
      <c r="I2126" s="2" t="n">
        <v>1</v>
      </c>
      <c r="J2126" s="3">
        <f>IFERROR(E2126/H2126,0)</f>
        <v/>
      </c>
      <c r="K2126" s="10">
        <f>E2126/'По разделам'!$B$21</f>
        <v/>
      </c>
      <c r="L2126" s="4">
        <f>L2125+K2126</f>
        <v/>
      </c>
      <c r="M2126" s="2" t="inlineStr">
        <is>
          <t>04901</t>
        </is>
      </c>
      <c r="N2126" s="2" t="inlineStr">
        <is>
          <t>https://app.redstat.kz/niche/04901?event_date=2026-08-01</t>
        </is>
      </c>
      <c r="O2126" s="2" t="inlineStr">
        <is>
          <t>https://kaspi.kz/shop/c/accessories%20for%20coolers%20and%20purifiers/</t>
        </is>
      </c>
    </row>
    <row r="2127">
      <c r="A2127" s="2" t="n">
        <v>2126</v>
      </c>
      <c r="B2127" s="2" t="inlineStr">
        <is>
          <t>Сопла для сварочных аппаратов</t>
        </is>
      </c>
      <c r="C2127" s="2" t="inlineStr">
        <is>
          <t>Строительство, ремонт</t>
        </is>
      </c>
      <c r="D2127" s="2" t="inlineStr">
        <is>
          <t>Строительство, ремонт → Инструменты → Сварочное оборудование → Комплектующие для сварочных аппаратов → Сопла для сварочных аппаратов</t>
        </is>
      </c>
      <c r="E2127" s="3" t="n">
        <v>7980</v>
      </c>
      <c r="F2127" s="3" t="n">
        <v>4</v>
      </c>
      <c r="G2127" s="3">
        <f>IFERROR(E2127/F2127,0)</f>
        <v/>
      </c>
      <c r="H2127" s="3" t="n">
        <v>1</v>
      </c>
      <c r="I2127" s="2" t="n">
        <v>0</v>
      </c>
      <c r="J2127" s="3">
        <f>IFERROR(E2127/H2127,0)</f>
        <v/>
      </c>
      <c r="K2127" s="10">
        <f>E2127/'По разделам'!$B$21</f>
        <v/>
      </c>
      <c r="L2127" s="4">
        <f>L2126+K2127</f>
        <v/>
      </c>
      <c r="M2127" s="2" t="inlineStr">
        <is>
          <t>06584</t>
        </is>
      </c>
      <c r="N2127" s="2" t="inlineStr">
        <is>
          <t>https://app.redstat.kz/niche/06584?event_date=2026-08-01</t>
        </is>
      </c>
      <c r="O2127" s="2" t="inlineStr">
        <is>
          <t>https://kaspi.kz/shop/c/nozzles%20for%20welding%20machines/</t>
        </is>
      </c>
    </row>
    <row r="2128">
      <c r="A2128" s="2" t="n">
        <v>2127</v>
      </c>
      <c r="B2128" s="2" t="inlineStr">
        <is>
          <t>Аксессуары для стилусов</t>
        </is>
      </c>
      <c r="C2128" s="2" t="inlineStr">
        <is>
          <t>Компьютеры</t>
        </is>
      </c>
      <c r="D2128" s="2" t="inlineStr">
        <is>
          <t>Компьютеры → Планшеты и аксессуары → Аксессуары для планшетов → Аксессуары для стилусов</t>
        </is>
      </c>
      <c r="E2128" s="3" t="n">
        <v>7980</v>
      </c>
      <c r="F2128" s="3" t="n">
        <v>2</v>
      </c>
      <c r="G2128" s="3">
        <f>IFERROR(E2128/F2128,0)</f>
        <v/>
      </c>
      <c r="H2128" s="3" t="n">
        <v>1</v>
      </c>
      <c r="I2128" s="2" t="n">
        <v>1</v>
      </c>
      <c r="J2128" s="3">
        <f>IFERROR(E2128/H2128,0)</f>
        <v/>
      </c>
      <c r="K2128" s="10">
        <f>E2128/'По разделам'!$B$21</f>
        <v/>
      </c>
      <c r="L2128" s="4">
        <f>L2127+K2128</f>
        <v/>
      </c>
      <c r="M2128" s="2" t="inlineStr">
        <is>
          <t>06747</t>
        </is>
      </c>
      <c r="N2128" s="2" t="inlineStr">
        <is>
          <t>https://app.redstat.kz/niche/06747?event_date=2026-08-01</t>
        </is>
      </c>
      <c r="O2128" s="2" t="inlineStr">
        <is>
          <t>https://kaspi.kz/shop/c/accessories%20for%20styluses/</t>
        </is>
      </c>
    </row>
    <row r="2129">
      <c r="A2129" s="2" t="n">
        <v>2128</v>
      </c>
      <c r="B2129" s="2" t="inlineStr">
        <is>
          <t>Системы капельного полива</t>
        </is>
      </c>
      <c r="C2129" s="2" t="inlineStr">
        <is>
          <t>Товары для дома и дачи</t>
        </is>
      </c>
      <c r="D2129" s="2" t="inlineStr">
        <is>
          <t>Товары для дома и дачи → Дача, сад и огород → Аксессуары для полива → Системы капельного полива</t>
        </is>
      </c>
      <c r="E2129" s="3" t="n">
        <v>7840</v>
      </c>
      <c r="F2129" s="3" t="n">
        <v>2</v>
      </c>
      <c r="G2129" s="3">
        <f>IFERROR(E2129/F2129,0)</f>
        <v/>
      </c>
      <c r="H2129" s="3" t="n">
        <v>2</v>
      </c>
      <c r="I2129" s="2" t="n">
        <v>0</v>
      </c>
      <c r="J2129" s="3">
        <f>IFERROR(E2129/H2129,0)</f>
        <v/>
      </c>
      <c r="K2129" s="10">
        <f>E2129/'По разделам'!$B$21</f>
        <v/>
      </c>
      <c r="L2129" s="4">
        <f>L2128+K2129</f>
        <v/>
      </c>
      <c r="M2129" s="2" t="inlineStr">
        <is>
          <t>06206</t>
        </is>
      </c>
      <c r="N2129" s="2" t="inlineStr">
        <is>
          <t>https://app.redstat.kz/niche/06206?event_date=2026-08-01</t>
        </is>
      </c>
      <c r="O2129" s="2" t="inlineStr">
        <is>
          <t>https://kaspi.kz/shop/c/drip%20irrigation%20systems/</t>
        </is>
      </c>
    </row>
    <row r="2130">
      <c r="A2130" s="2" t="n">
        <v>2129</v>
      </c>
      <c r="B2130" s="2" t="inlineStr">
        <is>
          <t>Монтажные пены</t>
        </is>
      </c>
      <c r="C2130" s="2" t="inlineStr">
        <is>
          <t>Строительство, ремонт</t>
        </is>
      </c>
      <c r="D2130" s="2" t="inlineStr">
        <is>
          <t>Строительство, ремонт → Строительные материалы → Монтажные пены, герметики, клей → Монтажные пены</t>
        </is>
      </c>
      <c r="E2130" s="3" t="n">
        <v>7800</v>
      </c>
      <c r="F2130" s="3" t="n">
        <v>2</v>
      </c>
      <c r="G2130" s="3">
        <f>IFERROR(E2130/F2130,0)</f>
        <v/>
      </c>
      <c r="H2130" s="3" t="n">
        <v>1</v>
      </c>
      <c r="I2130" s="2" t="n">
        <v>1</v>
      </c>
      <c r="J2130" s="3">
        <f>IFERROR(E2130/H2130,0)</f>
        <v/>
      </c>
      <c r="K2130" s="10">
        <f>E2130/'По разделам'!$B$21</f>
        <v/>
      </c>
      <c r="L2130" s="4">
        <f>L2129+K2130</f>
        <v/>
      </c>
      <c r="M2130" s="2" t="inlineStr">
        <is>
          <t>05733</t>
        </is>
      </c>
      <c r="N2130" s="2" t="inlineStr">
        <is>
          <t>https://app.redstat.kz/niche/05733?event_date=2026-08-01</t>
        </is>
      </c>
      <c r="O2130" s="2" t="inlineStr">
        <is>
          <t>https://kaspi.kz/shop/c/foam%20sealant/</t>
        </is>
      </c>
    </row>
    <row r="2131">
      <c r="A2131" s="2" t="n">
        <v>2130</v>
      </c>
      <c r="B2131" s="2" t="inlineStr">
        <is>
          <t>Колеровочные веера и каталоги</t>
        </is>
      </c>
      <c r="C2131" s="2" t="inlineStr">
        <is>
          <t>Строительство, ремонт</t>
        </is>
      </c>
      <c r="D2131" s="2" t="inlineStr">
        <is>
          <t>Строительство, ремонт → Лакокрасочные материалы → Расходные материалы для малярных работ → Колеровочные веера и каталоги</t>
        </is>
      </c>
      <c r="E2131" s="3" t="n">
        <v>7726</v>
      </c>
      <c r="F2131" s="3" t="n">
        <v>7</v>
      </c>
      <c r="G2131" s="3">
        <f>IFERROR(E2131/F2131,0)</f>
        <v/>
      </c>
      <c r="H2131" s="3" t="n">
        <v>3</v>
      </c>
      <c r="I2131" s="2" t="n">
        <v>2</v>
      </c>
      <c r="J2131" s="3">
        <f>IFERROR(E2131/H2131,0)</f>
        <v/>
      </c>
      <c r="K2131" s="10">
        <f>E2131/'По разделам'!$B$21</f>
        <v/>
      </c>
      <c r="L2131" s="4">
        <f>L2130+K2131</f>
        <v/>
      </c>
      <c r="M2131" s="2" t="inlineStr">
        <is>
          <t>04571</t>
        </is>
      </c>
      <c r="N2131" s="2" t="inlineStr">
        <is>
          <t>https://app.redstat.kz/niche/04571?event_date=2026-08-01</t>
        </is>
      </c>
      <c r="O2131" s="2" t="inlineStr">
        <is>
          <t>https://kaspi.kz/shop/c/tinting%20catalogs/</t>
        </is>
      </c>
    </row>
    <row r="2132">
      <c r="A2132" s="2" t="n">
        <v>2131</v>
      </c>
      <c r="B2132" s="2" t="inlineStr">
        <is>
          <t>Грунтовка</t>
        </is>
      </c>
      <c r="C2132" s="2" t="inlineStr">
        <is>
          <t>Строительство, ремонт</t>
        </is>
      </c>
      <c r="D2132" s="2" t="inlineStr">
        <is>
          <t>Строительство, ремонт → Строительные материалы → Строительные смеси → Грунтовка</t>
        </is>
      </c>
      <c r="E2132" s="3" t="n">
        <v>7600</v>
      </c>
      <c r="F2132" s="3" t="n">
        <v>2</v>
      </c>
      <c r="G2132" s="3">
        <f>IFERROR(E2132/F2132,0)</f>
        <v/>
      </c>
      <c r="H2132" s="3" t="n">
        <v>1</v>
      </c>
      <c r="I2132" s="2" t="n">
        <v>1</v>
      </c>
      <c r="J2132" s="3">
        <f>IFERROR(E2132/H2132,0)</f>
        <v/>
      </c>
      <c r="K2132" s="10">
        <f>E2132/'По разделам'!$B$21</f>
        <v/>
      </c>
      <c r="L2132" s="4">
        <f>L2131+K2132</f>
        <v/>
      </c>
      <c r="M2132" s="2" t="inlineStr">
        <is>
          <t>01783</t>
        </is>
      </c>
      <c r="N2132" s="2" t="inlineStr">
        <is>
          <t>https://app.redstat.kz/niche/01783?event_date=2026-08-01</t>
        </is>
      </c>
      <c r="O2132" s="2" t="inlineStr">
        <is>
          <t>https://kaspi.kz/shop/c/paint%20primer/</t>
        </is>
      </c>
    </row>
    <row r="2133">
      <c r="A2133" s="2" t="n">
        <v>2132</v>
      </c>
      <c r="B2133" s="2" t="inlineStr">
        <is>
          <t>Фоны для аквариумов и террариумов</t>
        </is>
      </c>
      <c r="C2133" s="2" t="inlineStr">
        <is>
          <t>Товары для животных</t>
        </is>
      </c>
      <c r="D2133" s="2" t="inlineStr">
        <is>
          <t>Товары для животных → Для рыб и рептилий → Фоны для аквариумов и террариумов</t>
        </is>
      </c>
      <c r="E2133" s="3" t="n">
        <v>7532</v>
      </c>
      <c r="F2133" s="3" t="n">
        <v>3</v>
      </c>
      <c r="G2133" s="3">
        <f>IFERROR(E2133/F2133,0)</f>
        <v/>
      </c>
      <c r="H2133" s="3" t="n">
        <v>2</v>
      </c>
      <c r="I2133" s="2" t="n">
        <v>1</v>
      </c>
      <c r="J2133" s="3">
        <f>IFERROR(E2133/H2133,0)</f>
        <v/>
      </c>
      <c r="K2133" s="10">
        <f>E2133/'По разделам'!$B$21</f>
        <v/>
      </c>
      <c r="L2133" s="4">
        <f>L2132+K2133</f>
        <v/>
      </c>
      <c r="M2133" s="2" t="inlineStr">
        <is>
          <t>04783</t>
        </is>
      </c>
      <c r="N2133" s="2" t="inlineStr">
        <is>
          <t>https://app.redstat.kz/niche/04783?event_date=2026-08-01</t>
        </is>
      </c>
      <c r="O2133" s="2" t="inlineStr">
        <is>
          <t>https://kaspi.kz/shop/c/background%20pictures%20for%20aquariums%20and%20terrariums/</t>
        </is>
      </c>
    </row>
    <row r="2134">
      <c r="A2134" s="2" t="n">
        <v>2133</v>
      </c>
      <c r="B2134" s="2" t="inlineStr">
        <is>
          <t>Аккумуляторы для планшетов</t>
        </is>
      </c>
      <c r="C2134" s="2" t="inlineStr">
        <is>
          <t>Компьютеры</t>
        </is>
      </c>
      <c r="D2134" s="2" t="inlineStr">
        <is>
          <t>Компьютеры → Планшеты и аксессуары → Аксессуары для планшетов → Аккумуляторы для планшетов</t>
        </is>
      </c>
      <c r="E2134" s="3" t="n">
        <v>7500</v>
      </c>
      <c r="F2134" s="3" t="n">
        <v>1</v>
      </c>
      <c r="G2134" s="3">
        <f>IFERROR(E2134/F2134,0)</f>
        <v/>
      </c>
      <c r="H2134" s="3" t="n">
        <v>1</v>
      </c>
      <c r="I2134" s="2" t="n">
        <v>0</v>
      </c>
      <c r="J2134" s="3">
        <f>IFERROR(E2134/H2134,0)</f>
        <v/>
      </c>
      <c r="K2134" s="10">
        <f>E2134/'По разделам'!$B$21</f>
        <v/>
      </c>
      <c r="L2134" s="4">
        <f>L2133+K2134</f>
        <v/>
      </c>
      <c r="M2134" s="2" t="inlineStr">
        <is>
          <t>07058</t>
        </is>
      </c>
      <c r="N2134" s="2" t="inlineStr">
        <is>
          <t>https://app.redstat.kz/niche/07058?event_date=2026-08-01</t>
        </is>
      </c>
      <c r="O2134" s="2" t="inlineStr">
        <is>
          <t>https://kaspi.kz/shop/c/batteries%20for%20tablets/</t>
        </is>
      </c>
    </row>
    <row r="2135">
      <c r="A2135" s="2" t="n">
        <v>2134</v>
      </c>
      <c r="B2135" s="2" t="inlineStr">
        <is>
          <t>Шампуры</t>
        </is>
      </c>
      <c r="C2135" s="2" t="inlineStr">
        <is>
          <t>Товары для дома и дачи</t>
        </is>
      </c>
      <c r="D2135" s="2" t="inlineStr">
        <is>
          <t>Товары для дома и дачи → Дача, сад и огород → Пикник, барбекю, гриль → Шампуры</t>
        </is>
      </c>
      <c r="E2135" s="3" t="n">
        <v>7490</v>
      </c>
      <c r="F2135" s="3" t="n">
        <v>2</v>
      </c>
      <c r="G2135" s="3">
        <f>IFERROR(E2135/F2135,0)</f>
        <v/>
      </c>
      <c r="H2135" s="3" t="n">
        <v>1</v>
      </c>
      <c r="I2135" s="2" t="n">
        <v>1</v>
      </c>
      <c r="J2135" s="3">
        <f>IFERROR(E2135/H2135,0)</f>
        <v/>
      </c>
      <c r="K2135" s="10">
        <f>E2135/'По разделам'!$B$21</f>
        <v/>
      </c>
      <c r="L2135" s="4">
        <f>L2134+K2135</f>
        <v/>
      </c>
      <c r="M2135" s="2" t="inlineStr">
        <is>
          <t>02007</t>
        </is>
      </c>
      <c r="N2135" s="2" t="inlineStr">
        <is>
          <t>https://app.redstat.kz/niche/02007?event_date=2026-08-01</t>
        </is>
      </c>
      <c r="O2135" s="2" t="inlineStr">
        <is>
          <t>https://kaspi.kz/shop/c/skewers/</t>
        </is>
      </c>
    </row>
    <row r="2136">
      <c r="A2136" s="2" t="n">
        <v>2135</v>
      </c>
      <c r="B2136" s="2" t="inlineStr">
        <is>
          <t>Семена пряных трав и салатов</t>
        </is>
      </c>
      <c r="C2136" s="2" t="inlineStr">
        <is>
          <t>Товары для дома и дачи</t>
        </is>
      </c>
      <c r="D2136" s="2" t="inlineStr">
        <is>
          <t>Товары для дома и дачи → Дача, сад и огород → Семена, саженцы, рассада → Семена пряных трав и салатов</t>
        </is>
      </c>
      <c r="E2136" s="3" t="n">
        <v>7483</v>
      </c>
      <c r="F2136" s="3" t="n">
        <v>11</v>
      </c>
      <c r="G2136" s="3">
        <f>IFERROR(E2136/F2136,0)</f>
        <v/>
      </c>
      <c r="H2136" s="3" t="n">
        <v>5</v>
      </c>
      <c r="I2136" s="2" t="n">
        <v>3</v>
      </c>
      <c r="J2136" s="3">
        <f>IFERROR(E2136/H2136,0)</f>
        <v/>
      </c>
      <c r="K2136" s="10">
        <f>E2136/'По разделам'!$B$21</f>
        <v/>
      </c>
      <c r="L2136" s="4">
        <f>L2135+K2136</f>
        <v/>
      </c>
      <c r="M2136" s="2" t="inlineStr">
        <is>
          <t>06219</t>
        </is>
      </c>
      <c r="N2136" s="2" t="inlineStr">
        <is>
          <t>https://app.redstat.kz/niche/06219?event_date=2026-08-01</t>
        </is>
      </c>
      <c r="O2136" s="2" t="inlineStr">
        <is>
          <t>https://kaspi.kz/shop/c/herb%20and%20lettuce%20seeds/</t>
        </is>
      </c>
    </row>
    <row r="2137">
      <c r="A2137" s="2" t="n">
        <v>2136</v>
      </c>
      <c r="B2137" s="2" t="inlineStr">
        <is>
          <t>Детские автокресла</t>
        </is>
      </c>
      <c r="C2137" s="2" t="inlineStr">
        <is>
          <t>Детские товары</t>
        </is>
      </c>
      <c r="D2137" s="2" t="inlineStr">
        <is>
          <t>Детские товары → Прогулки и поездки → Авто и велокресла, жд-манежи → Детские автокресла</t>
        </is>
      </c>
      <c r="E2137" s="3" t="n">
        <v>7400</v>
      </c>
      <c r="F2137" s="3" t="n">
        <v>2</v>
      </c>
      <c r="G2137" s="3">
        <f>IFERROR(E2137/F2137,0)</f>
        <v/>
      </c>
      <c r="H2137" s="3" t="n">
        <v>1</v>
      </c>
      <c r="I2137" s="2" t="n">
        <v>1</v>
      </c>
      <c r="J2137" s="3">
        <f>IFERROR(E2137/H2137,0)</f>
        <v/>
      </c>
      <c r="K2137" s="10">
        <f>E2137/'По разделам'!$B$21</f>
        <v/>
      </c>
      <c r="L2137" s="4">
        <f>L2136+K2137</f>
        <v/>
      </c>
      <c r="M2137" s="2" t="inlineStr">
        <is>
          <t>02549</t>
        </is>
      </c>
      <c r="N2137" s="2" t="inlineStr">
        <is>
          <t>https://app.redstat.kz/niche/02549?event_date=2026-08-01</t>
        </is>
      </c>
      <c r="O2137" s="2" t="inlineStr">
        <is>
          <t>https://kaspi.kz/shop/c/child%20car%20seats/</t>
        </is>
      </c>
    </row>
    <row r="2138">
      <c r="A2138" s="2" t="n">
        <v>2137</v>
      </c>
      <c r="B2138" s="2" t="inlineStr">
        <is>
          <t>Ручные соковыжималки</t>
        </is>
      </c>
      <c r="C2138" s="2" t="inlineStr">
        <is>
          <t>Товары для дома и дачи</t>
        </is>
      </c>
      <c r="D2138" s="2" t="inlineStr">
        <is>
          <t>Товары для дома и дачи → Посуда и принадлежности → Барные принадлежности → Ручные соковыжималки</t>
        </is>
      </c>
      <c r="E2138" s="3" t="n">
        <v>7340</v>
      </c>
      <c r="F2138" s="3" t="n">
        <v>3</v>
      </c>
      <c r="G2138" s="3">
        <f>IFERROR(E2138/F2138,0)</f>
        <v/>
      </c>
      <c r="H2138" s="3" t="n">
        <v>2</v>
      </c>
      <c r="I2138" s="2" t="n">
        <v>1</v>
      </c>
      <c r="J2138" s="3">
        <f>IFERROR(E2138/H2138,0)</f>
        <v/>
      </c>
      <c r="K2138" s="10">
        <f>E2138/'По разделам'!$B$21</f>
        <v/>
      </c>
      <c r="L2138" s="4">
        <f>L2137+K2138</f>
        <v/>
      </c>
      <c r="M2138" s="2" t="inlineStr">
        <is>
          <t>02084</t>
        </is>
      </c>
      <c r="N2138" s="2" t="inlineStr">
        <is>
          <t>https://app.redstat.kz/niche/02084?event_date=2026-08-01</t>
        </is>
      </c>
      <c r="O2138" s="2" t="inlineStr">
        <is>
          <t>https://kaspi.kz/shop/c/manual%20juicers/</t>
        </is>
      </c>
    </row>
    <row r="2139">
      <c r="A2139" s="2" t="n">
        <v>2138</v>
      </c>
      <c r="B2139" s="2" t="inlineStr">
        <is>
          <t>Шпатели</t>
        </is>
      </c>
      <c r="C2139" s="2" t="inlineStr">
        <is>
          <t>Строительство, ремонт</t>
        </is>
      </c>
      <c r="D2139" s="2" t="inlineStr">
        <is>
          <t>Строительство, ремонт → Ручные инструменты → Штукатурные и малярные инструменты → Шпатели</t>
        </is>
      </c>
      <c r="E2139" s="3" t="n">
        <v>7340</v>
      </c>
      <c r="F2139" s="3" t="n">
        <v>9</v>
      </c>
      <c r="G2139" s="3">
        <f>IFERROR(E2139/F2139,0)</f>
        <v/>
      </c>
      <c r="H2139" s="3" t="n">
        <v>4</v>
      </c>
      <c r="I2139" s="2" t="n">
        <v>3</v>
      </c>
      <c r="J2139" s="3">
        <f>IFERROR(E2139/H2139,0)</f>
        <v/>
      </c>
      <c r="K2139" s="10">
        <f>E2139/'По разделам'!$B$21</f>
        <v/>
      </c>
      <c r="L2139" s="4">
        <f>L2138+K2139</f>
        <v/>
      </c>
      <c r="M2139" s="2" t="inlineStr">
        <is>
          <t>05024</t>
        </is>
      </c>
      <c r="N2139" s="2" t="inlineStr">
        <is>
          <t>https://app.redstat.kz/niche/05024?event_date=2026-08-01</t>
        </is>
      </c>
      <c r="O2139" s="2" t="inlineStr">
        <is>
          <t>https://kaspi.kz/shop/c/trowels/</t>
        </is>
      </c>
    </row>
    <row r="2140">
      <c r="A2140" s="2" t="n">
        <v>2139</v>
      </c>
      <c r="B2140" s="2" t="inlineStr">
        <is>
          <t>Машинки для удаления катышков</t>
        </is>
      </c>
      <c r="C2140" s="2" t="inlineStr">
        <is>
          <t>Товары для дома и дачи</t>
        </is>
      </c>
      <c r="D2140" s="2" t="inlineStr">
        <is>
          <t>Товары для дома и дачи → Хозяйственные товары → Уход за одеждой → Машинки для удаления катышков</t>
        </is>
      </c>
      <c r="E2140" s="3" t="n">
        <v>7315</v>
      </c>
      <c r="F2140" s="3" t="n">
        <v>3</v>
      </c>
      <c r="G2140" s="3">
        <f>IFERROR(E2140/F2140,0)</f>
        <v/>
      </c>
      <c r="H2140" s="3" t="n">
        <v>3</v>
      </c>
      <c r="I2140" s="2" t="n">
        <v>1</v>
      </c>
      <c r="J2140" s="3">
        <f>IFERROR(E2140/H2140,0)</f>
        <v/>
      </c>
      <c r="K2140" s="10">
        <f>E2140/'По разделам'!$B$21</f>
        <v/>
      </c>
      <c r="L2140" s="4">
        <f>L2139+K2140</f>
        <v/>
      </c>
      <c r="M2140" s="2" t="inlineStr">
        <is>
          <t>01235</t>
        </is>
      </c>
      <c r="N2140" s="2" t="inlineStr">
        <is>
          <t>https://app.redstat.kz/niche/01235?event_date=2026-08-01</t>
        </is>
      </c>
      <c r="O2140" s="2" t="inlineStr">
        <is>
          <t>https://kaspi.kz/shop/c/lint%20removers/</t>
        </is>
      </c>
    </row>
    <row r="2141">
      <c r="A2141" s="2" t="n">
        <v>2140</v>
      </c>
      <c r="B2141" s="2" t="inlineStr">
        <is>
          <t>Магнитные поддоны и тарелки</t>
        </is>
      </c>
      <c r="C2141" s="2" t="inlineStr">
        <is>
          <t>Автотовары</t>
        </is>
      </c>
      <c r="D2141" s="2" t="inlineStr">
        <is>
          <t>Автотовары → Автоинструменты → Магнитные поддоны и тарелки</t>
        </is>
      </c>
      <c r="E2141" s="3" t="n">
        <v>7300</v>
      </c>
      <c r="F2141" s="3" t="n">
        <v>5</v>
      </c>
      <c r="G2141" s="3">
        <f>IFERROR(E2141/F2141,0)</f>
        <v/>
      </c>
      <c r="H2141" s="3" t="n">
        <v>1</v>
      </c>
      <c r="I2141" s="2" t="n">
        <v>1</v>
      </c>
      <c r="J2141" s="3">
        <f>IFERROR(E2141/H2141,0)</f>
        <v/>
      </c>
      <c r="K2141" s="10">
        <f>E2141/'По разделам'!$B$21</f>
        <v/>
      </c>
      <c r="L2141" s="4">
        <f>L2140+K2141</f>
        <v/>
      </c>
      <c r="M2141" s="2" t="inlineStr">
        <is>
          <t>05464</t>
        </is>
      </c>
      <c r="N2141" s="2" t="inlineStr">
        <is>
          <t>https://app.redstat.kz/niche/05464?event_date=2026-08-01</t>
        </is>
      </c>
      <c r="O2141" s="2" t="inlineStr">
        <is>
          <t>https://kaspi.kz/shop/c/magnetic%20trays%20and%20plates/</t>
        </is>
      </c>
    </row>
    <row r="2142">
      <c r="A2142" s="2" t="n">
        <v>2141</v>
      </c>
      <c r="B2142" s="2" t="inlineStr">
        <is>
          <t>Электрические вспениватели молока</t>
        </is>
      </c>
      <c r="C2142" s="2" t="inlineStr">
        <is>
          <t>Бытовая техника</t>
        </is>
      </c>
      <c r="D2142" s="2" t="inlineStr">
        <is>
          <t>Бытовая техника → Мелкая техника для кухни → Кофемашины и кофеварки → Электрические вспениватели молока</t>
        </is>
      </c>
      <c r="E2142" s="3" t="n">
        <v>7289</v>
      </c>
      <c r="F2142" s="3" t="n">
        <v>2</v>
      </c>
      <c r="G2142" s="3">
        <f>IFERROR(E2142/F2142,0)</f>
        <v/>
      </c>
      <c r="H2142" s="3" t="n">
        <v>2</v>
      </c>
      <c r="I2142" s="2" t="n">
        <v>1</v>
      </c>
      <c r="J2142" s="3">
        <f>IFERROR(E2142/H2142,0)</f>
        <v/>
      </c>
      <c r="K2142" s="10">
        <f>E2142/'По разделам'!$B$21</f>
        <v/>
      </c>
      <c r="L2142" s="4">
        <f>L2141+K2142</f>
        <v/>
      </c>
      <c r="M2142" s="2" t="inlineStr">
        <is>
          <t>03494</t>
        </is>
      </c>
      <c r="N2142" s="2" t="inlineStr">
        <is>
          <t>https://app.redstat.kz/niche/03494?event_date=2026-08-01</t>
        </is>
      </c>
      <c r="O2142" s="2" t="inlineStr">
        <is>
          <t>https://kaspi.kz/shop/c/milk%20frothers/</t>
        </is>
      </c>
    </row>
    <row r="2143">
      <c r="A2143" s="2" t="n">
        <v>2142</v>
      </c>
      <c r="B2143" s="2" t="inlineStr">
        <is>
          <t>Декоративная посуда</t>
        </is>
      </c>
      <c r="C2143" s="2" t="inlineStr">
        <is>
          <t>Товары для дома и дачи</t>
        </is>
      </c>
      <c r="D2143" s="2" t="inlineStr">
        <is>
          <t>Товары для дома и дачи → Интерьер → Оформление интерьера → Декоративная посуда</t>
        </is>
      </c>
      <c r="E2143" s="3" t="n">
        <v>7278</v>
      </c>
      <c r="F2143" s="3" t="n">
        <v>4</v>
      </c>
      <c r="G2143" s="3">
        <f>IFERROR(E2143/F2143,0)</f>
        <v/>
      </c>
      <c r="H2143" s="3" t="n">
        <v>2</v>
      </c>
      <c r="I2143" s="2" t="n">
        <v>0</v>
      </c>
      <c r="J2143" s="3">
        <f>IFERROR(E2143/H2143,0)</f>
        <v/>
      </c>
      <c r="K2143" s="10">
        <f>E2143/'По разделам'!$B$21</f>
        <v/>
      </c>
      <c r="L2143" s="4">
        <f>L2142+K2143</f>
        <v/>
      </c>
      <c r="M2143" s="2" t="inlineStr">
        <is>
          <t>06458</t>
        </is>
      </c>
      <c r="N2143" s="2" t="inlineStr">
        <is>
          <t>https://app.redstat.kz/niche/06458?event_date=2026-08-01</t>
        </is>
      </c>
      <c r="O2143" s="2" t="inlineStr">
        <is>
          <t>https://kaspi.kz/shop/c/decorative%20utensils/</t>
        </is>
      </c>
    </row>
    <row r="2144">
      <c r="A2144" s="2" t="n">
        <v>2143</v>
      </c>
      <c r="B2144" s="2" t="inlineStr">
        <is>
          <t>Шпалеры и опоры для растений</t>
        </is>
      </c>
      <c r="C2144" s="2" t="inlineStr">
        <is>
          <t>Товары для дома и дачи</t>
        </is>
      </c>
      <c r="D2144" s="2" t="inlineStr">
        <is>
          <t>Товары для дома и дачи → Дача, сад и огород → Садовый декор → Шпалеры и опоры для растений</t>
        </is>
      </c>
      <c r="E2144" s="3" t="n">
        <v>7202</v>
      </c>
      <c r="F2144" s="3" t="n">
        <v>7</v>
      </c>
      <c r="G2144" s="3">
        <f>IFERROR(E2144/F2144,0)</f>
        <v/>
      </c>
      <c r="H2144" s="3" t="n">
        <v>4</v>
      </c>
      <c r="I2144" s="2" t="n">
        <v>1</v>
      </c>
      <c r="J2144" s="3">
        <f>IFERROR(E2144/H2144,0)</f>
        <v/>
      </c>
      <c r="K2144" s="10">
        <f>E2144/'По разделам'!$B$21</f>
        <v/>
      </c>
      <c r="L2144" s="4">
        <f>L2143+K2144</f>
        <v/>
      </c>
      <c r="M2144" s="2" t="inlineStr">
        <is>
          <t>04035</t>
        </is>
      </c>
      <c r="N2144" s="2" t="inlineStr">
        <is>
          <t>https://app.redstat.kz/niche/04035?event_date=2026-08-01</t>
        </is>
      </c>
      <c r="O2144" s="2" t="inlineStr">
        <is>
          <t>https://kaspi.kz/shop/c/trellis%20and%20plant%20supports/</t>
        </is>
      </c>
    </row>
    <row r="2145">
      <c r="A2145" s="2" t="n">
        <v>2144</v>
      </c>
      <c r="B2145" s="2" t="inlineStr">
        <is>
          <t>Таблички для дома</t>
        </is>
      </c>
      <c r="C2145" s="2" t="inlineStr">
        <is>
          <t>Товары для дома и дачи</t>
        </is>
      </c>
      <c r="D2145" s="2" t="inlineStr">
        <is>
          <t>Товары для дома и дачи → Интерьер → Оформление интерьера → Таблички для дома</t>
        </is>
      </c>
      <c r="E2145" s="3" t="n">
        <v>7200</v>
      </c>
      <c r="F2145" s="3" t="n">
        <v>2</v>
      </c>
      <c r="G2145" s="3">
        <f>IFERROR(E2145/F2145,0)</f>
        <v/>
      </c>
      <c r="H2145" s="3" t="n">
        <v>1</v>
      </c>
      <c r="I2145" s="2" t="n">
        <v>1</v>
      </c>
      <c r="J2145" s="3">
        <f>IFERROR(E2145/H2145,0)</f>
        <v/>
      </c>
      <c r="K2145" s="10">
        <f>E2145/'По разделам'!$B$21</f>
        <v/>
      </c>
      <c r="L2145" s="4">
        <f>L2144+K2145</f>
        <v/>
      </c>
      <c r="M2145" s="2" t="inlineStr">
        <is>
          <t>05890</t>
        </is>
      </c>
      <c r="N2145" s="2" t="inlineStr">
        <is>
          <t>https://app.redstat.kz/niche/05890?event_date=2026-08-01</t>
        </is>
      </c>
      <c r="O2145" s="2" t="inlineStr">
        <is>
          <t>https://kaspi.kz/shop/c/interior%20plates%20for%20home/</t>
        </is>
      </c>
    </row>
    <row r="2146">
      <c r="A2146" s="2" t="n">
        <v>2145</v>
      </c>
      <c r="B2146" s="2" t="inlineStr">
        <is>
          <t>Насадки для электроинструмента</t>
        </is>
      </c>
      <c r="C2146" s="2" t="inlineStr">
        <is>
          <t>Строительство, ремонт</t>
        </is>
      </c>
      <c r="D2146" s="2" t="inlineStr">
        <is>
          <t>Строительство, ремонт → Инструменты → Оснастка и расходники для инструмента → Насадки для электроинструмента</t>
        </is>
      </c>
      <c r="E2146" s="3" t="n">
        <v>7120</v>
      </c>
      <c r="F2146" s="3" t="n">
        <v>11</v>
      </c>
      <c r="G2146" s="3">
        <f>IFERROR(E2146/F2146,0)</f>
        <v/>
      </c>
      <c r="H2146" s="3" t="n">
        <v>4</v>
      </c>
      <c r="I2146" s="2" t="n">
        <v>2</v>
      </c>
      <c r="J2146" s="3">
        <f>IFERROR(E2146/H2146,0)</f>
        <v/>
      </c>
      <c r="K2146" s="10">
        <f>E2146/'По разделам'!$B$21</f>
        <v/>
      </c>
      <c r="L2146" s="4">
        <f>L2145+K2146</f>
        <v/>
      </c>
      <c r="M2146" s="2" t="inlineStr">
        <is>
          <t>05467</t>
        </is>
      </c>
      <c r="N2146" s="2" t="inlineStr">
        <is>
          <t>https://app.redstat.kz/niche/05467?event_date=2026-08-01</t>
        </is>
      </c>
      <c r="O2146" s="2" t="inlineStr">
        <is>
          <t>https://kaspi.kz/shop/c/power%20tool%20nozzles/</t>
        </is>
      </c>
    </row>
    <row r="2147">
      <c r="A2147" s="2" t="n">
        <v>2146</v>
      </c>
      <c r="B2147" s="2" t="inlineStr">
        <is>
          <t>Аксессуары для беспроводного оборудования</t>
        </is>
      </c>
      <c r="C2147" s="2" t="inlineStr">
        <is>
          <t>Компьютеры</t>
        </is>
      </c>
      <c r="D2147" s="2" t="inlineStr">
        <is>
          <t>Компьютеры → Сетевое оборудование → Другое сетевое оборудование → Аксессуары для беспроводного оборудования</t>
        </is>
      </c>
      <c r="E2147" s="3" t="n">
        <v>7000</v>
      </c>
      <c r="F2147" s="3" t="n">
        <v>1</v>
      </c>
      <c r="G2147" s="3">
        <f>IFERROR(E2147/F2147,0)</f>
        <v/>
      </c>
      <c r="H2147" s="3" t="n">
        <v>1</v>
      </c>
      <c r="I2147" s="2" t="n">
        <v>0</v>
      </c>
      <c r="J2147" s="3">
        <f>IFERROR(E2147/H2147,0)</f>
        <v/>
      </c>
      <c r="K2147" s="10">
        <f>E2147/'По разделам'!$B$21</f>
        <v/>
      </c>
      <c r="L2147" s="4">
        <f>L2146+K2147</f>
        <v/>
      </c>
      <c r="M2147" s="2" t="inlineStr">
        <is>
          <t>09255</t>
        </is>
      </c>
      <c r="N2147" s="2" t="inlineStr">
        <is>
          <t>https://app.redstat.kz/niche/09255?event_date=2026-08-01</t>
        </is>
      </c>
      <c r="O2147" s="2" t="inlineStr">
        <is>
          <t>https://kaspi.kz/shop/c/accessories%20for%20wireless%20equipment/</t>
        </is>
      </c>
    </row>
    <row r="2148">
      <c r="A2148" s="2" t="n">
        <v>2147</v>
      </c>
      <c r="B2148" s="2" t="inlineStr">
        <is>
          <t>Колеса для йоги</t>
        </is>
      </c>
      <c r="C2148" s="2" t="inlineStr">
        <is>
          <t>Спорт, туризм</t>
        </is>
      </c>
      <c r="D2148" s="2" t="inlineStr">
        <is>
          <t>Спорт, туризм → Йога и пилатес → Колеса для йоги</t>
        </is>
      </c>
      <c r="E2148" s="3" t="n">
        <v>6990</v>
      </c>
      <c r="F2148" s="3" t="n">
        <v>1</v>
      </c>
      <c r="G2148" s="3">
        <f>IFERROR(E2148/F2148,0)</f>
        <v/>
      </c>
      <c r="H2148" s="3" t="n">
        <v>1</v>
      </c>
      <c r="I2148" s="2" t="n">
        <v>1</v>
      </c>
      <c r="J2148" s="3">
        <f>IFERROR(E2148/H2148,0)</f>
        <v/>
      </c>
      <c r="K2148" s="10">
        <f>E2148/'По разделам'!$B$21</f>
        <v/>
      </c>
      <c r="L2148" s="4">
        <f>L2147+K2148</f>
        <v/>
      </c>
      <c r="M2148" s="2" t="inlineStr">
        <is>
          <t>07269</t>
        </is>
      </c>
      <c r="N2148" s="2" t="inlineStr">
        <is>
          <t>https://app.redstat.kz/niche/07269?event_date=2026-08-01</t>
        </is>
      </c>
      <c r="O2148" s="2" t="inlineStr">
        <is>
          <t>https://kaspi.kz/shop/c/yoga%20wheels/</t>
        </is>
      </c>
    </row>
    <row r="2149">
      <c r="A2149" s="2" t="n">
        <v>2148</v>
      </c>
      <c r="B2149" s="2" t="inlineStr">
        <is>
          <t>Принадлежности для бутылок</t>
        </is>
      </c>
      <c r="C2149" s="2" t="inlineStr">
        <is>
          <t>Товары для дома и дачи</t>
        </is>
      </c>
      <c r="D2149" s="2" t="inlineStr">
        <is>
          <t>Товары для дома и дачи → Посуда и принадлежности → Барные принадлежности → Принадлежности для бутылок</t>
        </is>
      </c>
      <c r="E2149" s="3" t="n">
        <v>6931</v>
      </c>
      <c r="F2149" s="3" t="n">
        <v>5</v>
      </c>
      <c r="G2149" s="3">
        <f>IFERROR(E2149/F2149,0)</f>
        <v/>
      </c>
      <c r="H2149" s="3" t="n">
        <v>3</v>
      </c>
      <c r="I2149" s="2" t="n">
        <v>1</v>
      </c>
      <c r="J2149" s="3">
        <f>IFERROR(E2149/H2149,0)</f>
        <v/>
      </c>
      <c r="K2149" s="10">
        <f>E2149/'По разделам'!$B$21</f>
        <v/>
      </c>
      <c r="L2149" s="4">
        <f>L2148+K2149</f>
        <v/>
      </c>
      <c r="M2149" s="2" t="inlineStr">
        <is>
          <t>03814</t>
        </is>
      </c>
      <c r="N2149" s="2" t="inlineStr">
        <is>
          <t>https://app.redstat.kz/niche/03814?event_date=2026-08-01</t>
        </is>
      </c>
      <c r="O2149" s="2" t="inlineStr">
        <is>
          <t>https://kaspi.kz/shop/c/bottle%20accessories/</t>
        </is>
      </c>
    </row>
    <row r="2150">
      <c r="A2150" s="2" t="n">
        <v>2149</v>
      </c>
      <c r="B2150" s="2" t="inlineStr">
        <is>
          <t>Диспенсеры для кухни</t>
        </is>
      </c>
      <c r="C2150" s="2" t="inlineStr">
        <is>
          <t>Товары для дома и дачи</t>
        </is>
      </c>
      <c r="D2150" s="2" t="inlineStr">
        <is>
          <t>Товары для дома и дачи → Посуда и принадлежности → Кухонные принадлежности → Диспенсеры для кухни</t>
        </is>
      </c>
      <c r="E2150" s="3" t="n">
        <v>6900</v>
      </c>
      <c r="F2150" s="3" t="n">
        <v>1</v>
      </c>
      <c r="G2150" s="3">
        <f>IFERROR(E2150/F2150,0)</f>
        <v/>
      </c>
      <c r="H2150" s="3" t="n">
        <v>1</v>
      </c>
      <c r="I2150" s="2" t="n">
        <v>1</v>
      </c>
      <c r="J2150" s="3">
        <f>IFERROR(E2150/H2150,0)</f>
        <v/>
      </c>
      <c r="K2150" s="10">
        <f>E2150/'По разделам'!$B$21</f>
        <v/>
      </c>
      <c r="L2150" s="4">
        <f>L2149+K2150</f>
        <v/>
      </c>
      <c r="M2150" s="2" t="inlineStr">
        <is>
          <t>06127</t>
        </is>
      </c>
      <c r="N2150" s="2" t="inlineStr">
        <is>
          <t>https://app.redstat.kz/niche/06127?event_date=2026-08-01</t>
        </is>
      </c>
      <c r="O2150" s="2" t="inlineStr">
        <is>
          <t>https://kaspi.kz/shop/c/dispensers%20for%20the%20kitchen/</t>
        </is>
      </c>
    </row>
    <row r="2151">
      <c r="A2151" s="2" t="n">
        <v>2150</v>
      </c>
      <c r="B2151" s="2" t="inlineStr">
        <is>
          <t>Аксессуары для аромаламп и ароматических диффузоров</t>
        </is>
      </c>
      <c r="C2151" s="2" t="inlineStr">
        <is>
          <t>Товары для дома и дачи</t>
        </is>
      </c>
      <c r="D2151" s="2" t="inlineStr">
        <is>
          <t>Товары для дома и дачи → Интерьер → Парфюмерия для дома → Аксессуары для аромаламп и ароматических диффузоров</t>
        </is>
      </c>
      <c r="E2151" s="3" t="n">
        <v>6900</v>
      </c>
      <c r="F2151" s="3" t="n">
        <v>2</v>
      </c>
      <c r="G2151" s="3">
        <f>IFERROR(E2151/F2151,0)</f>
        <v/>
      </c>
      <c r="H2151" s="3" t="n">
        <v>1</v>
      </c>
      <c r="I2151" s="2" t="n">
        <v>1</v>
      </c>
      <c r="J2151" s="3">
        <f>IFERROR(E2151/H2151,0)</f>
        <v/>
      </c>
      <c r="K2151" s="10">
        <f>E2151/'По разделам'!$B$21</f>
        <v/>
      </c>
      <c r="L2151" s="4">
        <f>L2150+K2151</f>
        <v/>
      </c>
      <c r="M2151" s="2" t="inlineStr">
        <is>
          <t>06665</t>
        </is>
      </c>
      <c r="N2151" s="2" t="inlineStr">
        <is>
          <t>https://app.redstat.kz/niche/06665?event_date=2026-08-01</t>
        </is>
      </c>
      <c r="O2151" s="2" t="inlineStr">
        <is>
          <t>https://kaspi.kz/shop/c/accessories%20for%20aroma%20lamps%20and%20aroma%20diffusers/</t>
        </is>
      </c>
    </row>
    <row r="2152">
      <c r="A2152" s="2" t="n">
        <v>2151</v>
      </c>
      <c r="B2152" s="2" t="inlineStr">
        <is>
          <t>Аксессуары для швабр и уборочных тележек</t>
        </is>
      </c>
      <c r="C2152" s="2" t="inlineStr">
        <is>
          <t>Товары для дома и дачи</t>
        </is>
      </c>
      <c r="D2152" s="2" t="inlineStr">
        <is>
          <t>Товары для дома и дачи → Хозяйственные товары → Инвентарь для уборки → Аксессуары для швабр и уборочных тележек</t>
        </is>
      </c>
      <c r="E2152" s="3" t="n">
        <v>6600</v>
      </c>
      <c r="F2152" s="3" t="n">
        <v>1</v>
      </c>
      <c r="G2152" s="3">
        <f>IFERROR(E2152/F2152,0)</f>
        <v/>
      </c>
      <c r="H2152" s="3" t="n">
        <v>1</v>
      </c>
      <c r="I2152" s="2" t="n">
        <v>1</v>
      </c>
      <c r="J2152" s="3">
        <f>IFERROR(E2152/H2152,0)</f>
        <v/>
      </c>
      <c r="K2152" s="10">
        <f>E2152/'По разделам'!$B$21</f>
        <v/>
      </c>
      <c r="L2152" s="4">
        <f>L2151+K2152</f>
        <v/>
      </c>
      <c r="M2152" s="2" t="inlineStr">
        <is>
          <t>05911</t>
        </is>
      </c>
      <c r="N2152" s="2" t="inlineStr">
        <is>
          <t>https://app.redstat.kz/niche/05911?event_date=2026-08-01</t>
        </is>
      </c>
      <c r="O2152" s="2" t="inlineStr">
        <is>
          <t>https://kaspi.kz/shop/c/mop%20accessories/</t>
        </is>
      </c>
    </row>
    <row r="2153">
      <c r="A2153" s="2" t="n">
        <v>2152</v>
      </c>
      <c r="B2153" s="2" t="inlineStr">
        <is>
          <t>Электрокипятильники погружные</t>
        </is>
      </c>
      <c r="C2153" s="2" t="inlineStr">
        <is>
          <t>Бытовая техника</t>
        </is>
      </c>
      <c r="D2153" s="2" t="inlineStr">
        <is>
          <t>Бытовая техника → Мелкая техника для кухни → Прочая кухонная техника → Электрокипятильники погружные</t>
        </is>
      </c>
      <c r="E2153" s="3" t="n">
        <v>6565</v>
      </c>
      <c r="F2153" s="3" t="n">
        <v>4</v>
      </c>
      <c r="G2153" s="3">
        <f>IFERROR(E2153/F2153,0)</f>
        <v/>
      </c>
      <c r="H2153" s="3" t="n">
        <v>3</v>
      </c>
      <c r="I2153" s="2" t="n">
        <v>2</v>
      </c>
      <c r="J2153" s="3">
        <f>IFERROR(E2153/H2153,0)</f>
        <v/>
      </c>
      <c r="K2153" s="10">
        <f>E2153/'По разделам'!$B$21</f>
        <v/>
      </c>
      <c r="L2153" s="4">
        <f>L2152+K2153</f>
        <v/>
      </c>
      <c r="M2153" s="2" t="inlineStr">
        <is>
          <t>05518</t>
        </is>
      </c>
      <c r="N2153" s="2" t="inlineStr">
        <is>
          <t>https://app.redstat.kz/niche/05518?event_date=2026-08-01</t>
        </is>
      </c>
      <c r="O2153" s="2" t="inlineStr">
        <is>
          <t>https://kaspi.kz/shop/c/submersible%20electric%20boilers/</t>
        </is>
      </c>
    </row>
    <row r="2154">
      <c r="A2154" s="2" t="n">
        <v>2153</v>
      </c>
      <c r="B2154" s="2" t="inlineStr">
        <is>
          <t>Мельницы</t>
        </is>
      </c>
      <c r="C2154" s="2" t="inlineStr">
        <is>
          <t>Товары для дома и дачи</t>
        </is>
      </c>
      <c r="D2154" s="2" t="inlineStr">
        <is>
          <t>Товары для дома и дачи → Посуда и принадлежности → Посуда для хранения продуктов → Мельницы</t>
        </is>
      </c>
      <c r="E2154" s="3" t="n">
        <v>6500</v>
      </c>
      <c r="F2154" s="3" t="n">
        <v>1</v>
      </c>
      <c r="G2154" s="3">
        <f>IFERROR(E2154/F2154,0)</f>
        <v/>
      </c>
      <c r="H2154" s="3" t="n">
        <v>1</v>
      </c>
      <c r="I2154" s="2" t="n">
        <v>1</v>
      </c>
      <c r="J2154" s="3">
        <f>IFERROR(E2154/H2154,0)</f>
        <v/>
      </c>
      <c r="K2154" s="10">
        <f>E2154/'По разделам'!$B$21</f>
        <v/>
      </c>
      <c r="L2154" s="4">
        <f>L2153+K2154</f>
        <v/>
      </c>
      <c r="M2154" s="2" t="inlineStr">
        <is>
          <t>05452</t>
        </is>
      </c>
      <c r="N2154" s="2" t="inlineStr">
        <is>
          <t>https://app.redstat.kz/niche/05452?event_date=2026-08-01</t>
        </is>
      </c>
      <c r="O2154" s="2" t="inlineStr">
        <is>
          <t>https://kaspi.kz/shop/c/hand%20mills/</t>
        </is>
      </c>
    </row>
    <row r="2155">
      <c r="A2155" s="2" t="n">
        <v>2154</v>
      </c>
      <c r="B2155" s="2" t="inlineStr">
        <is>
          <t>Интерьерные колокольчики и звонки</t>
        </is>
      </c>
      <c r="C2155" s="2" t="inlineStr">
        <is>
          <t>Товары для дома и дачи</t>
        </is>
      </c>
      <c r="D2155" s="2" t="inlineStr">
        <is>
          <t>Товары для дома и дачи → Интерьер → Оформление интерьера → Интерьерные колокольчики и звонки</t>
        </is>
      </c>
      <c r="E2155" s="3" t="n">
        <v>6490</v>
      </c>
      <c r="F2155" s="3" t="n">
        <v>3</v>
      </c>
      <c r="G2155" s="3">
        <f>IFERROR(E2155/F2155,0)</f>
        <v/>
      </c>
      <c r="H2155" s="3" t="n">
        <v>2</v>
      </c>
      <c r="I2155" s="2" t="n">
        <v>0</v>
      </c>
      <c r="J2155" s="3">
        <f>IFERROR(E2155/H2155,0)</f>
        <v/>
      </c>
      <c r="K2155" s="10">
        <f>E2155/'По разделам'!$B$21</f>
        <v/>
      </c>
      <c r="L2155" s="4">
        <f>L2154+K2155</f>
        <v/>
      </c>
      <c r="M2155" s="2" t="inlineStr">
        <is>
          <t>05950</t>
        </is>
      </c>
      <c r="N2155" s="2" t="inlineStr">
        <is>
          <t>https://app.redstat.kz/niche/05950?event_date=2026-08-01</t>
        </is>
      </c>
      <c r="O2155" s="2" t="inlineStr">
        <is>
          <t>https://kaspi.kz/shop/c/decorative%20bells/</t>
        </is>
      </c>
    </row>
    <row r="2156">
      <c r="A2156" s="2" t="n">
        <v>2155</v>
      </c>
      <c r="B2156" s="2" t="inlineStr">
        <is>
          <t>Пилки для электролобзиков</t>
        </is>
      </c>
      <c r="C2156" s="2" t="inlineStr">
        <is>
          <t>Строительство, ремонт</t>
        </is>
      </c>
      <c r="D2156" s="2" t="inlineStr">
        <is>
          <t>Строительство, ремонт → Инструменты → Оснастка и расходники для инструмента → Пилки для электролобзиков</t>
        </is>
      </c>
      <c r="E2156" s="3" t="n">
        <v>6480</v>
      </c>
      <c r="F2156" s="3" t="n">
        <v>6</v>
      </c>
      <c r="G2156" s="3">
        <f>IFERROR(E2156/F2156,0)</f>
        <v/>
      </c>
      <c r="H2156" s="3" t="n">
        <v>2</v>
      </c>
      <c r="I2156" s="2" t="n">
        <v>2</v>
      </c>
      <c r="J2156" s="3">
        <f>IFERROR(E2156/H2156,0)</f>
        <v/>
      </c>
      <c r="K2156" s="10">
        <f>E2156/'По разделам'!$B$21</f>
        <v/>
      </c>
      <c r="L2156" s="4">
        <f>L2155+K2156</f>
        <v/>
      </c>
      <c r="M2156" s="2" t="inlineStr">
        <is>
          <t>02162</t>
        </is>
      </c>
      <c r="N2156" s="2" t="inlineStr">
        <is>
          <t>https://app.redstat.kz/niche/02162?event_date=2026-08-01</t>
        </is>
      </c>
      <c r="O2156" s="2" t="inlineStr">
        <is>
          <t>https://kaspi.kz/shop/c/jig%20saw%20blades/</t>
        </is>
      </c>
    </row>
    <row r="2157">
      <c r="A2157" s="2" t="n">
        <v>2156</v>
      </c>
      <c r="B2157" s="2" t="inlineStr">
        <is>
          <t>Шканты и стяжки мебельные</t>
        </is>
      </c>
      <c r="C2157" s="2" t="inlineStr">
        <is>
          <t>Мебель</t>
        </is>
      </c>
      <c r="D2157" s="2" t="inlineStr">
        <is>
          <t>Мебель → Фурнитура и комплектующие для мебели → Крепеж для мебели → Шканты и стяжки мебельные</t>
        </is>
      </c>
      <c r="E2157" s="3" t="n">
        <v>6404</v>
      </c>
      <c r="F2157" s="3" t="n">
        <v>7</v>
      </c>
      <c r="G2157" s="3">
        <f>IFERROR(E2157/F2157,0)</f>
        <v/>
      </c>
      <c r="H2157" s="3" t="n">
        <v>4</v>
      </c>
      <c r="I2157" s="2" t="n">
        <v>3</v>
      </c>
      <c r="J2157" s="3">
        <f>IFERROR(E2157/H2157,0)</f>
        <v/>
      </c>
      <c r="K2157" s="10">
        <f>E2157/'По разделам'!$B$21</f>
        <v/>
      </c>
      <c r="L2157" s="4">
        <f>L2156+K2157</f>
        <v/>
      </c>
      <c r="M2157" s="2" t="inlineStr">
        <is>
          <t>07370</t>
        </is>
      </c>
      <c r="N2157" s="2" t="inlineStr">
        <is>
          <t>https://app.redstat.kz/niche/07370?event_date=2026-08-01</t>
        </is>
      </c>
      <c r="O2157" s="2" t="inlineStr">
        <is>
          <t>https://kaspi.kz/shop/c/dowels%20and%20ties/</t>
        </is>
      </c>
    </row>
    <row r="2158">
      <c r="A2158" s="2" t="n">
        <v>2157</v>
      </c>
      <c r="B2158" s="2" t="inlineStr">
        <is>
          <t>Люверсы для штор</t>
        </is>
      </c>
      <c r="C2158" s="2" t="inlineStr">
        <is>
          <t>Товары для дома и дачи</t>
        </is>
      </c>
      <c r="D2158" s="2" t="inlineStr">
        <is>
          <t>Товары для дома и дачи → Домашний текстиль → Шторы и карнизы → Комплектующие для штор и жалюзи → Люверсы для штор</t>
        </is>
      </c>
      <c r="E2158" s="3" t="n">
        <v>6400</v>
      </c>
      <c r="F2158" s="3" t="n">
        <v>2</v>
      </c>
      <c r="G2158" s="3">
        <f>IFERROR(E2158/F2158,0)</f>
        <v/>
      </c>
      <c r="H2158" s="3" t="n">
        <v>2</v>
      </c>
      <c r="I2158" s="2" t="n">
        <v>1</v>
      </c>
      <c r="J2158" s="3">
        <f>IFERROR(E2158/H2158,0)</f>
        <v/>
      </c>
      <c r="K2158" s="10">
        <f>E2158/'По разделам'!$B$21</f>
        <v/>
      </c>
      <c r="L2158" s="4">
        <f>L2157+K2158</f>
        <v/>
      </c>
      <c r="M2158" s="2" t="inlineStr">
        <is>
          <t>06304</t>
        </is>
      </c>
      <c r="N2158" s="2" t="inlineStr">
        <is>
          <t>https://app.redstat.kz/niche/06304?event_date=2026-08-01</t>
        </is>
      </c>
      <c r="O2158" s="2" t="inlineStr">
        <is>
          <t>https://kaspi.kz/shop/c/eyelets%20for%20curtains/</t>
        </is>
      </c>
    </row>
    <row r="2159">
      <c r="A2159" s="2" t="n">
        <v>2158</v>
      </c>
      <c r="B2159" s="2" t="inlineStr">
        <is>
          <t>Рамки для выключателей и розеток</t>
        </is>
      </c>
      <c r="C2159" s="2" t="inlineStr">
        <is>
          <t>Строительство, ремонт</t>
        </is>
      </c>
      <c r="D2159" s="2" t="inlineStr">
        <is>
          <t>Строительство, ремонт → Электрика → Розетки и выключатели → Рамки для выключателей и розеток</t>
        </is>
      </c>
      <c r="E2159" s="3" t="n">
        <v>6214</v>
      </c>
      <c r="F2159" s="3" t="n">
        <v>9</v>
      </c>
      <c r="G2159" s="3">
        <f>IFERROR(E2159/F2159,0)</f>
        <v/>
      </c>
      <c r="H2159" s="3" t="n">
        <v>4</v>
      </c>
      <c r="I2159" s="2" t="n">
        <v>3</v>
      </c>
      <c r="J2159" s="3">
        <f>IFERROR(E2159/H2159,0)</f>
        <v/>
      </c>
      <c r="K2159" s="10">
        <f>E2159/'По разделам'!$B$21</f>
        <v/>
      </c>
      <c r="L2159" s="4">
        <f>L2158+K2159</f>
        <v/>
      </c>
      <c r="M2159" s="2" t="inlineStr">
        <is>
          <t>03671</t>
        </is>
      </c>
      <c r="N2159" s="2" t="inlineStr">
        <is>
          <t>https://app.redstat.kz/niche/03671?event_date=2026-08-01</t>
        </is>
      </c>
      <c r="O2159" s="2" t="inlineStr">
        <is>
          <t>https://kaspi.kz/shop/c/frames%20for%20switches/</t>
        </is>
      </c>
    </row>
    <row r="2160">
      <c r="A2160" s="2" t="n">
        <v>2159</v>
      </c>
      <c r="B2160" s="2" t="inlineStr">
        <is>
          <t>Декоративные наполнители</t>
        </is>
      </c>
      <c r="C2160" s="2" t="inlineStr">
        <is>
          <t>Товары для дома и дачи</t>
        </is>
      </c>
      <c r="D2160" s="2" t="inlineStr">
        <is>
          <t>Товары для дома и дачи → Интерьер → Растения, деревья, вазы и горшки → Декоративные наполнители</t>
        </is>
      </c>
      <c r="E2160" s="3" t="n">
        <v>6195</v>
      </c>
      <c r="F2160" s="3" t="n">
        <v>2</v>
      </c>
      <c r="G2160" s="3">
        <f>IFERROR(E2160/F2160,0)</f>
        <v/>
      </c>
      <c r="H2160" s="3" t="n">
        <v>2</v>
      </c>
      <c r="I2160" s="2" t="n">
        <v>0</v>
      </c>
      <c r="J2160" s="3">
        <f>IFERROR(E2160/H2160,0)</f>
        <v/>
      </c>
      <c r="K2160" s="10">
        <f>E2160/'По разделам'!$B$21</f>
        <v/>
      </c>
      <c r="L2160" s="4">
        <f>L2159+K2160</f>
        <v/>
      </c>
      <c r="M2160" s="2" t="inlineStr">
        <is>
          <t>06795</t>
        </is>
      </c>
      <c r="N2160" s="2" t="inlineStr">
        <is>
          <t>https://app.redstat.kz/niche/06795?event_date=2026-08-01</t>
        </is>
      </c>
      <c r="O2160" s="2" t="inlineStr">
        <is>
          <t>https://kaspi.kz/shop/c/decorative%20fillers/</t>
        </is>
      </c>
    </row>
    <row r="2161">
      <c r="A2161" s="2" t="n">
        <v>2160</v>
      </c>
      <c r="B2161" s="2" t="inlineStr">
        <is>
          <t>Мультиварки</t>
        </is>
      </c>
      <c r="C2161" s="2" t="inlineStr">
        <is>
          <t>Бытовая техника</t>
        </is>
      </c>
      <c r="D2161" s="2" t="inlineStr">
        <is>
          <t>Бытовая техника → Мелкая техника для кухни → Мультиварки и техника для варки → Мультиварки</t>
        </is>
      </c>
      <c r="E2161" s="3" t="n">
        <v>6000</v>
      </c>
      <c r="F2161" s="3" t="n">
        <v>1</v>
      </c>
      <c r="G2161" s="3">
        <f>IFERROR(E2161/F2161,0)</f>
        <v/>
      </c>
      <c r="H2161" s="3" t="n">
        <v>1</v>
      </c>
      <c r="I2161" s="2" t="n">
        <v>0</v>
      </c>
      <c r="J2161" s="3">
        <f>IFERROR(E2161/H2161,0)</f>
        <v/>
      </c>
      <c r="K2161" s="10">
        <f>E2161/'По разделам'!$B$21</f>
        <v/>
      </c>
      <c r="L2161" s="4">
        <f>L2160+K2161</f>
        <v/>
      </c>
      <c r="M2161" s="2" t="inlineStr">
        <is>
          <t>03509</t>
        </is>
      </c>
      <c r="N2161" s="2" t="inlineStr">
        <is>
          <t>https://app.redstat.kz/niche/03509?event_date=2026-08-01</t>
        </is>
      </c>
      <c r="O2161" s="2" t="inlineStr">
        <is>
          <t>https://kaspi.kz/shop/c/multicookings/</t>
        </is>
      </c>
    </row>
    <row r="2162">
      <c r="A2162" s="2" t="n">
        <v>2161</v>
      </c>
      <c r="B2162" s="2" t="inlineStr">
        <is>
          <t>Косметика и аксессуары для бровей и ресниц</t>
        </is>
      </c>
      <c r="C2162" s="2" t="inlineStr">
        <is>
          <t>Красота и здоровье</t>
        </is>
      </c>
      <c r="D2162" s="2" t="inlineStr">
        <is>
          <t>Красота и здоровье → Косметика и аксессуары для бровей и ресниц → Косметика и аксессуары для бровей и ресниц</t>
        </is>
      </c>
      <c r="E2162" s="3" t="n">
        <v>6000</v>
      </c>
      <c r="F2162" s="3" t="n">
        <v>2</v>
      </c>
      <c r="G2162" s="3">
        <f>IFERROR(E2162/F2162,0)</f>
        <v/>
      </c>
      <c r="H2162" s="3" t="n">
        <v>1</v>
      </c>
      <c r="I2162" s="2" t="n">
        <v>1</v>
      </c>
      <c r="J2162" s="3">
        <f>IFERROR(E2162/H2162,0)</f>
        <v/>
      </c>
      <c r="K2162" s="10">
        <f>E2162/'По разделам'!$B$21</f>
        <v/>
      </c>
      <c r="L2162" s="4">
        <f>L2161+K2162</f>
        <v/>
      </c>
      <c r="M2162" s="2" t="inlineStr">
        <is>
          <t>q24fce11a9b6445a</t>
        </is>
      </c>
      <c r="N2162" s="2" t="inlineStr">
        <is>
          <t>https://app.redstat.kz/niche/q24fce11a9b6445a?event_date=2026-08-01</t>
        </is>
      </c>
      <c r="O2162" s="2" t="inlineStr"/>
    </row>
    <row r="2163">
      <c r="A2163" s="2" t="n">
        <v>2162</v>
      </c>
      <c r="B2163" s="2" t="inlineStr">
        <is>
          <t>Наклейки на клавиатуру</t>
        </is>
      </c>
      <c r="C2163" s="2" t="inlineStr">
        <is>
          <t>Компьютеры</t>
        </is>
      </c>
      <c r="D2163" s="2" t="inlineStr">
        <is>
          <t>Компьютеры → Периферия → Другая периферия → Наклейки на клавиатуру</t>
        </is>
      </c>
      <c r="E2163" s="3" t="n">
        <v>5994</v>
      </c>
      <c r="F2163" s="3" t="n">
        <v>2</v>
      </c>
      <c r="G2163" s="3">
        <f>IFERROR(E2163/F2163,0)</f>
        <v/>
      </c>
      <c r="H2163" s="3" t="n">
        <v>2</v>
      </c>
      <c r="I2163" s="2" t="n">
        <v>0</v>
      </c>
      <c r="J2163" s="3">
        <f>IFERROR(E2163/H2163,0)</f>
        <v/>
      </c>
      <c r="K2163" s="10">
        <f>E2163/'По разделам'!$B$21</f>
        <v/>
      </c>
      <c r="L2163" s="4">
        <f>L2162+K2163</f>
        <v/>
      </c>
      <c r="M2163" s="2" t="inlineStr">
        <is>
          <t>04177</t>
        </is>
      </c>
      <c r="N2163" s="2" t="inlineStr">
        <is>
          <t>https://app.redstat.kz/niche/04177?event_date=2026-08-01</t>
        </is>
      </c>
      <c r="O2163" s="2" t="inlineStr">
        <is>
          <t>https://kaspi.kz/shop/c/keyboard%20stickers/</t>
        </is>
      </c>
    </row>
    <row r="2164">
      <c r="A2164" s="2" t="n">
        <v>2163</v>
      </c>
      <c r="B2164" s="2" t="inlineStr">
        <is>
          <t>Безмены</t>
        </is>
      </c>
      <c r="C2164" s="2" t="inlineStr">
        <is>
          <t>Бытовая техника</t>
        </is>
      </c>
      <c r="D2164" s="2" t="inlineStr">
        <is>
          <t>Бытовая техника → Мелкая техника для кухни → Прочая кухонная техника → Безмены</t>
        </is>
      </c>
      <c r="E2164" s="3" t="n">
        <v>5950</v>
      </c>
      <c r="F2164" s="3" t="n">
        <v>1</v>
      </c>
      <c r="G2164" s="3">
        <f>IFERROR(E2164/F2164,0)</f>
        <v/>
      </c>
      <c r="H2164" s="3" t="n">
        <v>1</v>
      </c>
      <c r="I2164" s="2" t="n">
        <v>1</v>
      </c>
      <c r="J2164" s="3">
        <f>IFERROR(E2164/H2164,0)</f>
        <v/>
      </c>
      <c r="K2164" s="10">
        <f>E2164/'По разделам'!$B$21</f>
        <v/>
      </c>
      <c r="L2164" s="4">
        <f>L2163+K2164</f>
        <v/>
      </c>
      <c r="M2164" s="2" t="inlineStr">
        <is>
          <t>04651</t>
        </is>
      </c>
      <c r="N2164" s="2" t="inlineStr">
        <is>
          <t>https://app.redstat.kz/niche/04651?event_date=2026-08-01</t>
        </is>
      </c>
      <c r="O2164" s="2" t="inlineStr">
        <is>
          <t>https://kaspi.kz/shop/c/luggage%20scales/</t>
        </is>
      </c>
    </row>
    <row r="2165">
      <c r="A2165" s="2" t="n">
        <v>2164</v>
      </c>
      <c r="B2165" s="2" t="inlineStr">
        <is>
          <t>Малярные ванночки и кюветы</t>
        </is>
      </c>
      <c r="C2165" s="2" t="inlineStr">
        <is>
          <t>Строительство, ремонт</t>
        </is>
      </c>
      <c r="D2165" s="2" t="inlineStr">
        <is>
          <t>Строительство, ремонт → Ручные инструменты → Штукатурные и малярные инструменты → Малярные ванночки и кюветы</t>
        </is>
      </c>
      <c r="E2165" s="3" t="n">
        <v>5920</v>
      </c>
      <c r="F2165" s="3" t="n">
        <v>12</v>
      </c>
      <c r="G2165" s="3">
        <f>IFERROR(E2165/F2165,0)</f>
        <v/>
      </c>
      <c r="H2165" s="3" t="n">
        <v>3</v>
      </c>
      <c r="I2165" s="2" t="n">
        <v>2</v>
      </c>
      <c r="J2165" s="3">
        <f>IFERROR(E2165/H2165,0)</f>
        <v/>
      </c>
      <c r="K2165" s="10">
        <f>E2165/'По разделам'!$B$21</f>
        <v/>
      </c>
      <c r="L2165" s="4">
        <f>L2164+K2165</f>
        <v/>
      </c>
      <c r="M2165" s="2" t="inlineStr">
        <is>
          <t>06467</t>
        </is>
      </c>
      <c r="N2165" s="2" t="inlineStr">
        <is>
          <t>https://app.redstat.kz/niche/06467?event_date=2026-08-01</t>
        </is>
      </c>
      <c r="O2165" s="2" t="inlineStr">
        <is>
          <t>https://kaspi.kz/shop/c/paint%20baths%20and%20cuvettes/</t>
        </is>
      </c>
    </row>
    <row r="2166">
      <c r="A2166" s="2" t="n">
        <v>2165</v>
      </c>
      <c r="B2166" s="2" t="inlineStr">
        <is>
          <t>Подушки для кувырков</t>
        </is>
      </c>
      <c r="C2166" s="2" t="inlineStr">
        <is>
          <t>Спорт, туризм</t>
        </is>
      </c>
      <c r="D2166" s="2" t="inlineStr">
        <is>
          <t>Спорт, туризм → Художественная гимнастика и танцы → Подушки для кувырков</t>
        </is>
      </c>
      <c r="E2166" s="3" t="n">
        <v>5900</v>
      </c>
      <c r="F2166" s="3" t="n">
        <v>1</v>
      </c>
      <c r="G2166" s="3">
        <f>IFERROR(E2166/F2166,0)</f>
        <v/>
      </c>
      <c r="H2166" s="3" t="n">
        <v>1</v>
      </c>
      <c r="I2166" s="2" t="n">
        <v>1</v>
      </c>
      <c r="J2166" s="3">
        <f>IFERROR(E2166/H2166,0)</f>
        <v/>
      </c>
      <c r="K2166" s="10">
        <f>E2166/'По разделам'!$B$21</f>
        <v/>
      </c>
      <c r="L2166" s="4">
        <f>L2165+K2166</f>
        <v/>
      </c>
      <c r="M2166" s="2" t="inlineStr">
        <is>
          <t>05778</t>
        </is>
      </c>
      <c r="N2166" s="2" t="inlineStr">
        <is>
          <t>https://app.redstat.kz/niche/05778?event_date=2026-08-01</t>
        </is>
      </c>
      <c r="O2166" s="2" t="inlineStr">
        <is>
          <t>https://kaspi.kz/shop/c/roll%20pillows%20for%20rhythmic%20gymnastics/</t>
        </is>
      </c>
    </row>
    <row r="2167">
      <c r="A2167" s="2" t="n">
        <v>2166</v>
      </c>
      <c r="B2167" s="2" t="inlineStr">
        <is>
          <t>Контроллеры для светодиодов</t>
        </is>
      </c>
      <c r="C2167" s="2" t="inlineStr">
        <is>
          <t>Товары для дома и дачи</t>
        </is>
      </c>
      <c r="D2167" s="2" t="inlineStr">
        <is>
          <t>Товары для дома и дачи → Освещение → Комплектующие и аксессуары для освещения → Контроллеры для светодиодов</t>
        </is>
      </c>
      <c r="E2167" s="3" t="n">
        <v>5850</v>
      </c>
      <c r="F2167" s="3" t="n">
        <v>1</v>
      </c>
      <c r="G2167" s="3">
        <f>IFERROR(E2167/F2167,0)</f>
        <v/>
      </c>
      <c r="H2167" s="3" t="n">
        <v>1</v>
      </c>
      <c r="I2167" s="2" t="n">
        <v>0</v>
      </c>
      <c r="J2167" s="3">
        <f>IFERROR(E2167/H2167,0)</f>
        <v/>
      </c>
      <c r="K2167" s="10">
        <f>E2167/'По разделам'!$B$21</f>
        <v/>
      </c>
      <c r="L2167" s="4">
        <f>L2166+K2167</f>
        <v/>
      </c>
      <c r="M2167" s="2" t="inlineStr">
        <is>
          <t>04331</t>
        </is>
      </c>
      <c r="N2167" s="2" t="inlineStr">
        <is>
          <t>https://app.redstat.kz/niche/04331?event_date=2026-08-01</t>
        </is>
      </c>
      <c r="O2167" s="2" t="inlineStr">
        <is>
          <t>https://kaspi.kz/shop/c/led%20controllers/</t>
        </is>
      </c>
    </row>
    <row r="2168">
      <c r="A2168" s="2" t="n">
        <v>2167</v>
      </c>
      <c r="B2168" s="2" t="inlineStr">
        <is>
          <t>Клеммы для автомобильных аккумуляторов</t>
        </is>
      </c>
      <c r="C2168" s="2" t="inlineStr">
        <is>
          <t>Автотовары</t>
        </is>
      </c>
      <c r="D2168" s="2" t="inlineStr">
        <is>
          <t>Автотовары → Автозапчасти → Автоэлектрика → Клеммы для автомобильных аккумуляторов</t>
        </is>
      </c>
      <c r="E2168" s="3" t="n">
        <v>5840</v>
      </c>
      <c r="F2168" s="3" t="n">
        <v>8</v>
      </c>
      <c r="G2168" s="3">
        <f>IFERROR(E2168/F2168,0)</f>
        <v/>
      </c>
      <c r="H2168" s="3" t="n">
        <v>3</v>
      </c>
      <c r="I2168" s="2" t="n">
        <v>1</v>
      </c>
      <c r="J2168" s="3">
        <f>IFERROR(E2168/H2168,0)</f>
        <v/>
      </c>
      <c r="K2168" s="10">
        <f>E2168/'По разделам'!$B$21</f>
        <v/>
      </c>
      <c r="L2168" s="4">
        <f>L2167+K2168</f>
        <v/>
      </c>
      <c r="M2168" s="2" t="inlineStr">
        <is>
          <t>06809</t>
        </is>
      </c>
      <c r="N2168" s="2" t="inlineStr">
        <is>
          <t>https://app.redstat.kz/niche/06809?event_date=2026-08-01</t>
        </is>
      </c>
      <c r="O2168" s="2" t="inlineStr">
        <is>
          <t>https://kaspi.kz/shop/c/automotive%20terminals/</t>
        </is>
      </c>
    </row>
    <row r="2169">
      <c r="A2169" s="2" t="n">
        <v>2168</v>
      </c>
      <c r="B2169" s="2" t="inlineStr">
        <is>
          <t>Измерительные рулетки</t>
        </is>
      </c>
      <c r="C2169" s="2" t="inlineStr">
        <is>
          <t>Строительство, ремонт</t>
        </is>
      </c>
      <c r="D2169" s="2" t="inlineStr">
        <is>
          <t>Строительство, ремонт → Инструменты → Измерительные инструменты → Измерительные рулетки</t>
        </is>
      </c>
      <c r="E2169" s="3" t="n">
        <v>5590</v>
      </c>
      <c r="F2169" s="3" t="n">
        <v>7</v>
      </c>
      <c r="G2169" s="3">
        <f>IFERROR(E2169/F2169,0)</f>
        <v/>
      </c>
      <c r="H2169" s="3" t="n">
        <v>3</v>
      </c>
      <c r="I2169" s="2" t="n">
        <v>2</v>
      </c>
      <c r="J2169" s="3">
        <f>IFERROR(E2169/H2169,0)</f>
        <v/>
      </c>
      <c r="K2169" s="10">
        <f>E2169/'По разделам'!$B$21</f>
        <v/>
      </c>
      <c r="L2169" s="4">
        <f>L2168+K2169</f>
        <v/>
      </c>
      <c r="M2169" s="2" t="inlineStr">
        <is>
          <t>01392</t>
        </is>
      </c>
      <c r="N2169" s="2" t="inlineStr">
        <is>
          <t>https://app.redstat.kz/niche/01392?event_date=2026-08-01</t>
        </is>
      </c>
      <c r="O2169" s="2" t="inlineStr">
        <is>
          <t>https://kaspi.kz/shop/c/tape%20measures/</t>
        </is>
      </c>
    </row>
    <row r="2170">
      <c r="A2170" s="2" t="n">
        <v>2169</v>
      </c>
      <c r="B2170" s="2" t="inlineStr">
        <is>
          <t>Фигурное катание</t>
        </is>
      </c>
      <c r="C2170" s="2" t="inlineStr">
        <is>
          <t>Спорт, туризм</t>
        </is>
      </c>
      <c r="D2170" s="2" t="inlineStr">
        <is>
          <t>Спорт, туризм → Зимний спорт → Фигурное катание → Фигурное катание</t>
        </is>
      </c>
      <c r="E2170" s="3" t="n">
        <v>5500</v>
      </c>
      <c r="F2170" s="3" t="n">
        <v>1</v>
      </c>
      <c r="G2170" s="3">
        <f>IFERROR(E2170/F2170,0)</f>
        <v/>
      </c>
      <c r="H2170" s="3" t="n">
        <v>1</v>
      </c>
      <c r="I2170" s="2" t="n">
        <v>1</v>
      </c>
      <c r="J2170" s="3">
        <f>IFERROR(E2170/H2170,0)</f>
        <v/>
      </c>
      <c r="K2170" s="10">
        <f>E2170/'По разделам'!$B$21</f>
        <v/>
      </c>
      <c r="L2170" s="4">
        <f>L2169+K2170</f>
        <v/>
      </c>
      <c r="M2170" s="2" t="inlineStr">
        <is>
          <t>q6385c54f2fa2559</t>
        </is>
      </c>
      <c r="N2170" s="2" t="inlineStr">
        <is>
          <t>https://app.redstat.kz/niche/q6385c54f2fa2559?event_date=2026-08-01</t>
        </is>
      </c>
      <c r="O2170" s="2" t="inlineStr"/>
    </row>
    <row r="2171">
      <c r="A2171" s="2" t="n">
        <v>2170</v>
      </c>
      <c r="B2171" s="2" t="inlineStr">
        <is>
          <t>Воздушно-пузырьковая пленка</t>
        </is>
      </c>
      <c r="C2171" s="2" t="inlineStr">
        <is>
          <t>Товары для дома и дачи</t>
        </is>
      </c>
      <c r="D2171" s="2" t="inlineStr">
        <is>
          <t>Товары для дома и дачи → Хозяйственные товары → Упаковочные материалы → Воздушно-пузырьковая пленка</t>
        </is>
      </c>
      <c r="E2171" s="3" t="n">
        <v>5495</v>
      </c>
      <c r="F2171" s="3" t="n">
        <v>1</v>
      </c>
      <c r="G2171" s="3">
        <f>IFERROR(E2171/F2171,0)</f>
        <v/>
      </c>
      <c r="H2171" s="3" t="n">
        <v>1</v>
      </c>
      <c r="I2171" s="2" t="n">
        <v>1</v>
      </c>
      <c r="J2171" s="3">
        <f>IFERROR(E2171/H2171,0)</f>
        <v/>
      </c>
      <c r="K2171" s="10">
        <f>E2171/'По разделам'!$B$21</f>
        <v/>
      </c>
      <c r="L2171" s="4">
        <f>L2170+K2171</f>
        <v/>
      </c>
      <c r="M2171" s="2" t="inlineStr">
        <is>
          <t>09182</t>
        </is>
      </c>
      <c r="N2171" s="2" t="inlineStr">
        <is>
          <t>https://app.redstat.kz/niche/09182?event_date=2026-08-01</t>
        </is>
      </c>
      <c r="O2171" s="2" t="inlineStr">
        <is>
          <t>https://kaspi.kz/shop/c/bubble%20wrap/</t>
        </is>
      </c>
    </row>
    <row r="2172">
      <c r="A2172" s="2" t="n">
        <v>2171</v>
      </c>
      <c r="B2172" s="2" t="inlineStr">
        <is>
          <t>Воздухопровод</t>
        </is>
      </c>
      <c r="C2172" s="2" t="inlineStr">
        <is>
          <t>Автотовары</t>
        </is>
      </c>
      <c r="D2172" s="2" t="inlineStr">
        <is>
          <t>Автотовары → Автозапчасти → Воздушная система → Воздухопровод</t>
        </is>
      </c>
      <c r="E2172" s="3" t="n">
        <v>5220</v>
      </c>
      <c r="F2172" s="3" t="n">
        <v>4</v>
      </c>
      <c r="G2172" s="3">
        <f>IFERROR(E2172/F2172,0)</f>
        <v/>
      </c>
      <c r="H2172" s="3" t="n">
        <v>2</v>
      </c>
      <c r="I2172" s="2" t="n">
        <v>2</v>
      </c>
      <c r="J2172" s="3">
        <f>IFERROR(E2172/H2172,0)</f>
        <v/>
      </c>
      <c r="K2172" s="10">
        <f>E2172/'По разделам'!$B$21</f>
        <v/>
      </c>
      <c r="L2172" s="4">
        <f>L2171+K2172</f>
        <v/>
      </c>
      <c r="M2172" s="2" t="inlineStr">
        <is>
          <t>07376</t>
        </is>
      </c>
      <c r="N2172" s="2" t="inlineStr">
        <is>
          <t>https://app.redstat.kz/niche/07376?event_date=2026-08-01</t>
        </is>
      </c>
      <c r="O2172" s="2" t="inlineStr">
        <is>
          <t>https://kaspi.kz/shop/c/air%20intake%20hose/</t>
        </is>
      </c>
    </row>
    <row r="2173">
      <c r="A2173" s="2" t="n">
        <v>2172</v>
      </c>
      <c r="B2173" s="2" t="inlineStr">
        <is>
          <t>Шлифовальные листы и шкурки</t>
        </is>
      </c>
      <c r="C2173" s="2" t="inlineStr">
        <is>
          <t>Строительство, ремонт</t>
        </is>
      </c>
      <c r="D2173" s="2" t="inlineStr">
        <is>
          <t>Строительство, ремонт → Инструменты → Оснастка и расходники для инструмента → Оснастка для шлифовальных машин → Шлифовальные листы и шкурки</t>
        </is>
      </c>
      <c r="E2173" s="3" t="n">
        <v>5060</v>
      </c>
      <c r="F2173" s="3" t="n">
        <v>10</v>
      </c>
      <c r="G2173" s="3">
        <f>IFERROR(E2173/F2173,0)</f>
        <v/>
      </c>
      <c r="H2173" s="3" t="n">
        <v>4</v>
      </c>
      <c r="I2173" s="2" t="n">
        <v>3</v>
      </c>
      <c r="J2173" s="3">
        <f>IFERROR(E2173/H2173,0)</f>
        <v/>
      </c>
      <c r="K2173" s="10">
        <f>E2173/'По разделам'!$B$21</f>
        <v/>
      </c>
      <c r="L2173" s="4">
        <f>L2172+K2173</f>
        <v/>
      </c>
      <c r="M2173" s="2" t="inlineStr">
        <is>
          <t>06110</t>
        </is>
      </c>
      <c r="N2173" s="2" t="inlineStr">
        <is>
          <t>https://app.redstat.kz/niche/06110?event_date=2026-08-01</t>
        </is>
      </c>
      <c r="O2173" s="2" t="inlineStr">
        <is>
          <t>https://kaspi.kz/shop/c/sandpaper%20and%20sanding%20sheets/</t>
        </is>
      </c>
    </row>
    <row r="2174">
      <c r="A2174" s="2" t="n">
        <v>2173</v>
      </c>
      <c r="B2174" s="2" t="inlineStr">
        <is>
          <t>Аксессуары для торговых панелей</t>
        </is>
      </c>
      <c r="C2174" s="2" t="inlineStr">
        <is>
          <t>Мебель</t>
        </is>
      </c>
      <c r="D2174" s="2" t="inlineStr">
        <is>
          <t>Мебель → Торговое оборудование → Мебель для торгового зала → Аксессуары для торговых панелей</t>
        </is>
      </c>
      <c r="E2174" s="3" t="n">
        <v>5000</v>
      </c>
      <c r="F2174" s="3" t="n">
        <v>1</v>
      </c>
      <c r="G2174" s="3">
        <f>IFERROR(E2174/F2174,0)</f>
        <v/>
      </c>
      <c r="H2174" s="3" t="n">
        <v>1</v>
      </c>
      <c r="I2174" s="2" t="n">
        <v>1</v>
      </c>
      <c r="J2174" s="3">
        <f>IFERROR(E2174/H2174,0)</f>
        <v/>
      </c>
      <c r="K2174" s="10">
        <f>E2174/'По разделам'!$B$21</f>
        <v/>
      </c>
      <c r="L2174" s="4">
        <f>L2173+K2174</f>
        <v/>
      </c>
      <c r="M2174" s="2" t="inlineStr">
        <is>
          <t>06473</t>
        </is>
      </c>
      <c r="N2174" s="2" t="inlineStr">
        <is>
          <t>https://app.redstat.kz/niche/06473?event_date=2026-08-01</t>
        </is>
      </c>
      <c r="O2174" s="2" t="inlineStr">
        <is>
          <t>https://kaspi.kz/shop/c/accessories%20for%20economy%20panels/</t>
        </is>
      </c>
    </row>
    <row r="2175">
      <c r="A2175" s="2" t="n">
        <v>2174</v>
      </c>
      <c r="B2175" s="2" t="inlineStr">
        <is>
          <t>Светодиодные подсветки для телевизоров</t>
        </is>
      </c>
      <c r="C2175" s="2" t="inlineStr">
        <is>
          <t>ТВ, Аудио, Видео</t>
        </is>
      </c>
      <c r="D2175" s="2" t="inlineStr">
        <is>
          <t>ТВ, Аудио, Видео → Видеотехника → Светодиодные подсветки для телевизоров</t>
        </is>
      </c>
      <c r="E2175" s="3" t="n">
        <v>5000</v>
      </c>
      <c r="F2175" s="3" t="n">
        <v>2</v>
      </c>
      <c r="G2175" s="3">
        <f>IFERROR(E2175/F2175,0)</f>
        <v/>
      </c>
      <c r="H2175" s="3" t="n">
        <v>1</v>
      </c>
      <c r="I2175" s="2" t="n">
        <v>1</v>
      </c>
      <c r="J2175" s="3">
        <f>IFERROR(E2175/H2175,0)</f>
        <v/>
      </c>
      <c r="K2175" s="10">
        <f>E2175/'По разделам'!$B$21</f>
        <v/>
      </c>
      <c r="L2175" s="4">
        <f>L2174+K2175</f>
        <v/>
      </c>
      <c r="M2175" s="2" t="inlineStr">
        <is>
          <t>q0571e6353728da0</t>
        </is>
      </c>
      <c r="N2175" s="2" t="inlineStr">
        <is>
          <t>https://app.redstat.kz/niche/q0571e6353728da0?event_date=2026-08-01</t>
        </is>
      </c>
      <c r="O2175" s="2" t="inlineStr"/>
    </row>
    <row r="2176">
      <c r="A2176" s="2" t="n">
        <v>2175</v>
      </c>
      <c r="B2176" s="2" t="inlineStr">
        <is>
          <t>Весы строительные</t>
        </is>
      </c>
      <c r="C2176" s="2" t="inlineStr">
        <is>
          <t>Строительство, ремонт</t>
        </is>
      </c>
      <c r="D2176" s="2" t="inlineStr">
        <is>
          <t>Строительство, ремонт → Строительное оборудование → Промышленное оборудование → Весы строительные</t>
        </is>
      </c>
      <c r="E2176" s="3" t="n">
        <v>4990</v>
      </c>
      <c r="F2176" s="3" t="n">
        <v>2</v>
      </c>
      <c r="G2176" s="3">
        <f>IFERROR(E2176/F2176,0)</f>
        <v/>
      </c>
      <c r="H2176" s="3" t="n">
        <v>1</v>
      </c>
      <c r="I2176" s="2" t="n">
        <v>0</v>
      </c>
      <c r="J2176" s="3">
        <f>IFERROR(E2176/H2176,0)</f>
        <v/>
      </c>
      <c r="K2176" s="10">
        <f>E2176/'По разделам'!$B$21</f>
        <v/>
      </c>
      <c r="L2176" s="4">
        <f>L2175+K2176</f>
        <v/>
      </c>
      <c r="M2176" s="2" t="inlineStr">
        <is>
          <t>02845</t>
        </is>
      </c>
      <c r="N2176" s="2" t="inlineStr">
        <is>
          <t>https://app.redstat.kz/niche/02845?event_date=2026-08-01</t>
        </is>
      </c>
      <c r="O2176" s="2" t="inlineStr">
        <is>
          <t>https://kaspi.kz/shop/c/construction%20scales/</t>
        </is>
      </c>
    </row>
    <row r="2177">
      <c r="A2177" s="2" t="n">
        <v>2176</v>
      </c>
      <c r="B2177" s="2" t="inlineStr">
        <is>
          <t>Защитные накладки для клавиатуры</t>
        </is>
      </c>
      <c r="C2177" s="2" t="inlineStr">
        <is>
          <t>Компьютеры</t>
        </is>
      </c>
      <c r="D2177" s="2" t="inlineStr">
        <is>
          <t>Компьютеры → Ноутбуки и аксессуары → Аксессуары для ноутбуков → Защитные накладки для клавиатуры</t>
        </is>
      </c>
      <c r="E2177" s="3" t="n">
        <v>4975</v>
      </c>
      <c r="F2177" s="3" t="n">
        <v>2</v>
      </c>
      <c r="G2177" s="3">
        <f>IFERROR(E2177/F2177,0)</f>
        <v/>
      </c>
      <c r="H2177" s="3" t="n">
        <v>2</v>
      </c>
      <c r="I2177" s="2" t="n">
        <v>1</v>
      </c>
      <c r="J2177" s="3">
        <f>IFERROR(E2177/H2177,0)</f>
        <v/>
      </c>
      <c r="K2177" s="10">
        <f>E2177/'По разделам'!$B$21</f>
        <v/>
      </c>
      <c r="L2177" s="4">
        <f>L2176+K2177</f>
        <v/>
      </c>
      <c r="M2177" s="2" t="inlineStr">
        <is>
          <t>06284</t>
        </is>
      </c>
      <c r="N2177" s="2" t="inlineStr">
        <is>
          <t>https://app.redstat.kz/niche/06284?event_date=2026-08-01</t>
        </is>
      </c>
      <c r="O2177" s="2" t="inlineStr">
        <is>
          <t>https://kaspi.kz/shop/c/keyboard%20protectors/</t>
        </is>
      </c>
    </row>
    <row r="2178">
      <c r="A2178" s="2" t="n">
        <v>2177</v>
      </c>
      <c r="B2178" s="2" t="inlineStr">
        <is>
          <t>Резаки для бумаги</t>
        </is>
      </c>
      <c r="C2178" s="2" t="inlineStr">
        <is>
          <t>Канцелярские товары</t>
        </is>
      </c>
      <c r="D2178" s="2" t="inlineStr">
        <is>
          <t>Канцелярские товары → Постпечатное оборудование → Резаки для бумаги и комплектующие → Резаки для бумаги</t>
        </is>
      </c>
      <c r="E2178" s="3" t="n">
        <v>4960</v>
      </c>
      <c r="F2178" s="3" t="n">
        <v>4</v>
      </c>
      <c r="G2178" s="3">
        <f>IFERROR(E2178/F2178,0)</f>
        <v/>
      </c>
      <c r="H2178" s="3" t="n">
        <v>2</v>
      </c>
      <c r="I2178" s="2" t="n">
        <v>0</v>
      </c>
      <c r="J2178" s="3">
        <f>IFERROR(E2178/H2178,0)</f>
        <v/>
      </c>
      <c r="K2178" s="10">
        <f>E2178/'По разделам'!$B$21</f>
        <v/>
      </c>
      <c r="L2178" s="4">
        <f>L2177+K2178</f>
        <v/>
      </c>
      <c r="M2178" s="2" t="inlineStr">
        <is>
          <t>04279</t>
        </is>
      </c>
      <c r="N2178" s="2" t="inlineStr">
        <is>
          <t>https://app.redstat.kz/niche/04279?event_date=2026-08-01</t>
        </is>
      </c>
      <c r="O2178" s="2" t="inlineStr">
        <is>
          <t>https://kaspi.kz/shop/c/paper%20trimmers/</t>
        </is>
      </c>
    </row>
    <row r="2179">
      <c r="A2179" s="2" t="n">
        <v>2178</v>
      </c>
      <c r="B2179" s="2" t="inlineStr">
        <is>
          <t>Инструменты для прочистки труб</t>
        </is>
      </c>
      <c r="C2179" s="2" t="inlineStr">
        <is>
          <t>Строительство, ремонт</t>
        </is>
      </c>
      <c r="D2179" s="2" t="inlineStr">
        <is>
          <t>Строительство, ремонт → Ручные инструменты → Сантехнический инструмент → Оборудование для прочистки труб → Инструменты для прочистки труб</t>
        </is>
      </c>
      <c r="E2179" s="3" t="n">
        <v>4904</v>
      </c>
      <c r="F2179" s="3" t="n">
        <v>4</v>
      </c>
      <c r="G2179" s="3">
        <f>IFERROR(E2179/F2179,0)</f>
        <v/>
      </c>
      <c r="H2179" s="3" t="n">
        <v>2</v>
      </c>
      <c r="I2179" s="2" t="n">
        <v>1</v>
      </c>
      <c r="J2179" s="3">
        <f>IFERROR(E2179/H2179,0)</f>
        <v/>
      </c>
      <c r="K2179" s="10">
        <f>E2179/'По разделам'!$B$21</f>
        <v/>
      </c>
      <c r="L2179" s="4">
        <f>L2178+K2179</f>
        <v/>
      </c>
      <c r="M2179" s="2" t="inlineStr">
        <is>
          <t>05739</t>
        </is>
      </c>
      <c r="N2179" s="2" t="inlineStr">
        <is>
          <t>https://app.redstat.kz/niche/05739?event_date=2026-08-01</t>
        </is>
      </c>
      <c r="O2179" s="2" t="inlineStr">
        <is>
          <t>https://kaspi.kz/shop/c/pipe%20cleaning%20tools/</t>
        </is>
      </c>
    </row>
    <row r="2180">
      <c r="A2180" s="2" t="n">
        <v>2179</v>
      </c>
      <c r="B2180" s="2" t="inlineStr">
        <is>
          <t>Комплектующие к замкам</t>
        </is>
      </c>
      <c r="C2180" s="2" t="inlineStr">
        <is>
          <t>Строительство, ремонт</t>
        </is>
      </c>
      <c r="D2180" s="2" t="inlineStr">
        <is>
          <t>Строительство, ремонт → Двери, окна, лестницы → Двери → Ручки, замки и фурнитура для дверей → Комплектующие к замкам</t>
        </is>
      </c>
      <c r="E2180" s="3" t="n">
        <v>4878</v>
      </c>
      <c r="F2180" s="3" t="n">
        <v>4</v>
      </c>
      <c r="G2180" s="3">
        <f>IFERROR(E2180/F2180,0)</f>
        <v/>
      </c>
      <c r="H2180" s="3" t="n">
        <v>2</v>
      </c>
      <c r="I2180" s="2" t="n">
        <v>2</v>
      </c>
      <c r="J2180" s="3">
        <f>IFERROR(E2180/H2180,0)</f>
        <v/>
      </c>
      <c r="K2180" s="10">
        <f>E2180/'По разделам'!$B$21</f>
        <v/>
      </c>
      <c r="L2180" s="4">
        <f>L2179+K2180</f>
        <v/>
      </c>
      <c r="M2180" s="2" t="inlineStr">
        <is>
          <t>04986</t>
        </is>
      </c>
      <c r="N2180" s="2" t="inlineStr">
        <is>
          <t>https://app.redstat.kz/niche/04986?event_date=2026-08-01</t>
        </is>
      </c>
      <c r="O2180" s="2" t="inlineStr">
        <is>
          <t>https://kaspi.kz/shop/c/accessories%20for%20locks/</t>
        </is>
      </c>
    </row>
    <row r="2181">
      <c r="A2181" s="2" t="n">
        <v>2180</v>
      </c>
      <c r="B2181" s="2" t="inlineStr">
        <is>
          <t>Солонки и перечницы</t>
        </is>
      </c>
      <c r="C2181" s="2" t="inlineStr">
        <is>
          <t>Товары для дома и дачи</t>
        </is>
      </c>
      <c r="D2181" s="2" t="inlineStr">
        <is>
          <t>Товары для дома и дачи → Посуда и принадлежности → Сервировка стола → Солонки и перечницы</t>
        </is>
      </c>
      <c r="E2181" s="3" t="n">
        <v>4844</v>
      </c>
      <c r="F2181" s="3" t="n">
        <v>5</v>
      </c>
      <c r="G2181" s="3">
        <f>IFERROR(E2181/F2181,0)</f>
        <v/>
      </c>
      <c r="H2181" s="3" t="n">
        <v>3</v>
      </c>
      <c r="I2181" s="2" t="n">
        <v>0</v>
      </c>
      <c r="J2181" s="3">
        <f>IFERROR(E2181/H2181,0)</f>
        <v/>
      </c>
      <c r="K2181" s="10">
        <f>E2181/'По разделам'!$B$21</f>
        <v/>
      </c>
      <c r="L2181" s="4">
        <f>L2180+K2181</f>
        <v/>
      </c>
      <c r="M2181" s="2" t="inlineStr">
        <is>
          <t>09247</t>
        </is>
      </c>
      <c r="N2181" s="2" t="inlineStr">
        <is>
          <t>https://app.redstat.kz/niche/09247?event_date=2026-08-01</t>
        </is>
      </c>
      <c r="O2181" s="2" t="inlineStr">
        <is>
          <t>https://kaspi.kz/shop/c/salt%20and%20pepper%20shakers/</t>
        </is>
      </c>
    </row>
    <row r="2182">
      <c r="A2182" s="2" t="n">
        <v>2181</v>
      </c>
      <c r="B2182" s="2" t="inlineStr">
        <is>
          <t>Съемники уплотнительных колец</t>
        </is>
      </c>
      <c r="C2182" s="2" t="inlineStr">
        <is>
          <t>Автотовары</t>
        </is>
      </c>
      <c r="D2182" s="2" t="inlineStr">
        <is>
          <t>Автотовары → Автоинструменты → Съемники уплотнительных колец</t>
        </is>
      </c>
      <c r="E2182" s="3" t="n">
        <v>4810</v>
      </c>
      <c r="F2182" s="3" t="n">
        <v>3</v>
      </c>
      <c r="G2182" s="3">
        <f>IFERROR(E2182/F2182,0)</f>
        <v/>
      </c>
      <c r="H2182" s="3" t="n">
        <v>1</v>
      </c>
      <c r="I2182" s="2" t="n">
        <v>1</v>
      </c>
      <c r="J2182" s="3">
        <f>IFERROR(E2182/H2182,0)</f>
        <v/>
      </c>
      <c r="K2182" s="10">
        <f>E2182/'По разделам'!$B$21</f>
        <v/>
      </c>
      <c r="L2182" s="4">
        <f>L2181+K2182</f>
        <v/>
      </c>
      <c r="M2182" s="2" t="inlineStr">
        <is>
          <t>09020</t>
        </is>
      </c>
      <c r="N2182" s="2" t="inlineStr">
        <is>
          <t>https://app.redstat.kz/niche/09020?event_date=2026-08-01</t>
        </is>
      </c>
      <c r="O2182" s="2" t="inlineStr">
        <is>
          <t>https://kaspi.kz/shop/c/o-ring%20pullers/</t>
        </is>
      </c>
    </row>
    <row r="2183">
      <c r="A2183" s="2" t="n">
        <v>2182</v>
      </c>
      <c r="B2183" s="2" t="inlineStr">
        <is>
          <t>Водостоки</t>
        </is>
      </c>
      <c r="C2183" s="2" t="inlineStr">
        <is>
          <t>Строительство, ремонт</t>
        </is>
      </c>
      <c r="D2183" s="2" t="inlineStr">
        <is>
          <t>Строительство, ремонт → Кровля, фасад, ворота → Водоотведение и системы дренажа → Водостоки</t>
        </is>
      </c>
      <c r="E2183" s="3" t="n">
        <v>4800</v>
      </c>
      <c r="F2183" s="3" t="n">
        <v>2</v>
      </c>
      <c r="G2183" s="3">
        <f>IFERROR(E2183/F2183,0)</f>
        <v/>
      </c>
      <c r="H2183" s="3" t="n">
        <v>1</v>
      </c>
      <c r="I2183" s="2" t="n">
        <v>1</v>
      </c>
      <c r="J2183" s="3">
        <f>IFERROR(E2183/H2183,0)</f>
        <v/>
      </c>
      <c r="K2183" s="10">
        <f>E2183/'По разделам'!$B$21</f>
        <v/>
      </c>
      <c r="L2183" s="4">
        <f>L2182+K2183</f>
        <v/>
      </c>
      <c r="M2183" s="2" t="inlineStr">
        <is>
          <t>03391</t>
        </is>
      </c>
      <c r="N2183" s="2" t="inlineStr">
        <is>
          <t>https://app.redstat.kz/niche/03391?event_date=2026-08-01</t>
        </is>
      </c>
      <c r="O2183" s="2" t="inlineStr">
        <is>
          <t>https://kaspi.kz/shop/c/gutters/</t>
        </is>
      </c>
    </row>
    <row r="2184">
      <c r="A2184" s="2" t="n">
        <v>2183</v>
      </c>
      <c r="B2184" s="2" t="inlineStr">
        <is>
          <t>Шестигранные ключи</t>
        </is>
      </c>
      <c r="C2184" s="2" t="inlineStr">
        <is>
          <t>Строительство, ремонт</t>
        </is>
      </c>
      <c r="D2184" s="2" t="inlineStr">
        <is>
          <t>Строительство, ремонт → Ручные инструменты → Ключи и трещотки → Шестигранные ключи</t>
        </is>
      </c>
      <c r="E2184" s="3" t="n">
        <v>4800</v>
      </c>
      <c r="F2184" s="3" t="n">
        <v>3</v>
      </c>
      <c r="G2184" s="3">
        <f>IFERROR(E2184/F2184,0)</f>
        <v/>
      </c>
      <c r="H2184" s="3" t="n">
        <v>1</v>
      </c>
      <c r="I2184" s="2" t="n">
        <v>1</v>
      </c>
      <c r="J2184" s="3">
        <f>IFERROR(E2184/H2184,0)</f>
        <v/>
      </c>
      <c r="K2184" s="10">
        <f>E2184/'По разделам'!$B$21</f>
        <v/>
      </c>
      <c r="L2184" s="4">
        <f>L2183+K2184</f>
        <v/>
      </c>
      <c r="M2184" s="2" t="inlineStr">
        <is>
          <t>04195</t>
        </is>
      </c>
      <c r="N2184" s="2" t="inlineStr">
        <is>
          <t>https://app.redstat.kz/niche/04195?event_date=2026-08-01</t>
        </is>
      </c>
      <c r="O2184" s="2" t="inlineStr">
        <is>
          <t>https://kaspi.kz/shop/c/hex%20keys/</t>
        </is>
      </c>
    </row>
    <row r="2185">
      <c r="A2185" s="2" t="n">
        <v>2184</v>
      </c>
      <c r="B2185" s="2" t="inlineStr">
        <is>
          <t>Аромалампы</t>
        </is>
      </c>
      <c r="C2185" s="2" t="inlineStr">
        <is>
          <t>Товары для дома и дачи</t>
        </is>
      </c>
      <c r="D2185" s="2" t="inlineStr">
        <is>
          <t>Товары для дома и дачи → Интерьер → Парфюмерия для дома → Аромалампы</t>
        </is>
      </c>
      <c r="E2185" s="3" t="n">
        <v>4800</v>
      </c>
      <c r="F2185" s="3" t="n">
        <v>1</v>
      </c>
      <c r="G2185" s="3">
        <f>IFERROR(E2185/F2185,0)</f>
        <v/>
      </c>
      <c r="H2185" s="3" t="n">
        <v>1</v>
      </c>
      <c r="I2185" s="2" t="n">
        <v>0</v>
      </c>
      <c r="J2185" s="3">
        <f>IFERROR(E2185/H2185,0)</f>
        <v/>
      </c>
      <c r="K2185" s="10">
        <f>E2185/'По разделам'!$B$21</f>
        <v/>
      </c>
      <c r="L2185" s="4">
        <f>L2184+K2185</f>
        <v/>
      </c>
      <c r="M2185" s="2" t="inlineStr">
        <is>
          <t>05810</t>
        </is>
      </c>
      <c r="N2185" s="2" t="inlineStr">
        <is>
          <t>https://app.redstat.kz/niche/05810?event_date=2026-08-01</t>
        </is>
      </c>
      <c r="O2185" s="2" t="inlineStr">
        <is>
          <t>https://kaspi.kz/shop/c/aroma%20lamps/</t>
        </is>
      </c>
    </row>
    <row r="2186">
      <c r="A2186" s="2" t="n">
        <v>2185</v>
      </c>
      <c r="B2186" s="2" t="inlineStr">
        <is>
          <t>Строительные лаки</t>
        </is>
      </c>
      <c r="C2186" s="2" t="inlineStr">
        <is>
          <t>Строительство, ремонт</t>
        </is>
      </c>
      <c r="D2186" s="2" t="inlineStr">
        <is>
          <t>Строительство, ремонт → Лакокрасочные материалы → Лаки и морилки → Строительные лаки</t>
        </is>
      </c>
      <c r="E2186" s="3" t="n">
        <v>4500</v>
      </c>
      <c r="F2186" s="3" t="n">
        <v>2</v>
      </c>
      <c r="G2186" s="3">
        <f>IFERROR(E2186/F2186,0)</f>
        <v/>
      </c>
      <c r="H2186" s="3" t="n">
        <v>1</v>
      </c>
      <c r="I2186" s="2" t="n">
        <v>1</v>
      </c>
      <c r="J2186" s="3">
        <f>IFERROR(E2186/H2186,0)</f>
        <v/>
      </c>
      <c r="K2186" s="10">
        <f>E2186/'По разделам'!$B$21</f>
        <v/>
      </c>
      <c r="L2186" s="4">
        <f>L2185+K2186</f>
        <v/>
      </c>
      <c r="M2186" s="2" t="inlineStr">
        <is>
          <t>02213</t>
        </is>
      </c>
      <c r="N2186" s="2" t="inlineStr">
        <is>
          <t>https://app.redstat.kz/niche/02213?event_date=2026-08-01</t>
        </is>
      </c>
      <c r="O2186" s="2" t="inlineStr">
        <is>
          <t>https://kaspi.kz/shop/c/varnishes/</t>
        </is>
      </c>
    </row>
    <row r="2187">
      <c r="A2187" s="2" t="n">
        <v>2186</v>
      </c>
      <c r="B2187" s="2" t="inlineStr">
        <is>
          <t>Стекломои, скребки, сгоны</t>
        </is>
      </c>
      <c r="C2187" s="2" t="inlineStr">
        <is>
          <t>Товары для дома и дачи</t>
        </is>
      </c>
      <c r="D2187" s="2" t="inlineStr">
        <is>
          <t>Товары для дома и дачи → Хозяйственные товары → Инвентарь для уборки → Стекломои, скребки, сгоны</t>
        </is>
      </c>
      <c r="E2187" s="3" t="n">
        <v>4500</v>
      </c>
      <c r="F2187" s="3" t="n">
        <v>3</v>
      </c>
      <c r="G2187" s="3">
        <f>IFERROR(E2187/F2187,0)</f>
        <v/>
      </c>
      <c r="H2187" s="3" t="n">
        <v>2</v>
      </c>
      <c r="I2187" s="2" t="n">
        <v>2</v>
      </c>
      <c r="J2187" s="3">
        <f>IFERROR(E2187/H2187,0)</f>
        <v/>
      </c>
      <c r="K2187" s="10">
        <f>E2187/'По разделам'!$B$21</f>
        <v/>
      </c>
      <c r="L2187" s="4">
        <f>L2186+K2187</f>
        <v/>
      </c>
      <c r="M2187" s="2" t="inlineStr">
        <is>
          <t>03766</t>
        </is>
      </c>
      <c r="N2187" s="2" t="inlineStr">
        <is>
          <t>https://app.redstat.kz/niche/03766?event_date=2026-08-01</t>
        </is>
      </c>
      <c r="O2187" s="2" t="inlineStr">
        <is>
          <t>https://kaspi.kz/shop/c/glass%20washers%20and%20scrapers/</t>
        </is>
      </c>
    </row>
    <row r="2188">
      <c r="A2188" s="2" t="n">
        <v>2187</v>
      </c>
      <c r="B2188" s="2" t="inlineStr">
        <is>
          <t>Блоки питания для домофонов и замков</t>
        </is>
      </c>
      <c r="C2188" s="2" t="inlineStr">
        <is>
          <t>Строительство, ремонт</t>
        </is>
      </c>
      <c r="D2188" s="2" t="inlineStr">
        <is>
          <t>Строительство, ремонт → Системы безопасности → Домофоны и аксессуары → Блоки питания для домофонов и замков</t>
        </is>
      </c>
      <c r="E2188" s="3" t="n">
        <v>4500</v>
      </c>
      <c r="F2188" s="3" t="n">
        <v>2</v>
      </c>
      <c r="G2188" s="3">
        <f>IFERROR(E2188/F2188,0)</f>
        <v/>
      </c>
      <c r="H2188" s="3" t="n">
        <v>1</v>
      </c>
      <c r="I2188" s="2" t="n">
        <v>1</v>
      </c>
      <c r="J2188" s="3">
        <f>IFERROR(E2188/H2188,0)</f>
        <v/>
      </c>
      <c r="K2188" s="10">
        <f>E2188/'По разделам'!$B$21</f>
        <v/>
      </c>
      <c r="L2188" s="4">
        <f>L2187+K2188</f>
        <v/>
      </c>
      <c r="M2188" s="2" t="inlineStr">
        <is>
          <t>04510</t>
        </is>
      </c>
      <c r="N2188" s="2" t="inlineStr">
        <is>
          <t>https://app.redstat.kz/niche/04510?event_date=2026-08-01</t>
        </is>
      </c>
      <c r="O2188" s="2" t="inlineStr">
        <is>
          <t>https://kaspi.kz/shop/c/power%20supplies%20for%20intercoms/</t>
        </is>
      </c>
    </row>
    <row r="2189">
      <c r="A2189" s="2" t="n">
        <v>2188</v>
      </c>
      <c r="B2189" s="2" t="inlineStr">
        <is>
          <t>Клей для обоев</t>
        </is>
      </c>
      <c r="C2189" s="2" t="inlineStr">
        <is>
          <t>Строительство, ремонт</t>
        </is>
      </c>
      <c r="D2189" s="2" t="inlineStr">
        <is>
          <t>Строительство, ремонт → Строительные материалы → Монтажные пены, герметики, клей → Клеи и жидкие гвозди → Клей для обоев</t>
        </is>
      </c>
      <c r="E2189" s="3" t="n">
        <v>4490</v>
      </c>
      <c r="F2189" s="3" t="n">
        <v>2</v>
      </c>
      <c r="G2189" s="3">
        <f>IFERROR(E2189/F2189,0)</f>
        <v/>
      </c>
      <c r="H2189" s="3" t="n">
        <v>1</v>
      </c>
      <c r="I2189" s="2" t="n">
        <v>1</v>
      </c>
      <c r="J2189" s="3">
        <f>IFERROR(E2189/H2189,0)</f>
        <v/>
      </c>
      <c r="K2189" s="10">
        <f>E2189/'По разделам'!$B$21</f>
        <v/>
      </c>
      <c r="L2189" s="4">
        <f>L2188+K2189</f>
        <v/>
      </c>
      <c r="M2189" s="2" t="inlineStr">
        <is>
          <t>01898</t>
        </is>
      </c>
      <c r="N2189" s="2" t="inlineStr">
        <is>
          <t>https://app.redstat.kz/niche/01898?event_date=2026-08-01</t>
        </is>
      </c>
      <c r="O2189" s="2" t="inlineStr">
        <is>
          <t>https://kaspi.kz/shop/c/wallpaper%20glue/</t>
        </is>
      </c>
    </row>
    <row r="2190">
      <c r="A2190" s="2" t="n">
        <v>2189</v>
      </c>
      <c r="B2190" s="2" t="inlineStr">
        <is>
          <t>Аксессуары для сканеров штрих-кода</t>
        </is>
      </c>
      <c r="C2190" s="2" t="inlineStr">
        <is>
          <t>Компьютеры</t>
        </is>
      </c>
      <c r="D2190" s="2" t="inlineStr">
        <is>
          <t>Компьютеры → Электронное оборудование для торговли → Другое оборудование для торговли → Аксессуары для сканеров штрих-кода</t>
        </is>
      </c>
      <c r="E2190" s="3" t="n">
        <v>4490</v>
      </c>
      <c r="F2190" s="3" t="n">
        <v>1</v>
      </c>
      <c r="G2190" s="3">
        <f>IFERROR(E2190/F2190,0)</f>
        <v/>
      </c>
      <c r="H2190" s="3" t="n">
        <v>1</v>
      </c>
      <c r="I2190" s="2" t="n">
        <v>1</v>
      </c>
      <c r="J2190" s="3">
        <f>IFERROR(E2190/H2190,0)</f>
        <v/>
      </c>
      <c r="K2190" s="10">
        <f>E2190/'По разделам'!$B$21</f>
        <v/>
      </c>
      <c r="L2190" s="4">
        <f>L2189+K2190</f>
        <v/>
      </c>
      <c r="M2190" s="2" t="inlineStr">
        <is>
          <t>06128</t>
        </is>
      </c>
      <c r="N2190" s="2" t="inlineStr">
        <is>
          <t>https://app.redstat.kz/niche/06128?event_date=2026-08-01</t>
        </is>
      </c>
      <c r="O2190" s="2" t="inlineStr">
        <is>
          <t>https://kaspi.kz/shop/c/barcode%20scanner%20accessories/</t>
        </is>
      </c>
    </row>
    <row r="2191">
      <c r="A2191" s="2" t="n">
        <v>2190</v>
      </c>
      <c r="B2191" s="2" t="inlineStr">
        <is>
          <t>Средства для ухода за одеждой</t>
        </is>
      </c>
      <c r="C2191" s="2" t="inlineStr">
        <is>
          <t>Товары для дома и дачи</t>
        </is>
      </c>
      <c r="D2191" s="2" t="inlineStr">
        <is>
          <t>Товары для дома и дачи → Хозяйственные товары → Уход за одеждой → Средства для ухода за одеждой</t>
        </is>
      </c>
      <c r="E2191" s="3" t="n">
        <v>4357</v>
      </c>
      <c r="F2191" s="3" t="n">
        <v>4</v>
      </c>
      <c r="G2191" s="3">
        <f>IFERROR(E2191/F2191,0)</f>
        <v/>
      </c>
      <c r="H2191" s="3" t="n">
        <v>2</v>
      </c>
      <c r="I2191" s="2" t="n">
        <v>1</v>
      </c>
      <c r="J2191" s="3">
        <f>IFERROR(E2191/H2191,0)</f>
        <v/>
      </c>
      <c r="K2191" s="10">
        <f>E2191/'По разделам'!$B$21</f>
        <v/>
      </c>
      <c r="L2191" s="4">
        <f>L2190+K2191</f>
        <v/>
      </c>
      <c r="M2191" s="2" t="inlineStr">
        <is>
          <t>05912</t>
        </is>
      </c>
      <c r="N2191" s="2" t="inlineStr">
        <is>
          <t>https://app.redstat.kz/niche/05912?event_date=2026-08-01</t>
        </is>
      </c>
      <c r="O2191" s="2" t="inlineStr">
        <is>
          <t>https://kaspi.kz/shop/c/clothing%20care%20products/</t>
        </is>
      </c>
    </row>
    <row r="2192">
      <c r="A2192" s="2" t="n">
        <v>2191</v>
      </c>
      <c r="B2192" s="2" t="inlineStr">
        <is>
          <t>Трансиверы</t>
        </is>
      </c>
      <c r="C2192" s="2" t="inlineStr">
        <is>
          <t>Компьютеры</t>
        </is>
      </c>
      <c r="D2192" s="2" t="inlineStr">
        <is>
          <t>Компьютеры → Сетевое оборудование → Другое сетевое оборудование → Трансиверы</t>
        </is>
      </c>
      <c r="E2192" s="3" t="n">
        <v>4190</v>
      </c>
      <c r="F2192" s="3" t="n">
        <v>1</v>
      </c>
      <c r="G2192" s="3">
        <f>IFERROR(E2192/F2192,0)</f>
        <v/>
      </c>
      <c r="H2192" s="3" t="n">
        <v>1</v>
      </c>
      <c r="I2192" s="2" t="n">
        <v>1</v>
      </c>
      <c r="J2192" s="3">
        <f>IFERROR(E2192/H2192,0)</f>
        <v/>
      </c>
      <c r="K2192" s="10">
        <f>E2192/'По разделам'!$B$21</f>
        <v/>
      </c>
      <c r="L2192" s="4">
        <f>L2191+K2192</f>
        <v/>
      </c>
      <c r="M2192" s="2" t="inlineStr">
        <is>
          <t>03910</t>
        </is>
      </c>
      <c r="N2192" s="2" t="inlineStr">
        <is>
          <t>https://app.redstat.kz/niche/03910?event_date=2026-08-01</t>
        </is>
      </c>
      <c r="O2192" s="2" t="inlineStr">
        <is>
          <t>https://kaspi.kz/shop/c/transceivers/</t>
        </is>
      </c>
    </row>
    <row r="2193">
      <c r="A2193" s="2" t="n">
        <v>2192</v>
      </c>
      <c r="B2193" s="2" t="inlineStr">
        <is>
          <t>Комплектующие для электрогенераторов</t>
        </is>
      </c>
      <c r="C2193" s="2" t="inlineStr">
        <is>
          <t>Строительство, ремонт</t>
        </is>
      </c>
      <c r="D2193" s="2" t="inlineStr">
        <is>
          <t>Строительство, ремонт → Электрика → Устройства электропитания и электростанции → Комплектующие для электрогенераторов</t>
        </is>
      </c>
      <c r="E2193" s="3" t="n">
        <v>4108</v>
      </c>
      <c r="F2193" s="3" t="n">
        <v>4</v>
      </c>
      <c r="G2193" s="3">
        <f>IFERROR(E2193/F2193,0)</f>
        <v/>
      </c>
      <c r="H2193" s="3" t="n">
        <v>2</v>
      </c>
      <c r="I2193" s="2" t="n">
        <v>0</v>
      </c>
      <c r="J2193" s="3">
        <f>IFERROR(E2193/H2193,0)</f>
        <v/>
      </c>
      <c r="K2193" s="10">
        <f>E2193/'По разделам'!$B$21</f>
        <v/>
      </c>
      <c r="L2193" s="4">
        <f>L2192+K2193</f>
        <v/>
      </c>
      <c r="M2193" s="2" t="inlineStr">
        <is>
          <t>06175</t>
        </is>
      </c>
      <c r="N2193" s="2" t="inlineStr">
        <is>
          <t>https://app.redstat.kz/niche/06175?event_date=2026-08-01</t>
        </is>
      </c>
      <c r="O2193" s="2" t="inlineStr">
        <is>
          <t>https://kaspi.kz/shop/c/accessories%20for%20electric%20generators/</t>
        </is>
      </c>
    </row>
    <row r="2194">
      <c r="A2194" s="2" t="n">
        <v>2193</v>
      </c>
      <c r="B2194" s="2" t="inlineStr">
        <is>
          <t>Насадки к машинкам для удаления катышков</t>
        </is>
      </c>
      <c r="C2194" s="2" t="inlineStr">
        <is>
          <t>Товары для дома и дачи</t>
        </is>
      </c>
      <c r="D2194" s="2" t="inlineStr">
        <is>
          <t>Товары для дома и дачи → Хозяйственные товары → Уход за одеждой → Насадки к машинкам для удаления катышков</t>
        </is>
      </c>
      <c r="E2194" s="3" t="n">
        <v>4100</v>
      </c>
      <c r="F2194" s="3" t="n">
        <v>1</v>
      </c>
      <c r="G2194" s="3">
        <f>IFERROR(E2194/F2194,0)</f>
        <v/>
      </c>
      <c r="H2194" s="3" t="n">
        <v>1</v>
      </c>
      <c r="I2194" s="2" t="n">
        <v>0</v>
      </c>
      <c r="J2194" s="3">
        <f>IFERROR(E2194/H2194,0)</f>
        <v/>
      </c>
      <c r="K2194" s="10">
        <f>E2194/'По разделам'!$B$21</f>
        <v/>
      </c>
      <c r="L2194" s="4">
        <f>L2193+K2194</f>
        <v/>
      </c>
      <c r="M2194" s="2" t="inlineStr">
        <is>
          <t>05161</t>
        </is>
      </c>
      <c r="N2194" s="2" t="inlineStr">
        <is>
          <t>https://app.redstat.kz/niche/05161?event_date=2026-08-01</t>
        </is>
      </c>
      <c r="O2194" s="2" t="inlineStr">
        <is>
          <t>https://kaspi.kz/shop/c/nozzles%20for%20lint%20removers/</t>
        </is>
      </c>
    </row>
    <row r="2195">
      <c r="A2195" s="2" t="n">
        <v>2194</v>
      </c>
      <c r="B2195" s="2" t="inlineStr">
        <is>
          <t>Медальницы</t>
        </is>
      </c>
      <c r="C2195" s="2" t="inlineStr">
        <is>
          <t>Товары для дома и дачи</t>
        </is>
      </c>
      <c r="D2195" s="2" t="inlineStr">
        <is>
          <t>Товары для дома и дачи → Интерьер → Оформление интерьера → Медальницы</t>
        </is>
      </c>
      <c r="E2195" s="3" t="n">
        <v>4000</v>
      </c>
      <c r="F2195" s="3" t="n">
        <v>1</v>
      </c>
      <c r="G2195" s="3">
        <f>IFERROR(E2195/F2195,0)</f>
        <v/>
      </c>
      <c r="H2195" s="3" t="n">
        <v>1</v>
      </c>
      <c r="I2195" s="2" t="n">
        <v>1</v>
      </c>
      <c r="J2195" s="3">
        <f>IFERROR(E2195/H2195,0)</f>
        <v/>
      </c>
      <c r="K2195" s="10">
        <f>E2195/'По разделам'!$B$21</f>
        <v/>
      </c>
      <c r="L2195" s="4">
        <f>L2194+K2195</f>
        <v/>
      </c>
      <c r="M2195" s="2" t="inlineStr">
        <is>
          <t>05334</t>
        </is>
      </c>
      <c r="N2195" s="2" t="inlineStr">
        <is>
          <t>https://app.redstat.kz/niche/05334?event_date=2026-08-01</t>
        </is>
      </c>
      <c r="O2195" s="2" t="inlineStr">
        <is>
          <t>https://kaspi.kz/shop/c/medal%20holders/</t>
        </is>
      </c>
    </row>
    <row r="2196">
      <c r="A2196" s="2" t="n">
        <v>2195</v>
      </c>
      <c r="B2196" s="2" t="inlineStr">
        <is>
          <t>Припои для пайки</t>
        </is>
      </c>
      <c r="C2196" s="2" t="inlineStr">
        <is>
          <t>Строительство, ремонт</t>
        </is>
      </c>
      <c r="D2196" s="2" t="inlineStr">
        <is>
          <t>Строительство, ремонт → Инструменты → Электрические паяльники и комплектующие → Оснастка и аксессуары для паяльников → Припои для пайки</t>
        </is>
      </c>
      <c r="E2196" s="3" t="n">
        <v>3944</v>
      </c>
      <c r="F2196" s="3" t="n">
        <v>4</v>
      </c>
      <c r="G2196" s="3">
        <f>IFERROR(E2196/F2196,0)</f>
        <v/>
      </c>
      <c r="H2196" s="3" t="n">
        <v>2</v>
      </c>
      <c r="I2196" s="2" t="n">
        <v>2</v>
      </c>
      <c r="J2196" s="3">
        <f>IFERROR(E2196/H2196,0)</f>
        <v/>
      </c>
      <c r="K2196" s="10">
        <f>E2196/'По разделам'!$B$21</f>
        <v/>
      </c>
      <c r="L2196" s="4">
        <f>L2195+K2196</f>
        <v/>
      </c>
      <c r="M2196" s="2" t="inlineStr">
        <is>
          <t>05600</t>
        </is>
      </c>
      <c r="N2196" s="2" t="inlineStr">
        <is>
          <t>https://app.redstat.kz/niche/05600?event_date=2026-08-01</t>
        </is>
      </c>
      <c r="O2196" s="2" t="inlineStr">
        <is>
          <t>https://kaspi.kz/shop/c/solders%20for%20soldering/</t>
        </is>
      </c>
    </row>
    <row r="2197">
      <c r="A2197" s="2" t="n">
        <v>2196</v>
      </c>
      <c r="B2197" s="2" t="inlineStr">
        <is>
          <t>Щетки и ложки для обуви</t>
        </is>
      </c>
      <c r="C2197" s="2" t="inlineStr">
        <is>
          <t>Товары для дома и дачи</t>
        </is>
      </c>
      <c r="D2197" s="2" t="inlineStr">
        <is>
          <t>Товары для дома и дачи → Хозяйственные товары → Уход за обувью → Щетки и ложки для обуви</t>
        </is>
      </c>
      <c r="E2197" s="3" t="n">
        <v>3827</v>
      </c>
      <c r="F2197" s="3" t="n">
        <v>6</v>
      </c>
      <c r="G2197" s="3">
        <f>IFERROR(E2197/F2197,0)</f>
        <v/>
      </c>
      <c r="H2197" s="3" t="n">
        <v>3</v>
      </c>
      <c r="I2197" s="2" t="n">
        <v>1</v>
      </c>
      <c r="J2197" s="3">
        <f>IFERROR(E2197/H2197,0)</f>
        <v/>
      </c>
      <c r="K2197" s="10">
        <f>E2197/'По разделам'!$B$21</f>
        <v/>
      </c>
      <c r="L2197" s="4">
        <f>L2196+K2197</f>
        <v/>
      </c>
      <c r="M2197" s="2" t="inlineStr">
        <is>
          <t>04174</t>
        </is>
      </c>
      <c r="N2197" s="2" t="inlineStr">
        <is>
          <t>https://app.redstat.kz/niche/04174?event_date=2026-08-01</t>
        </is>
      </c>
      <c r="O2197" s="2" t="inlineStr">
        <is>
          <t>https://kaspi.kz/shop/c/brushes%20and%20spoons%20for%20shoes/</t>
        </is>
      </c>
    </row>
    <row r="2198">
      <c r="A2198" s="2" t="n">
        <v>2197</v>
      </c>
      <c r="B2198" s="2" t="inlineStr">
        <is>
          <t>Аксессуары для измерительных инструментов</t>
        </is>
      </c>
      <c r="C2198" s="2" t="inlineStr">
        <is>
          <t>Строительство, ремонт</t>
        </is>
      </c>
      <c r="D2198" s="2" t="inlineStr">
        <is>
          <t>Строительство, ремонт → Инструменты → Измерительные инструменты → Аксессуары для измерительных инструментов</t>
        </is>
      </c>
      <c r="E2198" s="3" t="n">
        <v>3795</v>
      </c>
      <c r="F2198" s="3" t="n">
        <v>4</v>
      </c>
      <c r="G2198" s="3">
        <f>IFERROR(E2198/F2198,0)</f>
        <v/>
      </c>
      <c r="H2198" s="3" t="n">
        <v>1</v>
      </c>
      <c r="I2198" s="2" t="n">
        <v>0</v>
      </c>
      <c r="J2198" s="3">
        <f>IFERROR(E2198/H2198,0)</f>
        <v/>
      </c>
      <c r="K2198" s="10">
        <f>E2198/'По разделам'!$B$21</f>
        <v/>
      </c>
      <c r="L2198" s="4">
        <f>L2197+K2198</f>
        <v/>
      </c>
      <c r="M2198" s="2" t="inlineStr">
        <is>
          <t>06376</t>
        </is>
      </c>
      <c r="N2198" s="2" t="inlineStr">
        <is>
          <t>https://app.redstat.kz/niche/06376?event_date=2026-08-01</t>
        </is>
      </c>
      <c r="O2198" s="2" t="inlineStr">
        <is>
          <t>https://kaspi.kz/shop/c/measuring%20tool%20accessories/</t>
        </is>
      </c>
    </row>
    <row r="2199">
      <c r="A2199" s="2" t="n">
        <v>2198</v>
      </c>
      <c r="B2199" s="2" t="inlineStr">
        <is>
          <t>Кейкапы для клавиатур</t>
        </is>
      </c>
      <c r="C2199" s="2" t="inlineStr">
        <is>
          <t>Компьютеры</t>
        </is>
      </c>
      <c r="D2199" s="2" t="inlineStr">
        <is>
          <t>Компьютеры → Периферия → Другая периферия → Кейкапы для клавиатур</t>
        </is>
      </c>
      <c r="E2199" s="3" t="n">
        <v>3500</v>
      </c>
      <c r="F2199" s="3" t="n">
        <v>1</v>
      </c>
      <c r="G2199" s="3">
        <f>IFERROR(E2199/F2199,0)</f>
        <v/>
      </c>
      <c r="H2199" s="3" t="n">
        <v>1</v>
      </c>
      <c r="I2199" s="2" t="n">
        <v>0</v>
      </c>
      <c r="J2199" s="3">
        <f>IFERROR(E2199/H2199,0)</f>
        <v/>
      </c>
      <c r="K2199" s="10">
        <f>E2199/'По разделам'!$B$21</f>
        <v/>
      </c>
      <c r="L2199" s="4">
        <f>L2198+K2199</f>
        <v/>
      </c>
      <c r="M2199" s="2" t="inlineStr">
        <is>
          <t>03954</t>
        </is>
      </c>
      <c r="N2199" s="2" t="inlineStr">
        <is>
          <t>https://app.redstat.kz/niche/03954?event_date=2026-08-01</t>
        </is>
      </c>
      <c r="O2199" s="2" t="inlineStr">
        <is>
          <t>https://kaspi.kz/shop/c/keycaps%20for%20keyboards/</t>
        </is>
      </c>
    </row>
    <row r="2200">
      <c r="A2200" s="2" t="n">
        <v>2199</v>
      </c>
      <c r="B2200" s="2" t="inlineStr">
        <is>
          <t>Фурнитура для плинтусов</t>
        </is>
      </c>
      <c r="C2200" s="2" t="inlineStr">
        <is>
          <t>Строительство, ремонт</t>
        </is>
      </c>
      <c r="D2200" s="2" t="inlineStr">
        <is>
          <t>Строительство, ремонт → Отделочные материалы → Напольные покрытия → Напольные плинтусы и аксессуары → Фурнитура для плинтусов</t>
        </is>
      </c>
      <c r="E2200" s="3" t="n">
        <v>3400</v>
      </c>
      <c r="F2200" s="3" t="n">
        <v>3</v>
      </c>
      <c r="G2200" s="3">
        <f>IFERROR(E2200/F2200,0)</f>
        <v/>
      </c>
      <c r="H2200" s="3" t="n">
        <v>1</v>
      </c>
      <c r="I2200" s="2" t="n">
        <v>1</v>
      </c>
      <c r="J2200" s="3">
        <f>IFERROR(E2200/H2200,0)</f>
        <v/>
      </c>
      <c r="K2200" s="10">
        <f>E2200/'По разделам'!$B$21</f>
        <v/>
      </c>
      <c r="L2200" s="4">
        <f>L2199+K2200</f>
        <v/>
      </c>
      <c r="M2200" s="2" t="inlineStr">
        <is>
          <t>09259</t>
        </is>
      </c>
      <c r="N2200" s="2" t="inlineStr">
        <is>
          <t>https://app.redstat.kz/niche/09259?event_date=2026-08-01</t>
        </is>
      </c>
      <c r="O2200" s="2" t="inlineStr">
        <is>
          <t>https://kaspi.kz/shop/c/accessories%20for%20skirting%20boards/</t>
        </is>
      </c>
    </row>
    <row r="2201">
      <c r="A2201" s="2" t="n">
        <v>2200</v>
      </c>
      <c r="B2201" s="2" t="inlineStr">
        <is>
          <t>Пусковые провода и зажимы</t>
        </is>
      </c>
      <c r="C2201" s="2" t="inlineStr">
        <is>
          <t>Автотовары</t>
        </is>
      </c>
      <c r="D2201" s="2" t="inlineStr">
        <is>
          <t>Автотовары → Автомобильное оборудование → Аварийное оборудование → Пусковые провода и зажимы</t>
        </is>
      </c>
      <c r="E2201" s="3" t="n">
        <v>3380</v>
      </c>
      <c r="F2201" s="3" t="n">
        <v>2</v>
      </c>
      <c r="G2201" s="3">
        <f>IFERROR(E2201/F2201,0)</f>
        <v/>
      </c>
      <c r="H2201" s="3" t="n">
        <v>1</v>
      </c>
      <c r="I2201" s="2" t="n">
        <v>1</v>
      </c>
      <c r="J2201" s="3">
        <f>IFERROR(E2201/H2201,0)</f>
        <v/>
      </c>
      <c r="K2201" s="10">
        <f>E2201/'По разделам'!$B$21</f>
        <v/>
      </c>
      <c r="L2201" s="4">
        <f>L2200+K2201</f>
        <v/>
      </c>
      <c r="M2201" s="2" t="inlineStr">
        <is>
          <t>02525</t>
        </is>
      </c>
      <c r="N2201" s="2" t="inlineStr">
        <is>
          <t>https://app.redstat.kz/niche/02525?event_date=2026-08-01</t>
        </is>
      </c>
      <c r="O2201" s="2" t="inlineStr">
        <is>
          <t>https://kaspi.kz/shop/c/car%20battery%20clips/</t>
        </is>
      </c>
    </row>
    <row r="2202">
      <c r="A2202" s="2" t="n">
        <v>2201</v>
      </c>
      <c r="B2202" s="2" t="inlineStr">
        <is>
          <t>Напильники и надфили</t>
        </is>
      </c>
      <c r="C2202" s="2" t="inlineStr">
        <is>
          <t>Строительство, ремонт</t>
        </is>
      </c>
      <c r="D2202" s="2" t="inlineStr">
        <is>
          <t>Строительство, ремонт → … → Напильники и надфили</t>
        </is>
      </c>
      <c r="E2202" s="3" t="n">
        <v>3200</v>
      </c>
      <c r="F2202" s="3" t="n">
        <v>2</v>
      </c>
      <c r="G2202" s="3">
        <f>IFERROR(E2202/F2202,0)</f>
        <v/>
      </c>
      <c r="H2202" s="3" t="n">
        <v>1</v>
      </c>
      <c r="I2202" s="2" t="n">
        <v>1</v>
      </c>
      <c r="J2202" s="3">
        <f>IFERROR(E2202/H2202,0)</f>
        <v/>
      </c>
      <c r="K2202" s="10">
        <f>E2202/'По разделам'!$B$21</f>
        <v/>
      </c>
      <c r="L2202" s="4">
        <f>L2201+K2202</f>
        <v/>
      </c>
      <c r="M2202" s="2" t="inlineStr">
        <is>
          <t>03951</t>
        </is>
      </c>
      <c r="N2202" s="2" t="inlineStr">
        <is>
          <t>https://app.redstat.kz/niche/03951?event_date=2026-08-01</t>
        </is>
      </c>
      <c r="O2202" s="2" t="inlineStr"/>
    </row>
    <row r="2203">
      <c r="A2203" s="2" t="n">
        <v>2202</v>
      </c>
      <c r="B2203" s="2" t="inlineStr">
        <is>
          <t>Термоусадочные трубки</t>
        </is>
      </c>
      <c r="C2203" s="2" t="inlineStr">
        <is>
          <t>Строительство, ремонт</t>
        </is>
      </c>
      <c r="D2203" s="2" t="inlineStr">
        <is>
          <t>Строительство, ремонт → … → Термоусадочные трубки</t>
        </is>
      </c>
      <c r="E2203" s="3" t="n">
        <v>3156</v>
      </c>
      <c r="F2203" s="3" t="n">
        <v>4</v>
      </c>
      <c r="G2203" s="3">
        <f>IFERROR(E2203/F2203,0)</f>
        <v/>
      </c>
      <c r="H2203" s="3" t="n">
        <v>2</v>
      </c>
      <c r="I2203" s="2" t="n">
        <v>1</v>
      </c>
      <c r="J2203" s="3">
        <f>IFERROR(E2203/H2203,0)</f>
        <v/>
      </c>
      <c r="K2203" s="10">
        <f>E2203/'По разделам'!$B$21</f>
        <v/>
      </c>
      <c r="L2203" s="4">
        <f>L2202+K2203</f>
        <v/>
      </c>
      <c r="M2203" s="2" t="inlineStr">
        <is>
          <t>05393</t>
        </is>
      </c>
      <c r="N2203" s="2" t="inlineStr">
        <is>
          <t>https://app.redstat.kz/niche/05393?event_date=2026-08-01</t>
        </is>
      </c>
      <c r="O2203" s="2" t="inlineStr"/>
    </row>
    <row r="2204">
      <c r="A2204" s="2" t="n">
        <v>2203</v>
      </c>
      <c r="B2204" s="2" t="inlineStr">
        <is>
          <t>Свечи зажигания для бензопил, триммеров, мотобуров</t>
        </is>
      </c>
      <c r="C2204" s="2" t="inlineStr">
        <is>
          <t>Строительство, ремонт</t>
        </is>
      </c>
      <c r="D2204" s="2" t="inlineStr">
        <is>
          <t>Строительство, ремонт → … → Свечи зажигания для бензопил, триммеров, мотобуров</t>
        </is>
      </c>
      <c r="E2204" s="3" t="n">
        <v>3100</v>
      </c>
      <c r="F2204" s="3" t="n">
        <v>2</v>
      </c>
      <c r="G2204" s="3">
        <f>IFERROR(E2204/F2204,0)</f>
        <v/>
      </c>
      <c r="H2204" s="3" t="n">
        <v>1</v>
      </c>
      <c r="I2204" s="2" t="n">
        <v>1</v>
      </c>
      <c r="J2204" s="3">
        <f>IFERROR(E2204/H2204,0)</f>
        <v/>
      </c>
      <c r="K2204" s="10">
        <f>E2204/'По разделам'!$B$21</f>
        <v/>
      </c>
      <c r="L2204" s="4">
        <f>L2203+K2204</f>
        <v/>
      </c>
      <c r="M2204" s="2" t="inlineStr">
        <is>
          <t>05469</t>
        </is>
      </c>
      <c r="N2204" s="2" t="inlineStr">
        <is>
          <t>https://app.redstat.kz/niche/05469?event_date=2026-08-01</t>
        </is>
      </c>
      <c r="O2204" s="2" t="inlineStr"/>
    </row>
    <row r="2205">
      <c r="A2205" s="2" t="n">
        <v>2204</v>
      </c>
      <c r="B2205" s="2" t="inlineStr">
        <is>
          <t>Наконечники изолирующие</t>
        </is>
      </c>
      <c r="C2205" s="2" t="inlineStr">
        <is>
          <t>Строительство, ремонт</t>
        </is>
      </c>
      <c r="D2205" s="2" t="inlineStr">
        <is>
          <t>Строительство, ремонт → … → Наконечники изолирующие</t>
        </is>
      </c>
      <c r="E2205" s="3" t="n">
        <v>3094</v>
      </c>
      <c r="F2205" s="3" t="n">
        <v>6</v>
      </c>
      <c r="G2205" s="3">
        <f>IFERROR(E2205/F2205,0)</f>
        <v/>
      </c>
      <c r="H2205" s="3" t="n">
        <v>3</v>
      </c>
      <c r="I2205" s="2" t="n">
        <v>1</v>
      </c>
      <c r="J2205" s="3">
        <f>IFERROR(E2205/H2205,0)</f>
        <v/>
      </c>
      <c r="K2205" s="10">
        <f>E2205/'По разделам'!$B$21</f>
        <v/>
      </c>
      <c r="L2205" s="4">
        <f>L2204+K2205</f>
        <v/>
      </c>
      <c r="M2205" s="2" t="inlineStr">
        <is>
          <t>03559</t>
        </is>
      </c>
      <c r="N2205" s="2" t="inlineStr">
        <is>
          <t>https://app.redstat.kz/niche/03559?event_date=2026-08-01</t>
        </is>
      </c>
      <c r="O2205" s="2" t="inlineStr"/>
    </row>
    <row r="2206">
      <c r="A2206" s="2" t="n">
        <v>2205</v>
      </c>
      <c r="B2206" s="2" t="inlineStr">
        <is>
          <t>Держатели для проводов</t>
        </is>
      </c>
      <c r="C2206" s="2" t="inlineStr">
        <is>
          <t>Компьютеры</t>
        </is>
      </c>
      <c r="D2206" s="2" t="inlineStr">
        <is>
          <t>Компьютеры → … → Держатели для проводов</t>
        </is>
      </c>
      <c r="E2206" s="3" t="n">
        <v>3060</v>
      </c>
      <c r="F2206" s="3" t="n">
        <v>3</v>
      </c>
      <c r="G2206" s="3">
        <f>IFERROR(E2206/F2206,0)</f>
        <v/>
      </c>
      <c r="H2206" s="3" t="n">
        <v>2</v>
      </c>
      <c r="I2206" s="2" t="n">
        <v>0</v>
      </c>
      <c r="J2206" s="3">
        <f>IFERROR(E2206/H2206,0)</f>
        <v/>
      </c>
      <c r="K2206" s="10">
        <f>E2206/'По разделам'!$B$21</f>
        <v/>
      </c>
      <c r="L2206" s="4">
        <f>L2205+K2206</f>
        <v/>
      </c>
      <c r="M2206" s="2" t="inlineStr">
        <is>
          <t>04193</t>
        </is>
      </c>
      <c r="N2206" s="2" t="inlineStr">
        <is>
          <t>https://app.redstat.kz/niche/04193?event_date=2026-08-01</t>
        </is>
      </c>
      <c r="O2206" s="2" t="inlineStr"/>
    </row>
    <row r="2207">
      <c r="A2207" s="2" t="n">
        <v>2206</v>
      </c>
      <c r="B2207" s="2" t="inlineStr">
        <is>
          <t>Точильные станки</t>
        </is>
      </c>
      <c r="C2207" s="2" t="inlineStr">
        <is>
          <t>Строительство, ремонт</t>
        </is>
      </c>
      <c r="D2207" s="2" t="inlineStr">
        <is>
          <t>Строительство, ремонт → … → Точильные станки</t>
        </is>
      </c>
      <c r="E2207" s="3" t="n">
        <v>3000</v>
      </c>
      <c r="F2207" s="3" t="n">
        <v>6</v>
      </c>
      <c r="G2207" s="3">
        <f>IFERROR(E2207/F2207,0)</f>
        <v/>
      </c>
      <c r="H2207" s="3" t="n">
        <v>3</v>
      </c>
      <c r="I2207" s="2" t="n">
        <v>1</v>
      </c>
      <c r="J2207" s="3">
        <f>IFERROR(E2207/H2207,0)</f>
        <v/>
      </c>
      <c r="K2207" s="10">
        <f>E2207/'По разделам'!$B$21</f>
        <v/>
      </c>
      <c r="L2207" s="4">
        <f>L2206+K2207</f>
        <v/>
      </c>
      <c r="M2207" s="2" t="inlineStr">
        <is>
          <t>03437</t>
        </is>
      </c>
      <c r="N2207" s="2" t="inlineStr">
        <is>
          <t>https://app.redstat.kz/niche/03437?event_date=2026-08-01</t>
        </is>
      </c>
      <c r="O2207" s="2" t="inlineStr"/>
    </row>
    <row r="2208">
      <c r="A2208" s="2" t="n">
        <v>2207</v>
      </c>
      <c r="B2208" s="2" t="inlineStr">
        <is>
          <t>Бленды</t>
        </is>
      </c>
      <c r="C2208" s="2" t="inlineStr">
        <is>
          <t>ТВ, Аудио, Видео</t>
        </is>
      </c>
      <c r="D2208" s="2" t="inlineStr">
        <is>
          <t>ТВ, Аудио, Видео → … → Бленды</t>
        </is>
      </c>
      <c r="E2208" s="3" t="n">
        <v>2990</v>
      </c>
      <c r="F2208" s="3" t="n">
        <v>1</v>
      </c>
      <c r="G2208" s="3">
        <f>IFERROR(E2208/F2208,0)</f>
        <v/>
      </c>
      <c r="H2208" s="3" t="n">
        <v>1</v>
      </c>
      <c r="I2208" s="2" t="n">
        <v>1</v>
      </c>
      <c r="J2208" s="3">
        <f>IFERROR(E2208/H2208,0)</f>
        <v/>
      </c>
      <c r="K2208" s="10">
        <f>E2208/'По разделам'!$B$21</f>
        <v/>
      </c>
      <c r="L2208" s="4">
        <f>L2207+K2208</f>
        <v/>
      </c>
      <c r="M2208" s="2" t="inlineStr">
        <is>
          <t>05196</t>
        </is>
      </c>
      <c r="N2208" s="2" t="inlineStr">
        <is>
          <t>https://app.redstat.kz/niche/05196?event_date=2026-08-01</t>
        </is>
      </c>
      <c r="O2208" s="2" t="inlineStr"/>
    </row>
    <row r="2209">
      <c r="A2209" s="2" t="n">
        <v>2208</v>
      </c>
      <c r="B2209" s="2" t="inlineStr">
        <is>
          <t>Садовые лейки</t>
        </is>
      </c>
      <c r="C2209" s="2" t="inlineStr">
        <is>
          <t>Товары для дома и дачи</t>
        </is>
      </c>
      <c r="D2209" s="2" t="inlineStr">
        <is>
          <t>Товары для дома и дачи → … → Садовые лейки</t>
        </is>
      </c>
      <c r="E2209" s="3" t="n">
        <v>2895</v>
      </c>
      <c r="F2209" s="3" t="n">
        <v>2</v>
      </c>
      <c r="G2209" s="3">
        <f>IFERROR(E2209/F2209,0)</f>
        <v/>
      </c>
      <c r="H2209" s="3" t="n">
        <v>1</v>
      </c>
      <c r="I2209" s="2" t="n">
        <v>0</v>
      </c>
      <c r="J2209" s="3">
        <f>IFERROR(E2209/H2209,0)</f>
        <v/>
      </c>
      <c r="K2209" s="10">
        <f>E2209/'По разделам'!$B$21</f>
        <v/>
      </c>
      <c r="L2209" s="4">
        <f>L2208+K2209</f>
        <v/>
      </c>
      <c r="M2209" s="2" t="inlineStr">
        <is>
          <t>03731</t>
        </is>
      </c>
      <c r="N2209" s="2" t="inlineStr">
        <is>
          <t>https://app.redstat.kz/niche/03731?event_date=2026-08-01</t>
        </is>
      </c>
      <c r="O2209" s="2" t="inlineStr"/>
    </row>
    <row r="2210">
      <c r="A2210" s="2" t="n">
        <v>2209</v>
      </c>
      <c r="B2210" s="2" t="inlineStr">
        <is>
          <t>Кухонные таймеры</t>
        </is>
      </c>
      <c r="C2210" s="2" t="inlineStr">
        <is>
          <t>Бытовая техника</t>
        </is>
      </c>
      <c r="D2210" s="2" t="inlineStr">
        <is>
          <t>Бытовая техника → … → Кухонные таймеры</t>
        </is>
      </c>
      <c r="E2210" s="3" t="n">
        <v>2800</v>
      </c>
      <c r="F2210" s="3" t="n">
        <v>1</v>
      </c>
      <c r="G2210" s="3">
        <f>IFERROR(E2210/F2210,0)</f>
        <v/>
      </c>
      <c r="H2210" s="3" t="n">
        <v>1</v>
      </c>
      <c r="I2210" s="2" t="n">
        <v>0</v>
      </c>
      <c r="J2210" s="3">
        <f>IFERROR(E2210/H2210,0)</f>
        <v/>
      </c>
      <c r="K2210" s="10">
        <f>E2210/'По разделам'!$B$21</f>
        <v/>
      </c>
      <c r="L2210" s="4">
        <f>L2209+K2210</f>
        <v/>
      </c>
      <c r="M2210" s="2" t="inlineStr">
        <is>
          <t>04395</t>
        </is>
      </c>
      <c r="N2210" s="2" t="inlineStr">
        <is>
          <t>https://app.redstat.kz/niche/04395?event_date=2026-08-01</t>
        </is>
      </c>
      <c r="O2210" s="2" t="inlineStr"/>
    </row>
    <row r="2211">
      <c r="A2211" s="2" t="n">
        <v>2210</v>
      </c>
      <c r="B2211" s="2" t="inlineStr">
        <is>
          <t>Номера на дверь</t>
        </is>
      </c>
      <c r="C2211" s="2" t="inlineStr">
        <is>
          <t>Строительство, ремонт</t>
        </is>
      </c>
      <c r="D2211" s="2" t="inlineStr">
        <is>
          <t>Строительство, ремонт → … → Номера на дверь</t>
        </is>
      </c>
      <c r="E2211" s="3" t="n">
        <v>2698</v>
      </c>
      <c r="F2211" s="3" t="n">
        <v>8</v>
      </c>
      <c r="G2211" s="3">
        <f>IFERROR(E2211/F2211,0)</f>
        <v/>
      </c>
      <c r="H2211" s="3" t="n">
        <v>2</v>
      </c>
      <c r="I2211" s="2" t="n">
        <v>0</v>
      </c>
      <c r="J2211" s="3">
        <f>IFERROR(E2211/H2211,0)</f>
        <v/>
      </c>
      <c r="K2211" s="10">
        <f>E2211/'По разделам'!$B$21</f>
        <v/>
      </c>
      <c r="L2211" s="4">
        <f>L2210+K2211</f>
        <v/>
      </c>
      <c r="M2211" s="2" t="inlineStr">
        <is>
          <t>06830</t>
        </is>
      </c>
      <c r="N2211" s="2" t="inlineStr">
        <is>
          <t>https://app.redstat.kz/niche/06830?event_date=2026-08-01</t>
        </is>
      </c>
      <c r="O2211" s="2" t="inlineStr"/>
    </row>
    <row r="2212">
      <c r="A2212" s="2" t="n">
        <v>2211</v>
      </c>
      <c r="B2212" s="2" t="inlineStr">
        <is>
          <t>Крепеж для постельного белья</t>
        </is>
      </c>
      <c r="C2212" s="2" t="inlineStr">
        <is>
          <t>Товары для дома и дачи</t>
        </is>
      </c>
      <c r="D2212" s="2" t="inlineStr">
        <is>
          <t>Товары для дома и дачи → … → Крепеж для постельного белья</t>
        </is>
      </c>
      <c r="E2212" s="3" t="n">
        <v>2590</v>
      </c>
      <c r="F2212" s="3" t="n">
        <v>1</v>
      </c>
      <c r="G2212" s="3">
        <f>IFERROR(E2212/F2212,0)</f>
        <v/>
      </c>
      <c r="H2212" s="3" t="n">
        <v>1</v>
      </c>
      <c r="I2212" s="2" t="n">
        <v>0</v>
      </c>
      <c r="J2212" s="3">
        <f>IFERROR(E2212/H2212,0)</f>
        <v/>
      </c>
      <c r="K2212" s="10">
        <f>E2212/'По разделам'!$B$21</f>
        <v/>
      </c>
      <c r="L2212" s="4">
        <f>L2211+K2212</f>
        <v/>
      </c>
      <c r="M2212" s="2" t="inlineStr">
        <is>
          <t>06187</t>
        </is>
      </c>
      <c r="N2212" s="2" t="inlineStr">
        <is>
          <t>https://app.redstat.kz/niche/06187?event_date=2026-08-01</t>
        </is>
      </c>
      <c r="O2212" s="2" t="inlineStr"/>
    </row>
    <row r="2213">
      <c r="A2213" s="2" t="n">
        <v>2212</v>
      </c>
      <c r="B2213" s="2" t="inlineStr">
        <is>
          <t>Укрывные пленки</t>
        </is>
      </c>
      <c r="C2213" s="2" t="inlineStr">
        <is>
          <t>Строительство, ремонт</t>
        </is>
      </c>
      <c r="D2213" s="2" t="inlineStr">
        <is>
          <t>Строительство, ремонт → … → Укрывные пленки</t>
        </is>
      </c>
      <c r="E2213" s="3" t="n">
        <v>2525</v>
      </c>
      <c r="F2213" s="3" t="n">
        <v>3</v>
      </c>
      <c r="G2213" s="3">
        <f>IFERROR(E2213/F2213,0)</f>
        <v/>
      </c>
      <c r="H2213" s="3" t="n">
        <v>1</v>
      </c>
      <c r="I2213" s="2" t="n">
        <v>1</v>
      </c>
      <c r="J2213" s="3">
        <f>IFERROR(E2213/H2213,0)</f>
        <v/>
      </c>
      <c r="K2213" s="10">
        <f>E2213/'По разделам'!$B$21</f>
        <v/>
      </c>
      <c r="L2213" s="4">
        <f>L2212+K2213</f>
        <v/>
      </c>
      <c r="M2213" s="2" t="inlineStr">
        <is>
          <t>07174</t>
        </is>
      </c>
      <c r="N2213" s="2" t="inlineStr">
        <is>
          <t>https://app.redstat.kz/niche/07174?event_date=2026-08-01</t>
        </is>
      </c>
      <c r="O2213" s="2" t="inlineStr"/>
    </row>
    <row r="2214">
      <c r="A2214" s="2" t="n">
        <v>2213</v>
      </c>
      <c r="B2214" s="2" t="inlineStr">
        <is>
          <t>Наборы и горшки для выращивания растений</t>
        </is>
      </c>
      <c r="C2214" s="2" t="inlineStr">
        <is>
          <t>Товары для дома и дачи</t>
        </is>
      </c>
      <c r="D2214" s="2" t="inlineStr">
        <is>
          <t>Товары для дома и дачи → … → Наборы и горшки для выращивания растений</t>
        </is>
      </c>
      <c r="E2214" s="3" t="n">
        <v>2500</v>
      </c>
      <c r="F2214" s="3" t="n">
        <v>1</v>
      </c>
      <c r="G2214" s="3">
        <f>IFERROR(E2214/F2214,0)</f>
        <v/>
      </c>
      <c r="H2214" s="3" t="n">
        <v>1</v>
      </c>
      <c r="I2214" s="2" t="n">
        <v>1</v>
      </c>
      <c r="J2214" s="3">
        <f>IFERROR(E2214/H2214,0)</f>
        <v/>
      </c>
      <c r="K2214" s="10">
        <f>E2214/'По разделам'!$B$21</f>
        <v/>
      </c>
      <c r="L2214" s="4">
        <f>L2213+K2214</f>
        <v/>
      </c>
      <c r="M2214" s="2" t="inlineStr">
        <is>
          <t>05238</t>
        </is>
      </c>
      <c r="N2214" s="2" t="inlineStr">
        <is>
          <t>https://app.redstat.kz/niche/05238?event_date=2026-08-01</t>
        </is>
      </c>
      <c r="O2214" s="2" t="inlineStr"/>
    </row>
    <row r="2215">
      <c r="A2215" s="2" t="n">
        <v>2214</v>
      </c>
      <c r="B2215" s="2" t="inlineStr">
        <is>
          <t>Электрический теплый пол</t>
        </is>
      </c>
      <c r="C2215" s="2" t="inlineStr">
        <is>
          <t>Строительство, ремонт</t>
        </is>
      </c>
      <c r="D2215" s="2" t="inlineStr">
        <is>
          <t>Строительство, ремонт → … → Электрический теплый пол</t>
        </is>
      </c>
      <c r="E2215" s="3" t="n">
        <v>2500</v>
      </c>
      <c r="F2215" s="3" t="n">
        <v>3</v>
      </c>
      <c r="G2215" s="3">
        <f>IFERROR(E2215/F2215,0)</f>
        <v/>
      </c>
      <c r="H2215" s="3" t="n">
        <v>1</v>
      </c>
      <c r="I2215" s="2" t="n">
        <v>1</v>
      </c>
      <c r="J2215" s="3">
        <f>IFERROR(E2215/H2215,0)</f>
        <v/>
      </c>
      <c r="K2215" s="10">
        <f>E2215/'По разделам'!$B$21</f>
        <v/>
      </c>
      <c r="L2215" s="4">
        <f>L2214+K2215</f>
        <v/>
      </c>
      <c r="M2215" s="2" t="inlineStr">
        <is>
          <t>06090</t>
        </is>
      </c>
      <c r="N2215" s="2" t="inlineStr">
        <is>
          <t>https://app.redstat.kz/niche/06090?event_date=2026-08-01</t>
        </is>
      </c>
      <c r="O2215" s="2" t="inlineStr"/>
    </row>
    <row r="2216">
      <c r="A2216" s="2" t="n">
        <v>2215</v>
      </c>
      <c r="B2216" s="2" t="inlineStr">
        <is>
          <t>Системы туманообразования</t>
        </is>
      </c>
      <c r="C2216" s="2" t="inlineStr">
        <is>
          <t>Товары для дома и дачи</t>
        </is>
      </c>
      <c r="D2216" s="2" t="inlineStr">
        <is>
          <t>Товары для дома и дачи → … → Системы туманообразования</t>
        </is>
      </c>
      <c r="E2216" s="3" t="n">
        <v>2500</v>
      </c>
      <c r="F2216" s="3" t="n">
        <v>1</v>
      </c>
      <c r="G2216" s="3">
        <f>IFERROR(E2216/F2216,0)</f>
        <v/>
      </c>
      <c r="H2216" s="3" t="n">
        <v>1</v>
      </c>
      <c r="I2216" s="2" t="n">
        <v>0</v>
      </c>
      <c r="J2216" s="3">
        <f>IFERROR(E2216/H2216,0)</f>
        <v/>
      </c>
      <c r="K2216" s="10">
        <f>E2216/'По разделам'!$B$21</f>
        <v/>
      </c>
      <c r="L2216" s="4">
        <f>L2215+K2216</f>
        <v/>
      </c>
      <c r="M2216" s="2" t="inlineStr">
        <is>
          <t>06962</t>
        </is>
      </c>
      <c r="N2216" s="2" t="inlineStr">
        <is>
          <t>https://app.redstat.kz/niche/06962?event_date=2026-08-01</t>
        </is>
      </c>
      <c r="O2216" s="2" t="inlineStr"/>
    </row>
    <row r="2217">
      <c r="A2217" s="2" t="n">
        <v>2216</v>
      </c>
      <c r="B2217" s="2" t="inlineStr">
        <is>
          <t>Программаторы</t>
        </is>
      </c>
      <c r="C2217" s="2" t="inlineStr">
        <is>
          <t>Компьютеры</t>
        </is>
      </c>
      <c r="D2217" s="2" t="inlineStr">
        <is>
          <t>Компьютеры → … → Программаторы</t>
        </is>
      </c>
      <c r="E2217" s="3" t="n">
        <v>2498</v>
      </c>
      <c r="F2217" s="3" t="n">
        <v>1</v>
      </c>
      <c r="G2217" s="3">
        <f>IFERROR(E2217/F2217,0)</f>
        <v/>
      </c>
      <c r="H2217" s="3" t="n">
        <v>1</v>
      </c>
      <c r="I2217" s="2" t="n">
        <v>0</v>
      </c>
      <c r="J2217" s="3">
        <f>IFERROR(E2217/H2217,0)</f>
        <v/>
      </c>
      <c r="K2217" s="10">
        <f>E2217/'По разделам'!$B$21</f>
        <v/>
      </c>
      <c r="L2217" s="4">
        <f>L2216+K2217</f>
        <v/>
      </c>
      <c r="M2217" s="2" t="inlineStr">
        <is>
          <t>06166</t>
        </is>
      </c>
      <c r="N2217" s="2" t="inlineStr">
        <is>
          <t>https://app.redstat.kz/niche/06166?event_date=2026-08-01</t>
        </is>
      </c>
      <c r="O2217" s="2" t="inlineStr"/>
    </row>
    <row r="2218">
      <c r="A2218" s="2" t="n">
        <v>2217</v>
      </c>
      <c r="B2218" s="2" t="inlineStr">
        <is>
          <t>Посуда из пластика</t>
        </is>
      </c>
      <c r="C2218" s="2" t="inlineStr">
        <is>
          <t>Товары для дома и дачи</t>
        </is>
      </c>
      <c r="D2218" s="2" t="inlineStr">
        <is>
          <t>Товары для дома и дачи → … → Посуда из пластика</t>
        </is>
      </c>
      <c r="E2218" s="3" t="n">
        <v>2498</v>
      </c>
      <c r="F2218" s="3" t="n">
        <v>1</v>
      </c>
      <c r="G2218" s="3">
        <f>IFERROR(E2218/F2218,0)</f>
        <v/>
      </c>
      <c r="H2218" s="3" t="n">
        <v>1</v>
      </c>
      <c r="I2218" s="2" t="n">
        <v>0</v>
      </c>
      <c r="J2218" s="3">
        <f>IFERROR(E2218/H2218,0)</f>
        <v/>
      </c>
      <c r="K2218" s="10">
        <f>E2218/'По разделам'!$B$21</f>
        <v/>
      </c>
      <c r="L2218" s="4">
        <f>L2217+K2218</f>
        <v/>
      </c>
      <c r="M2218" s="2" t="inlineStr">
        <is>
          <t>09181</t>
        </is>
      </c>
      <c r="N2218" s="2" t="inlineStr">
        <is>
          <t>https://app.redstat.kz/niche/09181?event_date=2026-08-01</t>
        </is>
      </c>
      <c r="O2218" s="2" t="inlineStr"/>
    </row>
    <row r="2219">
      <c r="A2219" s="2" t="n">
        <v>2218</v>
      </c>
      <c r="B2219" s="2" t="inlineStr">
        <is>
          <t>Подставки под запястье</t>
        </is>
      </c>
      <c r="C2219" s="2" t="inlineStr">
        <is>
          <t>Компьютеры</t>
        </is>
      </c>
      <c r="D2219" s="2" t="inlineStr">
        <is>
          <t>Компьютеры → … → Подставки под запястье</t>
        </is>
      </c>
      <c r="E2219" s="3" t="n">
        <v>2490</v>
      </c>
      <c r="F2219" s="3" t="n">
        <v>1</v>
      </c>
      <c r="G2219" s="3">
        <f>IFERROR(E2219/F2219,0)</f>
        <v/>
      </c>
      <c r="H2219" s="3" t="n">
        <v>1</v>
      </c>
      <c r="I2219" s="2" t="n">
        <v>0</v>
      </c>
      <c r="J2219" s="3">
        <f>IFERROR(E2219/H2219,0)</f>
        <v/>
      </c>
      <c r="K2219" s="10">
        <f>E2219/'По разделам'!$B$21</f>
        <v/>
      </c>
      <c r="L2219" s="4">
        <f>L2218+K2219</f>
        <v/>
      </c>
      <c r="M2219" s="2" t="inlineStr">
        <is>
          <t>03956</t>
        </is>
      </c>
      <c r="N2219" s="2" t="inlineStr">
        <is>
          <t>https://app.redstat.kz/niche/03956?event_date=2026-08-01</t>
        </is>
      </c>
      <c r="O2219" s="2" t="inlineStr"/>
    </row>
    <row r="2220">
      <c r="A2220" s="2" t="n">
        <v>2219</v>
      </c>
      <c r="B2220" s="2" t="inlineStr">
        <is>
          <t>Лейки для садового душа</t>
        </is>
      </c>
      <c r="C2220" s="2" t="inlineStr">
        <is>
          <t>Товары для дома и дачи</t>
        </is>
      </c>
      <c r="D2220" s="2" t="inlineStr">
        <is>
          <t>Товары для дома и дачи → … → Лейки для садового душа</t>
        </is>
      </c>
      <c r="E2220" s="3" t="n">
        <v>2490</v>
      </c>
      <c r="F2220" s="3" t="n">
        <v>1</v>
      </c>
      <c r="G2220" s="3">
        <f>IFERROR(E2220/F2220,0)</f>
        <v/>
      </c>
      <c r="H2220" s="3" t="n">
        <v>1</v>
      </c>
      <c r="I2220" s="2" t="n">
        <v>1</v>
      </c>
      <c r="J2220" s="3">
        <f>IFERROR(E2220/H2220,0)</f>
        <v/>
      </c>
      <c r="K2220" s="10">
        <f>E2220/'По разделам'!$B$21</f>
        <v/>
      </c>
      <c r="L2220" s="4">
        <f>L2219+K2220</f>
        <v/>
      </c>
      <c r="M2220" s="2" t="inlineStr">
        <is>
          <t>09240</t>
        </is>
      </c>
      <c r="N2220" s="2" t="inlineStr">
        <is>
          <t>https://app.redstat.kz/niche/09240?event_date=2026-08-01</t>
        </is>
      </c>
      <c r="O2220" s="2" t="inlineStr"/>
    </row>
    <row r="2221">
      <c r="A2221" s="2" t="n">
        <v>2220</v>
      </c>
      <c r="B2221" s="2" t="inlineStr">
        <is>
          <t>Клеи для напольных покрытий, клеи-мастики</t>
        </is>
      </c>
      <c r="C2221" s="2" t="inlineStr">
        <is>
          <t>Строительство, ремонт</t>
        </is>
      </c>
      <c r="D2221" s="2" t="inlineStr">
        <is>
          <t>Строительство, ремонт → … → Клеи для напольных покрытий, клеи-мастики</t>
        </is>
      </c>
      <c r="E2221" s="3" t="n">
        <v>2450</v>
      </c>
      <c r="F2221" s="3" t="n">
        <v>2</v>
      </c>
      <c r="G2221" s="3">
        <f>IFERROR(E2221/F2221,0)</f>
        <v/>
      </c>
      <c r="H2221" s="3" t="n">
        <v>1</v>
      </c>
      <c r="I2221" s="2" t="n">
        <v>1</v>
      </c>
      <c r="J2221" s="3">
        <f>IFERROR(E2221/H2221,0)</f>
        <v/>
      </c>
      <c r="K2221" s="10">
        <f>E2221/'По разделам'!$B$21</f>
        <v/>
      </c>
      <c r="L2221" s="4">
        <f>L2220+K2221</f>
        <v/>
      </c>
      <c r="M2221" s="2" t="inlineStr">
        <is>
          <t>05789</t>
        </is>
      </c>
      <c r="N2221" s="2" t="inlineStr">
        <is>
          <t>https://app.redstat.kz/niche/05789?event_date=2026-08-01</t>
        </is>
      </c>
      <c r="O2221" s="2" t="inlineStr"/>
    </row>
    <row r="2222">
      <c r="A2222" s="2" t="n">
        <v>2221</v>
      </c>
      <c r="B2222" s="2" t="inlineStr">
        <is>
          <t>Автомобильные реле</t>
        </is>
      </c>
      <c r="C2222" s="2" t="inlineStr">
        <is>
          <t>Автотовары</t>
        </is>
      </c>
      <c r="D2222" s="2" t="inlineStr">
        <is>
          <t>Автотовары → … → Автомобильные реле</t>
        </is>
      </c>
      <c r="E2222" s="3" t="n">
        <v>2450</v>
      </c>
      <c r="F2222" s="3" t="n">
        <v>4</v>
      </c>
      <c r="G2222" s="3">
        <f>IFERROR(E2222/F2222,0)</f>
        <v/>
      </c>
      <c r="H2222" s="3" t="n">
        <v>1</v>
      </c>
      <c r="I2222" s="2" t="n">
        <v>1</v>
      </c>
      <c r="J2222" s="3">
        <f>IFERROR(E2222/H2222,0)</f>
        <v/>
      </c>
      <c r="K2222" s="10">
        <f>E2222/'По разделам'!$B$21</f>
        <v/>
      </c>
      <c r="L2222" s="4">
        <f>L2221+K2222</f>
        <v/>
      </c>
      <c r="M2222" s="2" t="inlineStr">
        <is>
          <t>05817</t>
        </is>
      </c>
      <c r="N2222" s="2" t="inlineStr">
        <is>
          <t>https://app.redstat.kz/niche/05817?event_date=2026-08-01</t>
        </is>
      </c>
      <c r="O2222" s="2" t="inlineStr"/>
    </row>
    <row r="2223">
      <c r="A2223" s="2" t="n">
        <v>2222</v>
      </c>
      <c r="B2223" s="2" t="inlineStr">
        <is>
          <t>Емкости для отработанных чернил</t>
        </is>
      </c>
      <c r="C2223" s="2" t="inlineStr">
        <is>
          <t>Компьютеры</t>
        </is>
      </c>
      <c r="D2223" s="2" t="inlineStr">
        <is>
          <t>Компьютеры → … → Емкости для отработанных чернил</t>
        </is>
      </c>
      <c r="E2223" s="3" t="n">
        <v>2390</v>
      </c>
      <c r="F2223" s="3" t="n">
        <v>1</v>
      </c>
      <c r="G2223" s="3">
        <f>IFERROR(E2223/F2223,0)</f>
        <v/>
      </c>
      <c r="H2223" s="3" t="n">
        <v>1</v>
      </c>
      <c r="I2223" s="2" t="n">
        <v>0</v>
      </c>
      <c r="J2223" s="3">
        <f>IFERROR(E2223/H2223,0)</f>
        <v/>
      </c>
      <c r="K2223" s="10">
        <f>E2223/'По разделам'!$B$21</f>
        <v/>
      </c>
      <c r="L2223" s="4">
        <f>L2222+K2223</f>
        <v/>
      </c>
      <c r="M2223" s="2" t="inlineStr">
        <is>
          <t>04598</t>
        </is>
      </c>
      <c r="N2223" s="2" t="inlineStr">
        <is>
          <t>https://app.redstat.kz/niche/04598?event_date=2026-08-01</t>
        </is>
      </c>
      <c r="O2223" s="2" t="inlineStr"/>
    </row>
    <row r="2224">
      <c r="A2224" s="2" t="n">
        <v>2223</v>
      </c>
      <c r="B2224" s="2" t="inlineStr">
        <is>
          <t>Садовые фигуры</t>
        </is>
      </c>
      <c r="C2224" s="2" t="inlineStr">
        <is>
          <t>Товары для дома и дачи</t>
        </is>
      </c>
      <c r="D2224" s="2" t="inlineStr">
        <is>
          <t>Товары для дома и дачи → … → Садовые фигуры</t>
        </is>
      </c>
      <c r="E2224" s="3" t="n">
        <v>2390</v>
      </c>
      <c r="F2224" s="3" t="n">
        <v>1</v>
      </c>
      <c r="G2224" s="3">
        <f>IFERROR(E2224/F2224,0)</f>
        <v/>
      </c>
      <c r="H2224" s="3" t="n">
        <v>1</v>
      </c>
      <c r="I2224" s="2" t="n">
        <v>1</v>
      </c>
      <c r="J2224" s="3">
        <f>IFERROR(E2224/H2224,0)</f>
        <v/>
      </c>
      <c r="K2224" s="10">
        <f>E2224/'По разделам'!$B$21</f>
        <v/>
      </c>
      <c r="L2224" s="4">
        <f>L2223+K2224</f>
        <v/>
      </c>
      <c r="M2224" s="2" t="inlineStr">
        <is>
          <t>04664</t>
        </is>
      </c>
      <c r="N2224" s="2" t="inlineStr">
        <is>
          <t>https://app.redstat.kz/niche/04664?event_date=2026-08-01</t>
        </is>
      </c>
      <c r="O2224" s="2" t="inlineStr"/>
    </row>
    <row r="2225">
      <c r="A2225" s="2" t="n">
        <v>2224</v>
      </c>
      <c r="B2225" s="2" t="inlineStr">
        <is>
          <t>Портативные ванны</t>
        </is>
      </c>
      <c r="C2225" s="2" t="inlineStr">
        <is>
          <t>Товары для дома и дачи</t>
        </is>
      </c>
      <c r="D2225" s="2" t="inlineStr">
        <is>
          <t>Товары для дома и дачи → … → Портативные ванны</t>
        </is>
      </c>
      <c r="E2225" s="3" t="n">
        <v>2300</v>
      </c>
      <c r="F2225" s="3" t="n">
        <v>1</v>
      </c>
      <c r="G2225" s="3">
        <f>IFERROR(E2225/F2225,0)</f>
        <v/>
      </c>
      <c r="H2225" s="3" t="n">
        <v>1</v>
      </c>
      <c r="I2225" s="2" t="n">
        <v>0</v>
      </c>
      <c r="J2225" s="3">
        <f>IFERROR(E2225/H2225,0)</f>
        <v/>
      </c>
      <c r="K2225" s="10">
        <f>E2225/'По разделам'!$B$21</f>
        <v/>
      </c>
      <c r="L2225" s="4">
        <f>L2224+K2225</f>
        <v/>
      </c>
      <c r="M2225" s="2" t="inlineStr">
        <is>
          <t>06559</t>
        </is>
      </c>
      <c r="N2225" s="2" t="inlineStr">
        <is>
          <t>https://app.redstat.kz/niche/06559?event_date=2026-08-01</t>
        </is>
      </c>
      <c r="O2225" s="2" t="inlineStr"/>
    </row>
    <row r="2226">
      <c r="A2226" s="2" t="n">
        <v>2225</v>
      </c>
      <c r="B2226" s="2" t="inlineStr">
        <is>
          <t>Пороги автоматические для дверей</t>
        </is>
      </c>
      <c r="C2226" s="2" t="inlineStr">
        <is>
          <t>Строительство, ремонт</t>
        </is>
      </c>
      <c r="D2226" s="2" t="inlineStr">
        <is>
          <t>Строительство, ремонт → … → Пороги автоматические для дверей</t>
        </is>
      </c>
      <c r="E2226" s="3" t="n">
        <v>2268</v>
      </c>
      <c r="F2226" s="3" t="n">
        <v>2</v>
      </c>
      <c r="G2226" s="3">
        <f>IFERROR(E2226/F2226,0)</f>
        <v/>
      </c>
      <c r="H2226" s="3" t="n">
        <v>1</v>
      </c>
      <c r="I2226" s="2" t="n">
        <v>0</v>
      </c>
      <c r="J2226" s="3">
        <f>IFERROR(E2226/H2226,0)</f>
        <v/>
      </c>
      <c r="K2226" s="10">
        <f>E2226/'По разделам'!$B$21</f>
        <v/>
      </c>
      <c r="L2226" s="4">
        <f>L2225+K2226</f>
        <v/>
      </c>
      <c r="M2226" s="2" t="inlineStr">
        <is>
          <t>05052</t>
        </is>
      </c>
      <c r="N2226" s="2" t="inlineStr">
        <is>
          <t>https://app.redstat.kz/niche/05052?event_date=2026-08-01</t>
        </is>
      </c>
      <c r="O2226" s="2" t="inlineStr"/>
    </row>
    <row r="2227">
      <c r="A2227" s="2" t="n">
        <v>2226</v>
      </c>
      <c r="B2227" s="2" t="inlineStr">
        <is>
          <t>Автомобильные сигналы</t>
        </is>
      </c>
      <c r="C2227" s="2" t="inlineStr">
        <is>
          <t>Автотовары</t>
        </is>
      </c>
      <c r="D2227" s="2" t="inlineStr">
        <is>
          <t>Автотовары → … → Автомобильные сигналы</t>
        </is>
      </c>
      <c r="E2227" s="3" t="n">
        <v>2264</v>
      </c>
      <c r="F2227" s="3" t="n">
        <v>2</v>
      </c>
      <c r="G2227" s="3">
        <f>IFERROR(E2227/F2227,0)</f>
        <v/>
      </c>
      <c r="H2227" s="3" t="n">
        <v>1</v>
      </c>
      <c r="I2227" s="2" t="n">
        <v>1</v>
      </c>
      <c r="J2227" s="3">
        <f>IFERROR(E2227/H2227,0)</f>
        <v/>
      </c>
      <c r="K2227" s="10">
        <f>E2227/'По разделам'!$B$21</f>
        <v/>
      </c>
      <c r="L2227" s="4">
        <f>L2226+K2227</f>
        <v/>
      </c>
      <c r="M2227" s="2" t="inlineStr">
        <is>
          <t>04603</t>
        </is>
      </c>
      <c r="N2227" s="2" t="inlineStr">
        <is>
          <t>https://app.redstat.kz/niche/04603?event_date=2026-08-01</t>
        </is>
      </c>
      <c r="O2227" s="2" t="inlineStr"/>
    </row>
    <row r="2228">
      <c r="A2228" s="2" t="n">
        <v>2227</v>
      </c>
      <c r="B2228" s="2" t="inlineStr">
        <is>
          <t>Прищепки для белья</t>
        </is>
      </c>
      <c r="C2228" s="2" t="inlineStr">
        <is>
          <t>Товары для дома и дачи</t>
        </is>
      </c>
      <c r="D2228" s="2" t="inlineStr">
        <is>
          <t>Товары для дома и дачи → … → Прищепки для белья</t>
        </is>
      </c>
      <c r="E2228" s="3" t="n">
        <v>2240</v>
      </c>
      <c r="F2228" s="3" t="n">
        <v>2</v>
      </c>
      <c r="G2228" s="3">
        <f>IFERROR(E2228/F2228,0)</f>
        <v/>
      </c>
      <c r="H2228" s="3" t="n">
        <v>1</v>
      </c>
      <c r="I2228" s="2" t="n">
        <v>1</v>
      </c>
      <c r="J2228" s="3">
        <f>IFERROR(E2228/H2228,0)</f>
        <v/>
      </c>
      <c r="K2228" s="10">
        <f>E2228/'По разделам'!$B$21</f>
        <v/>
      </c>
      <c r="L2228" s="4">
        <f>L2227+K2228</f>
        <v/>
      </c>
      <c r="M2228" s="2" t="inlineStr">
        <is>
          <t>04530</t>
        </is>
      </c>
      <c r="N2228" s="2" t="inlineStr">
        <is>
          <t>https://app.redstat.kz/niche/04530?event_date=2026-08-01</t>
        </is>
      </c>
      <c r="O2228" s="2" t="inlineStr"/>
    </row>
    <row r="2229">
      <c r="A2229" s="2" t="n">
        <v>2228</v>
      </c>
      <c r="B2229" s="2" t="inlineStr">
        <is>
          <t>Ключи для домофонов</t>
        </is>
      </c>
      <c r="C2229" s="2" t="inlineStr">
        <is>
          <t>Строительство, ремонт</t>
        </is>
      </c>
      <c r="D2229" s="2" t="inlineStr">
        <is>
          <t>Строительство, ремонт → … → Ключи для домофонов</t>
        </is>
      </c>
      <c r="E2229" s="3" t="n">
        <v>2220</v>
      </c>
      <c r="F2229" s="3" t="n">
        <v>3</v>
      </c>
      <c r="G2229" s="3">
        <f>IFERROR(E2229/F2229,0)</f>
        <v/>
      </c>
      <c r="H2229" s="3" t="n">
        <v>1</v>
      </c>
      <c r="I2229" s="2" t="n">
        <v>0</v>
      </c>
      <c r="J2229" s="3">
        <f>IFERROR(E2229/H2229,0)</f>
        <v/>
      </c>
      <c r="K2229" s="10">
        <f>E2229/'По разделам'!$B$21</f>
        <v/>
      </c>
      <c r="L2229" s="4">
        <f>L2228+K2229</f>
        <v/>
      </c>
      <c r="M2229" s="2" t="inlineStr">
        <is>
          <t>05974</t>
        </is>
      </c>
      <c r="N2229" s="2" t="inlineStr">
        <is>
          <t>https://app.redstat.kz/niche/05974?event_date=2026-08-01</t>
        </is>
      </c>
      <c r="O2229" s="2" t="inlineStr"/>
    </row>
    <row r="2230">
      <c r="A2230" s="2" t="n">
        <v>2229</v>
      </c>
      <c r="B2230" s="2" t="inlineStr">
        <is>
          <t>Соединительные изолирующие зажимы</t>
        </is>
      </c>
      <c r="C2230" s="2" t="inlineStr">
        <is>
          <t>Строительство, ремонт</t>
        </is>
      </c>
      <c r="D2230" s="2" t="inlineStr">
        <is>
          <t>Строительство, ремонт → … → Соединительные изолирующие зажимы</t>
        </is>
      </c>
      <c r="E2230" s="3" t="n">
        <v>2200</v>
      </c>
      <c r="F2230" s="3" t="n">
        <v>2</v>
      </c>
      <c r="G2230" s="3">
        <f>IFERROR(E2230/F2230,0)</f>
        <v/>
      </c>
      <c r="H2230" s="3" t="n">
        <v>1</v>
      </c>
      <c r="I2230" s="2" t="n">
        <v>1</v>
      </c>
      <c r="J2230" s="3">
        <f>IFERROR(E2230/H2230,0)</f>
        <v/>
      </c>
      <c r="K2230" s="10">
        <f>E2230/'По разделам'!$B$21</f>
        <v/>
      </c>
      <c r="L2230" s="4">
        <f>L2229+K2230</f>
        <v/>
      </c>
      <c r="M2230" s="2" t="inlineStr">
        <is>
          <t>03560</t>
        </is>
      </c>
      <c r="N2230" s="2" t="inlineStr">
        <is>
          <t>https://app.redstat.kz/niche/03560?event_date=2026-08-01</t>
        </is>
      </c>
      <c r="O2230" s="2" t="inlineStr"/>
    </row>
    <row r="2231">
      <c r="A2231" s="2" t="n">
        <v>2230</v>
      </c>
      <c r="B2231" s="2" t="inlineStr">
        <is>
          <t>Док-станции для ноутбуков</t>
        </is>
      </c>
      <c r="C2231" s="2" t="inlineStr">
        <is>
          <t>Компьютеры</t>
        </is>
      </c>
      <c r="D2231" s="2" t="inlineStr">
        <is>
          <t>Компьютеры → … → Док-станции для ноутбуков</t>
        </is>
      </c>
      <c r="E2231" s="3" t="n">
        <v>2187</v>
      </c>
      <c r="F2231" s="3" t="n">
        <v>1</v>
      </c>
      <c r="G2231" s="3">
        <f>IFERROR(E2231/F2231,0)</f>
        <v/>
      </c>
      <c r="H2231" s="3" t="n">
        <v>1</v>
      </c>
      <c r="I2231" s="2" t="n">
        <v>1</v>
      </c>
      <c r="J2231" s="3">
        <f>IFERROR(E2231/H2231,0)</f>
        <v/>
      </c>
      <c r="K2231" s="10">
        <f>E2231/'По разделам'!$B$21</f>
        <v/>
      </c>
      <c r="L2231" s="4">
        <f>L2230+K2231</f>
        <v/>
      </c>
      <c r="M2231" s="2" t="inlineStr">
        <is>
          <t>03620</t>
        </is>
      </c>
      <c r="N2231" s="2" t="inlineStr">
        <is>
          <t>https://app.redstat.kz/niche/03620?event_date=2026-08-01</t>
        </is>
      </c>
      <c r="O2231" s="2" t="inlineStr"/>
    </row>
    <row r="2232">
      <c r="A2232" s="2" t="n">
        <v>2231</v>
      </c>
      <c r="B2232" s="2" t="inlineStr">
        <is>
          <t>Средства защиты органов слуха</t>
        </is>
      </c>
      <c r="C2232" s="2" t="inlineStr">
        <is>
          <t>Строительство, ремонт</t>
        </is>
      </c>
      <c r="D2232" s="2" t="inlineStr">
        <is>
          <t>Строительство, ремонт → … → Средства защиты органов слуха</t>
        </is>
      </c>
      <c r="E2232" s="3" t="n">
        <v>2137</v>
      </c>
      <c r="F2232" s="3" t="n">
        <v>7</v>
      </c>
      <c r="G2232" s="3">
        <f>IFERROR(E2232/F2232,0)</f>
        <v/>
      </c>
      <c r="H2232" s="3" t="n">
        <v>2</v>
      </c>
      <c r="I2232" s="2" t="n">
        <v>1</v>
      </c>
      <c r="J2232" s="3">
        <f>IFERROR(E2232/H2232,0)</f>
        <v/>
      </c>
      <c r="K2232" s="10">
        <f>E2232/'По разделам'!$B$21</f>
        <v/>
      </c>
      <c r="L2232" s="4">
        <f>L2231+K2232</f>
        <v/>
      </c>
      <c r="M2232" s="2" t="inlineStr">
        <is>
          <t>05954</t>
        </is>
      </c>
      <c r="N2232" s="2" t="inlineStr">
        <is>
          <t>https://app.redstat.kz/niche/05954?event_date=2026-08-01</t>
        </is>
      </c>
      <c r="O2232" s="2" t="inlineStr"/>
    </row>
    <row r="2233">
      <c r="A2233" s="2" t="n">
        <v>2232</v>
      </c>
      <c r="B2233" s="2" t="inlineStr">
        <is>
          <t>Дисплеи для планшетов</t>
        </is>
      </c>
      <c r="C2233" s="2" t="inlineStr">
        <is>
          <t>Компьютеры</t>
        </is>
      </c>
      <c r="D2233" s="2" t="inlineStr">
        <is>
          <t>Компьютеры → … → Дисплеи для планшетов</t>
        </is>
      </c>
      <c r="E2233" s="3" t="n">
        <v>2041</v>
      </c>
      <c r="F2233" s="3" t="n">
        <v>1</v>
      </c>
      <c r="G2233" s="3">
        <f>IFERROR(E2233/F2233,0)</f>
        <v/>
      </c>
      <c r="H2233" s="3" t="n">
        <v>1</v>
      </c>
      <c r="I2233" s="2" t="n">
        <v>0</v>
      </c>
      <c r="J2233" s="3">
        <f>IFERROR(E2233/H2233,0)</f>
        <v/>
      </c>
      <c r="K2233" s="10">
        <f>E2233/'По разделам'!$B$21</f>
        <v/>
      </c>
      <c r="L2233" s="4">
        <f>L2232+K2233</f>
        <v/>
      </c>
      <c r="M2233" s="2" t="inlineStr">
        <is>
          <t>07075</t>
        </is>
      </c>
      <c r="N2233" s="2" t="inlineStr">
        <is>
          <t>https://app.redstat.kz/niche/07075?event_date=2026-08-01</t>
        </is>
      </c>
      <c r="O2233" s="2" t="inlineStr"/>
    </row>
    <row r="2234">
      <c r="A2234" s="2" t="n">
        <v>2233</v>
      </c>
      <c r="B2234" s="2" t="inlineStr">
        <is>
          <t>Диспенсеры для клейкой ленты</t>
        </is>
      </c>
      <c r="C2234" s="2" t="inlineStr">
        <is>
          <t>Канцелярские товары</t>
        </is>
      </c>
      <c r="D2234" s="2" t="inlineStr">
        <is>
          <t>Канцелярские товары → … → Диспенсеры для клейкой ленты</t>
        </is>
      </c>
      <c r="E2234" s="3" t="n">
        <v>2040</v>
      </c>
      <c r="F2234" s="3" t="n">
        <v>3</v>
      </c>
      <c r="G2234" s="3">
        <f>IFERROR(E2234/F2234,0)</f>
        <v/>
      </c>
      <c r="H2234" s="3" t="n">
        <v>1</v>
      </c>
      <c r="I2234" s="2" t="n">
        <v>0</v>
      </c>
      <c r="J2234" s="3">
        <f>IFERROR(E2234/H2234,0)</f>
        <v/>
      </c>
      <c r="K2234" s="10">
        <f>E2234/'По разделам'!$B$21</f>
        <v/>
      </c>
      <c r="L2234" s="4">
        <f>L2233+K2234</f>
        <v/>
      </c>
      <c r="M2234" s="2" t="inlineStr">
        <is>
          <t>02526</t>
        </is>
      </c>
      <c r="N2234" s="2" t="inlineStr">
        <is>
          <t>https://app.redstat.kz/niche/02526?event_date=2026-08-01</t>
        </is>
      </c>
      <c r="O2234" s="2" t="inlineStr"/>
    </row>
    <row r="2235">
      <c r="A2235" s="2" t="n">
        <v>2234</v>
      </c>
      <c r="B2235" s="2" t="inlineStr">
        <is>
          <t>Проращиватели семян и микрофермы</t>
        </is>
      </c>
      <c r="C2235" s="2" t="inlineStr">
        <is>
          <t>Товары для дома и дачи</t>
        </is>
      </c>
      <c r="D2235" s="2" t="inlineStr">
        <is>
          <t>Товары для дома и дачи → … → Проращиватели семян и микрофермы</t>
        </is>
      </c>
      <c r="E2235" s="3" t="n">
        <v>2000</v>
      </c>
      <c r="F2235" s="3" t="n">
        <v>2</v>
      </c>
      <c r="G2235" s="3">
        <f>IFERROR(E2235/F2235,0)</f>
        <v/>
      </c>
      <c r="H2235" s="3" t="n">
        <v>1</v>
      </c>
      <c r="I2235" s="2" t="n">
        <v>1</v>
      </c>
      <c r="J2235" s="3">
        <f>IFERROR(E2235/H2235,0)</f>
        <v/>
      </c>
      <c r="K2235" s="10">
        <f>E2235/'По разделам'!$B$21</f>
        <v/>
      </c>
      <c r="L2235" s="4">
        <f>L2234+K2235</f>
        <v/>
      </c>
      <c r="M2235" s="2" t="inlineStr">
        <is>
          <t>05235</t>
        </is>
      </c>
      <c r="N2235" s="2" t="inlineStr">
        <is>
          <t>https://app.redstat.kz/niche/05235?event_date=2026-08-01</t>
        </is>
      </c>
      <c r="O2235" s="2" t="inlineStr"/>
    </row>
    <row r="2236">
      <c r="A2236" s="2" t="n">
        <v>2235</v>
      </c>
      <c r="B2236" s="2" t="inlineStr">
        <is>
          <t>Блоки питания для мониторов</t>
        </is>
      </c>
      <c r="C2236" s="2" t="inlineStr">
        <is>
          <t>Компьютеры</t>
        </is>
      </c>
      <c r="D2236" s="2" t="inlineStr">
        <is>
          <t>Компьютеры → … → Блоки питания для мониторов</t>
        </is>
      </c>
      <c r="E2236" s="3" t="n">
        <v>2000</v>
      </c>
      <c r="F2236" s="3" t="n">
        <v>1</v>
      </c>
      <c r="G2236" s="3">
        <f>IFERROR(E2236/F2236,0)</f>
        <v/>
      </c>
      <c r="H2236" s="3" t="n">
        <v>1</v>
      </c>
      <c r="I2236" s="2" t="n">
        <v>1</v>
      </c>
      <c r="J2236" s="3">
        <f>IFERROR(E2236/H2236,0)</f>
        <v/>
      </c>
      <c r="K2236" s="10">
        <f>E2236/'По разделам'!$B$21</f>
        <v/>
      </c>
      <c r="L2236" s="4">
        <f>L2235+K2236</f>
        <v/>
      </c>
      <c r="M2236" s="2" t="inlineStr">
        <is>
          <t>05624</t>
        </is>
      </c>
      <c r="N2236" s="2" t="inlineStr">
        <is>
          <t>https://app.redstat.kz/niche/05624?event_date=2026-08-01</t>
        </is>
      </c>
      <c r="O2236" s="2" t="inlineStr"/>
    </row>
    <row r="2237">
      <c r="A2237" s="2" t="n">
        <v>2236</v>
      </c>
      <c r="B2237" s="2" t="inlineStr">
        <is>
          <t>Термощупы</t>
        </is>
      </c>
      <c r="C2237" s="2" t="inlineStr">
        <is>
          <t>Бытовая техника</t>
        </is>
      </c>
      <c r="D2237" s="2" t="inlineStr">
        <is>
          <t>Бытовая техника → … → Термощупы</t>
        </is>
      </c>
      <c r="E2237" s="3" t="n">
        <v>1998</v>
      </c>
      <c r="F2237" s="3" t="n">
        <v>1</v>
      </c>
      <c r="G2237" s="3">
        <f>IFERROR(E2237/F2237,0)</f>
        <v/>
      </c>
      <c r="H2237" s="3" t="n">
        <v>1</v>
      </c>
      <c r="I2237" s="2" t="n">
        <v>0</v>
      </c>
      <c r="J2237" s="3">
        <f>IFERROR(E2237/H2237,0)</f>
        <v/>
      </c>
      <c r="K2237" s="10">
        <f>E2237/'По разделам'!$B$21</f>
        <v/>
      </c>
      <c r="L2237" s="4">
        <f>L2236+K2237</f>
        <v/>
      </c>
      <c r="M2237" s="2" t="inlineStr">
        <is>
          <t>04565</t>
        </is>
      </c>
      <c r="N2237" s="2" t="inlineStr">
        <is>
          <t>https://app.redstat.kz/niche/04565?event_date=2026-08-01</t>
        </is>
      </c>
      <c r="O2237" s="2" t="inlineStr"/>
    </row>
    <row r="2238">
      <c r="A2238" s="2" t="n">
        <v>2237</v>
      </c>
      <c r="B2238" s="2" t="inlineStr">
        <is>
          <t>Ножи для рубанков</t>
        </is>
      </c>
      <c r="C2238" s="2" t="inlineStr">
        <is>
          <t>Строительство, ремонт</t>
        </is>
      </c>
      <c r="D2238" s="2" t="inlineStr">
        <is>
          <t>Строительство, ремонт → … → Ножи для рубанков</t>
        </is>
      </c>
      <c r="E2238" s="3" t="n">
        <v>1998</v>
      </c>
      <c r="F2238" s="3" t="n">
        <v>2</v>
      </c>
      <c r="G2238" s="3">
        <f>IFERROR(E2238/F2238,0)</f>
        <v/>
      </c>
      <c r="H2238" s="3" t="n">
        <v>1</v>
      </c>
      <c r="I2238" s="2" t="n">
        <v>0</v>
      </c>
      <c r="J2238" s="3">
        <f>IFERROR(E2238/H2238,0)</f>
        <v/>
      </c>
      <c r="K2238" s="10">
        <f>E2238/'По разделам'!$B$21</f>
        <v/>
      </c>
      <c r="L2238" s="4">
        <f>L2237+K2238</f>
        <v/>
      </c>
      <c r="M2238" s="2" t="inlineStr">
        <is>
          <t>04645</t>
        </is>
      </c>
      <c r="N2238" s="2" t="inlineStr">
        <is>
          <t>https://app.redstat.kz/niche/04645?event_date=2026-08-01</t>
        </is>
      </c>
      <c r="O2238" s="2" t="inlineStr"/>
    </row>
    <row r="2239">
      <c r="A2239" s="2" t="n">
        <v>2238</v>
      </c>
      <c r="B2239" s="2" t="inlineStr">
        <is>
          <t>Клипсы</t>
        </is>
      </c>
      <c r="C2239" s="2" t="inlineStr">
        <is>
          <t>Автотовары</t>
        </is>
      </c>
      <c r="D2239" s="2" t="inlineStr">
        <is>
          <t>Автотовары → … → Клипсы</t>
        </is>
      </c>
      <c r="E2239" s="3" t="n">
        <v>1980</v>
      </c>
      <c r="F2239" s="3" t="n">
        <v>2</v>
      </c>
      <c r="G2239" s="3">
        <f>IFERROR(E2239/F2239,0)</f>
        <v/>
      </c>
      <c r="H2239" s="3" t="n">
        <v>1</v>
      </c>
      <c r="I2239" s="2" t="n">
        <v>0</v>
      </c>
      <c r="J2239" s="3">
        <f>IFERROR(E2239/H2239,0)</f>
        <v/>
      </c>
      <c r="K2239" s="10">
        <f>E2239/'По разделам'!$B$21</f>
        <v/>
      </c>
      <c r="L2239" s="4">
        <f>L2238+K2239</f>
        <v/>
      </c>
      <c r="M2239" s="2" t="inlineStr">
        <is>
          <t>07015</t>
        </is>
      </c>
      <c r="N2239" s="2" t="inlineStr">
        <is>
          <t>https://app.redstat.kz/niche/07015?event_date=2026-08-01</t>
        </is>
      </c>
      <c r="O2239" s="2" t="inlineStr"/>
    </row>
    <row r="2240">
      <c r="A2240" s="2" t="n">
        <v>2239</v>
      </c>
      <c r="B2240" s="2" t="inlineStr">
        <is>
          <t>Шлифовальные щетки и валики для щеточных шлифмашин</t>
        </is>
      </c>
      <c r="C2240" s="2" t="inlineStr">
        <is>
          <t>Строительство, ремонт</t>
        </is>
      </c>
      <c r="D2240" s="2" t="inlineStr">
        <is>
          <t>Строительство, ремонт → … → Шлифовальные щетки и валики для щеточных шлифмашин</t>
        </is>
      </c>
      <c r="E2240" s="3" t="n">
        <v>1888</v>
      </c>
      <c r="F2240" s="3" t="n">
        <v>2</v>
      </c>
      <c r="G2240" s="3">
        <f>IFERROR(E2240/F2240,0)</f>
        <v/>
      </c>
      <c r="H2240" s="3" t="n">
        <v>1</v>
      </c>
      <c r="I2240" s="2" t="n">
        <v>1</v>
      </c>
      <c r="J2240" s="3">
        <f>IFERROR(E2240/H2240,0)</f>
        <v/>
      </c>
      <c r="K2240" s="10">
        <f>E2240/'По разделам'!$B$21</f>
        <v/>
      </c>
      <c r="L2240" s="4">
        <f>L2239+K2240</f>
        <v/>
      </c>
      <c r="M2240" s="2" t="inlineStr">
        <is>
          <t>06111</t>
        </is>
      </c>
      <c r="N2240" s="2" t="inlineStr">
        <is>
          <t>https://app.redstat.kz/niche/06111?event_date=2026-08-01</t>
        </is>
      </c>
      <c r="O2240" s="2" t="inlineStr"/>
    </row>
    <row r="2241">
      <c r="A2241" s="2" t="n">
        <v>2240</v>
      </c>
      <c r="B2241" s="2" t="inlineStr">
        <is>
          <t>Датчики для микрокомпьютеров</t>
        </is>
      </c>
      <c r="C2241" s="2" t="inlineStr">
        <is>
          <t>Компьютеры</t>
        </is>
      </c>
      <c r="D2241" s="2" t="inlineStr">
        <is>
          <t>Компьютеры → … → Датчики для микрокомпьютеров</t>
        </is>
      </c>
      <c r="E2241" s="3" t="n">
        <v>1886</v>
      </c>
      <c r="F2241" s="3" t="n">
        <v>1</v>
      </c>
      <c r="G2241" s="3">
        <f>IFERROR(E2241/F2241,0)</f>
        <v/>
      </c>
      <c r="H2241" s="3" t="n">
        <v>1</v>
      </c>
      <c r="I2241" s="2" t="n">
        <v>1</v>
      </c>
      <c r="J2241" s="3">
        <f>IFERROR(E2241/H2241,0)</f>
        <v/>
      </c>
      <c r="K2241" s="10">
        <f>E2241/'По разделам'!$B$21</f>
        <v/>
      </c>
      <c r="L2241" s="4">
        <f>L2240+K2241</f>
        <v/>
      </c>
      <c r="M2241" s="2" t="inlineStr">
        <is>
          <t>05646</t>
        </is>
      </c>
      <c r="N2241" s="2" t="inlineStr">
        <is>
          <t>https://app.redstat.kz/niche/05646?event_date=2026-08-01</t>
        </is>
      </c>
      <c r="O2241" s="2" t="inlineStr"/>
    </row>
    <row r="2242">
      <c r="A2242" s="2" t="n">
        <v>2241</v>
      </c>
      <c r="B2242" s="2" t="inlineStr">
        <is>
          <t>Фотобарабаны</t>
        </is>
      </c>
      <c r="C2242" s="2" t="inlineStr">
        <is>
          <t>Компьютеры</t>
        </is>
      </c>
      <c r="D2242" s="2" t="inlineStr">
        <is>
          <t>Компьютеры → … → Фотобарабаны</t>
        </is>
      </c>
      <c r="E2242" s="3" t="n">
        <v>1880</v>
      </c>
      <c r="F2242" s="3" t="n">
        <v>1</v>
      </c>
      <c r="G2242" s="3">
        <f>IFERROR(E2242/F2242,0)</f>
        <v/>
      </c>
      <c r="H2242" s="3" t="n">
        <v>1</v>
      </c>
      <c r="I2242" s="2" t="n">
        <v>1</v>
      </c>
      <c r="J2242" s="3">
        <f>IFERROR(E2242/H2242,0)</f>
        <v/>
      </c>
      <c r="K2242" s="10">
        <f>E2242/'По разделам'!$B$21</f>
        <v/>
      </c>
      <c r="L2242" s="4">
        <f>L2241+K2242</f>
        <v/>
      </c>
      <c r="M2242" s="2" t="inlineStr">
        <is>
          <t>02925</t>
        </is>
      </c>
      <c r="N2242" s="2" t="inlineStr">
        <is>
          <t>https://app.redstat.kz/niche/02925?event_date=2026-08-01</t>
        </is>
      </c>
      <c r="O2242" s="2" t="inlineStr"/>
    </row>
    <row r="2243">
      <c r="A2243" s="2" t="n">
        <v>2242</v>
      </c>
      <c r="B2243" s="2" t="inlineStr">
        <is>
          <t>Стамески</t>
        </is>
      </c>
      <c r="C2243" s="2" t="inlineStr">
        <is>
          <t>Строительство, ремонт</t>
        </is>
      </c>
      <c r="D2243" s="2" t="inlineStr">
        <is>
          <t>Строительство, ремонт → … → Стамески</t>
        </is>
      </c>
      <c r="E2243" s="3" t="n">
        <v>1860</v>
      </c>
      <c r="F2243" s="3" t="n">
        <v>2</v>
      </c>
      <c r="G2243" s="3">
        <f>IFERROR(E2243/F2243,0)</f>
        <v/>
      </c>
      <c r="H2243" s="3" t="n">
        <v>1</v>
      </c>
      <c r="I2243" s="2" t="n">
        <v>1</v>
      </c>
      <c r="J2243" s="3">
        <f>IFERROR(E2243/H2243,0)</f>
        <v/>
      </c>
      <c r="K2243" s="10">
        <f>E2243/'По разделам'!$B$21</f>
        <v/>
      </c>
      <c r="L2243" s="4">
        <f>L2242+K2243</f>
        <v/>
      </c>
      <c r="M2243" s="2" t="inlineStr">
        <is>
          <t>05029</t>
        </is>
      </c>
      <c r="N2243" s="2" t="inlineStr">
        <is>
          <t>https://app.redstat.kz/niche/05029?event_date=2026-08-01</t>
        </is>
      </c>
      <c r="O2243" s="2" t="inlineStr"/>
    </row>
    <row r="2244">
      <c r="A2244" s="2" t="n">
        <v>2243</v>
      </c>
      <c r="B2244" s="2" t="inlineStr">
        <is>
          <t>Подрозетники</t>
        </is>
      </c>
      <c r="C2244" s="2" t="inlineStr">
        <is>
          <t>Строительство, ремонт</t>
        </is>
      </c>
      <c r="D2244" s="2" t="inlineStr">
        <is>
          <t>Строительство, ремонт → … → Подрозетники</t>
        </is>
      </c>
      <c r="E2244" s="3" t="n">
        <v>1847</v>
      </c>
      <c r="F2244" s="3" t="n">
        <v>4</v>
      </c>
      <c r="G2244" s="3">
        <f>IFERROR(E2244/F2244,0)</f>
        <v/>
      </c>
      <c r="H2244" s="3" t="n">
        <v>1</v>
      </c>
      <c r="I2244" s="2" t="n">
        <v>0</v>
      </c>
      <c r="J2244" s="3">
        <f>IFERROR(E2244/H2244,0)</f>
        <v/>
      </c>
      <c r="K2244" s="10">
        <f>E2244/'По разделам'!$B$21</f>
        <v/>
      </c>
      <c r="L2244" s="4">
        <f>L2243+K2244</f>
        <v/>
      </c>
      <c r="M2244" s="2" t="inlineStr">
        <is>
          <t>05044</t>
        </is>
      </c>
      <c r="N2244" s="2" t="inlineStr">
        <is>
          <t>https://app.redstat.kz/niche/05044?event_date=2026-08-01</t>
        </is>
      </c>
      <c r="O2244" s="2" t="inlineStr"/>
    </row>
    <row r="2245">
      <c r="A2245" s="2" t="n">
        <v>2244</v>
      </c>
      <c r="B2245" s="2" t="inlineStr">
        <is>
          <t>Сумки и чехлы для периферии</t>
        </is>
      </c>
      <c r="C2245" s="2" t="inlineStr">
        <is>
          <t>Компьютеры</t>
        </is>
      </c>
      <c r="D2245" s="2" t="inlineStr">
        <is>
          <t>Компьютеры → … → Сумки и чехлы для периферии</t>
        </is>
      </c>
      <c r="E2245" s="3" t="n">
        <v>1800</v>
      </c>
      <c r="F2245" s="3" t="n">
        <v>1</v>
      </c>
      <c r="G2245" s="3">
        <f>IFERROR(E2245/F2245,0)</f>
        <v/>
      </c>
      <c r="H2245" s="3" t="n">
        <v>1</v>
      </c>
      <c r="I2245" s="2" t="n">
        <v>0</v>
      </c>
      <c r="J2245" s="3">
        <f>IFERROR(E2245/H2245,0)</f>
        <v/>
      </c>
      <c r="K2245" s="10">
        <f>E2245/'По разделам'!$B$21</f>
        <v/>
      </c>
      <c r="L2245" s="4">
        <f>L2244+K2245</f>
        <v/>
      </c>
      <c r="M2245" s="2" t="inlineStr">
        <is>
          <t>06410</t>
        </is>
      </c>
      <c r="N2245" s="2" t="inlineStr">
        <is>
          <t>https://app.redstat.kz/niche/06410?event_date=2026-08-01</t>
        </is>
      </c>
      <c r="O2245" s="2" t="inlineStr"/>
    </row>
    <row r="2246">
      <c r="A2246" s="2" t="n">
        <v>2245</v>
      </c>
      <c r="B2246" s="2" t="inlineStr">
        <is>
          <t>Типсы и формы для наращивания</t>
        </is>
      </c>
      <c r="C2246" s="2" t="inlineStr">
        <is>
          <t>Красота и здоровье</t>
        </is>
      </c>
      <c r="D2246" s="2" t="inlineStr">
        <is>
          <t>Красота и здоровье → … → Типсы и формы для наращивания</t>
        </is>
      </c>
      <c r="E2246" s="3" t="n">
        <v>1647</v>
      </c>
      <c r="F2246" s="3" t="n">
        <v>2</v>
      </c>
      <c r="G2246" s="3">
        <f>IFERROR(E2246/F2246,0)</f>
        <v/>
      </c>
      <c r="H2246" s="3" t="n">
        <v>1</v>
      </c>
      <c r="I2246" s="2" t="n">
        <v>0</v>
      </c>
      <c r="J2246" s="3">
        <f>IFERROR(E2246/H2246,0)</f>
        <v/>
      </c>
      <c r="K2246" s="10">
        <f>E2246/'По разделам'!$B$21</f>
        <v/>
      </c>
      <c r="L2246" s="4">
        <f>L2245+K2246</f>
        <v/>
      </c>
      <c r="M2246" s="2" t="inlineStr">
        <is>
          <t>06663</t>
        </is>
      </c>
      <c r="N2246" s="2" t="inlineStr">
        <is>
          <t>https://app.redstat.kz/niche/06663?event_date=2026-08-01</t>
        </is>
      </c>
      <c r="O2246" s="2" t="inlineStr"/>
    </row>
    <row r="2247">
      <c r="A2247" s="2" t="n">
        <v>2246</v>
      </c>
      <c r="B2247" s="2" t="inlineStr">
        <is>
          <t>Клеммы изолирующие</t>
        </is>
      </c>
      <c r="C2247" s="2" t="inlineStr">
        <is>
          <t>Строительство, ремонт</t>
        </is>
      </c>
      <c r="D2247" s="2" t="inlineStr">
        <is>
          <t>Строительство, ремонт → … → Клеммы изолирующие</t>
        </is>
      </c>
      <c r="E2247" s="3" t="n">
        <v>1610</v>
      </c>
      <c r="F2247" s="3" t="n">
        <v>2</v>
      </c>
      <c r="G2247" s="3">
        <f>IFERROR(E2247/F2247,0)</f>
        <v/>
      </c>
      <c r="H2247" s="3" t="n">
        <v>1</v>
      </c>
      <c r="I2247" s="2" t="n">
        <v>0</v>
      </c>
      <c r="J2247" s="3">
        <f>IFERROR(E2247/H2247,0)</f>
        <v/>
      </c>
      <c r="K2247" s="10">
        <f>E2247/'По разделам'!$B$21</f>
        <v/>
      </c>
      <c r="L2247" s="4">
        <f>L2246+K2247</f>
        <v/>
      </c>
      <c r="M2247" s="2" t="inlineStr">
        <is>
          <t>03558</t>
        </is>
      </c>
      <c r="N2247" s="2" t="inlineStr">
        <is>
          <t>https://app.redstat.kz/niche/03558?event_date=2026-08-01</t>
        </is>
      </c>
      <c r="O2247" s="2" t="inlineStr"/>
    </row>
    <row r="2248">
      <c r="A2248" s="2" t="n">
        <v>2247</v>
      </c>
      <c r="B2248" s="2" t="inlineStr">
        <is>
          <t>Скобы и гвозди для строительного степлера и нейлера</t>
        </is>
      </c>
      <c r="C2248" s="2" t="inlineStr">
        <is>
          <t>Строительство, ремонт</t>
        </is>
      </c>
      <c r="D2248" s="2" t="inlineStr">
        <is>
          <t>Строительство, ремонт → … → Скобы и гвозди для строительного степлера и нейлера</t>
        </is>
      </c>
      <c r="E2248" s="3" t="n">
        <v>1593</v>
      </c>
      <c r="F2248" s="3" t="n">
        <v>4</v>
      </c>
      <c r="G2248" s="3">
        <f>IFERROR(E2248/F2248,0)</f>
        <v/>
      </c>
      <c r="H2248" s="3" t="n">
        <v>2</v>
      </c>
      <c r="I2248" s="2" t="n">
        <v>2</v>
      </c>
      <c r="J2248" s="3">
        <f>IFERROR(E2248/H2248,0)</f>
        <v/>
      </c>
      <c r="K2248" s="10">
        <f>E2248/'По разделам'!$B$21</f>
        <v/>
      </c>
      <c r="L2248" s="4">
        <f>L2247+K2248</f>
        <v/>
      </c>
      <c r="M2248" s="2" t="inlineStr">
        <is>
          <t>04749</t>
        </is>
      </c>
      <c r="N2248" s="2" t="inlineStr">
        <is>
          <t>https://app.redstat.kz/niche/04749?event_date=2026-08-01</t>
        </is>
      </c>
      <c r="O2248" s="2" t="inlineStr"/>
    </row>
    <row r="2249">
      <c r="A2249" s="2" t="n">
        <v>2248</v>
      </c>
      <c r="B2249" s="2" t="inlineStr">
        <is>
          <t>Комплектующие для систем видеонаблюдения</t>
        </is>
      </c>
      <c r="C2249" s="2" t="inlineStr">
        <is>
          <t>Строительство, ремонт</t>
        </is>
      </c>
      <c r="D2249" s="2" t="inlineStr">
        <is>
          <t>Строительство, ремонт → … → Комплектующие для систем видеонаблюдения</t>
        </is>
      </c>
      <c r="E2249" s="3" t="n">
        <v>1580</v>
      </c>
      <c r="F2249" s="3" t="n">
        <v>2</v>
      </c>
      <c r="G2249" s="3">
        <f>IFERROR(E2249/F2249,0)</f>
        <v/>
      </c>
      <c r="H2249" s="3" t="n">
        <v>1</v>
      </c>
      <c r="I2249" s="2" t="n">
        <v>1</v>
      </c>
      <c r="J2249" s="3">
        <f>IFERROR(E2249/H2249,0)</f>
        <v/>
      </c>
      <c r="K2249" s="10">
        <f>E2249/'По разделам'!$B$21</f>
        <v/>
      </c>
      <c r="L2249" s="4">
        <f>L2248+K2249</f>
        <v/>
      </c>
      <c r="M2249" s="2" t="inlineStr">
        <is>
          <t>05887</t>
        </is>
      </c>
      <c r="N2249" s="2" t="inlineStr">
        <is>
          <t>https://app.redstat.kz/niche/05887?event_date=2026-08-01</t>
        </is>
      </c>
      <c r="O2249" s="2" t="inlineStr"/>
    </row>
    <row r="2250">
      <c r="A2250" s="2" t="n">
        <v>2249</v>
      </c>
      <c r="B2250" s="2" t="inlineStr">
        <is>
          <t>Кнопки управления</t>
        </is>
      </c>
      <c r="C2250" s="2" t="inlineStr">
        <is>
          <t>Строительство, ремонт</t>
        </is>
      </c>
      <c r="D2250" s="2" t="inlineStr">
        <is>
          <t>Строительство, ремонт → … → Кнопки управления</t>
        </is>
      </c>
      <c r="E2250" s="3" t="n">
        <v>1552</v>
      </c>
      <c r="F2250" s="3" t="n">
        <v>4</v>
      </c>
      <c r="G2250" s="3">
        <f>IFERROR(E2250/F2250,0)</f>
        <v/>
      </c>
      <c r="H2250" s="3" t="n">
        <v>1</v>
      </c>
      <c r="I2250" s="2" t="n">
        <v>0</v>
      </c>
      <c r="J2250" s="3">
        <f>IFERROR(E2250/H2250,0)</f>
        <v/>
      </c>
      <c r="K2250" s="10">
        <f>E2250/'По разделам'!$B$21</f>
        <v/>
      </c>
      <c r="L2250" s="4">
        <f>L2249+K2250</f>
        <v/>
      </c>
      <c r="M2250" s="2" t="inlineStr">
        <is>
          <t>05116</t>
        </is>
      </c>
      <c r="N2250" s="2" t="inlineStr">
        <is>
          <t>https://app.redstat.kz/niche/05116?event_date=2026-08-01</t>
        </is>
      </c>
      <c r="O2250" s="2" t="inlineStr"/>
    </row>
    <row r="2251">
      <c r="A2251" s="2" t="n">
        <v>2250</v>
      </c>
      <c r="B2251" s="2" t="inlineStr">
        <is>
          <t>Чистящие принадлежности для компьютерной техники</t>
        </is>
      </c>
      <c r="C2251" s="2" t="inlineStr">
        <is>
          <t>Товары для дома и дачи</t>
        </is>
      </c>
      <c r="D2251" s="2" t="inlineStr">
        <is>
          <t>Товары для дома и дачи → … → Чистящие принадлежности для компьютерной техники</t>
        </is>
      </c>
      <c r="E2251" s="3" t="n">
        <v>1500</v>
      </c>
      <c r="F2251" s="3" t="n">
        <v>2</v>
      </c>
      <c r="G2251" s="3">
        <f>IFERROR(E2251/F2251,0)</f>
        <v/>
      </c>
      <c r="H2251" s="3" t="n">
        <v>1</v>
      </c>
      <c r="I2251" s="2" t="n">
        <v>1</v>
      </c>
      <c r="J2251" s="3">
        <f>IFERROR(E2251/H2251,0)</f>
        <v/>
      </c>
      <c r="K2251" s="10">
        <f>E2251/'По разделам'!$B$21</f>
        <v/>
      </c>
      <c r="L2251" s="4">
        <f>L2250+K2251</f>
        <v/>
      </c>
      <c r="M2251" s="2" t="inlineStr">
        <is>
          <t>04009</t>
        </is>
      </c>
      <c r="N2251" s="2" t="inlineStr">
        <is>
          <t>https://app.redstat.kz/niche/04009?event_date=2026-08-01</t>
        </is>
      </c>
      <c r="O2251" s="2" t="inlineStr"/>
    </row>
    <row r="2252">
      <c r="A2252" s="2" t="n">
        <v>2251</v>
      </c>
      <c r="B2252" s="2" t="inlineStr">
        <is>
          <t>Салонные кнопки и переключатели</t>
        </is>
      </c>
      <c r="C2252" s="2" t="inlineStr">
        <is>
          <t>Автотовары</t>
        </is>
      </c>
      <c r="D2252" s="2" t="inlineStr">
        <is>
          <t>Автотовары → … → Салонные кнопки и переключатели</t>
        </is>
      </c>
      <c r="E2252" s="3" t="n">
        <v>1500</v>
      </c>
      <c r="F2252" s="3" t="n">
        <v>3</v>
      </c>
      <c r="G2252" s="3">
        <f>IFERROR(E2252/F2252,0)</f>
        <v/>
      </c>
      <c r="H2252" s="3" t="n">
        <v>1</v>
      </c>
      <c r="I2252" s="2" t="n">
        <v>1</v>
      </c>
      <c r="J2252" s="3">
        <f>IFERROR(E2252/H2252,0)</f>
        <v/>
      </c>
      <c r="K2252" s="10">
        <f>E2252/'По разделам'!$B$21</f>
        <v/>
      </c>
      <c r="L2252" s="4">
        <f>L2251+K2252</f>
        <v/>
      </c>
      <c r="M2252" s="2" t="inlineStr">
        <is>
          <t>05179</t>
        </is>
      </c>
      <c r="N2252" s="2" t="inlineStr">
        <is>
          <t>https://app.redstat.kz/niche/05179?event_date=2026-08-01</t>
        </is>
      </c>
      <c r="O2252" s="2" t="inlineStr"/>
    </row>
    <row r="2253">
      <c r="A2253" s="2" t="n">
        <v>2252</v>
      </c>
      <c r="B2253" s="2" t="inlineStr">
        <is>
          <t>Диски и чашки шлифовальные</t>
        </is>
      </c>
      <c r="C2253" s="2" t="inlineStr">
        <is>
          <t>Строительство, ремонт</t>
        </is>
      </c>
      <c r="D2253" s="2" t="inlineStr">
        <is>
          <t>Строительство, ремонт → … → Диски и чашки шлифовальные</t>
        </is>
      </c>
      <c r="E2253" s="3" t="n">
        <v>1500</v>
      </c>
      <c r="F2253" s="3" t="n">
        <v>4</v>
      </c>
      <c r="G2253" s="3">
        <f>IFERROR(E2253/F2253,0)</f>
        <v/>
      </c>
      <c r="H2253" s="3" t="n">
        <v>1</v>
      </c>
      <c r="I2253" s="2" t="n">
        <v>1</v>
      </c>
      <c r="J2253" s="3">
        <f>IFERROR(E2253/H2253,0)</f>
        <v/>
      </c>
      <c r="K2253" s="10">
        <f>E2253/'По разделам'!$B$21</f>
        <v/>
      </c>
      <c r="L2253" s="4">
        <f>L2252+K2253</f>
        <v/>
      </c>
      <c r="M2253" s="2" t="inlineStr">
        <is>
          <t>06109</t>
        </is>
      </c>
      <c r="N2253" s="2" t="inlineStr">
        <is>
          <t>https://app.redstat.kz/niche/06109?event_date=2026-08-01</t>
        </is>
      </c>
      <c r="O2253" s="2" t="inlineStr"/>
    </row>
    <row r="2254">
      <c r="A2254" s="2" t="n">
        <v>2253</v>
      </c>
      <c r="B2254" s="2" t="inlineStr">
        <is>
          <t>Гильзы соединительные</t>
        </is>
      </c>
      <c r="C2254" s="2" t="inlineStr">
        <is>
          <t>Строительство, ремонт</t>
        </is>
      </c>
      <c r="D2254" s="2" t="inlineStr">
        <is>
          <t>Строительство, ремонт → … → Гильзы соединительные</t>
        </is>
      </c>
      <c r="E2254" s="3" t="n">
        <v>1485</v>
      </c>
      <c r="F2254" s="3" t="n">
        <v>2</v>
      </c>
      <c r="G2254" s="3">
        <f>IFERROR(E2254/F2254,0)</f>
        <v/>
      </c>
      <c r="H2254" s="3" t="n">
        <v>1</v>
      </c>
      <c r="I2254" s="2" t="n">
        <v>1</v>
      </c>
      <c r="J2254" s="3">
        <f>IFERROR(E2254/H2254,0)</f>
        <v/>
      </c>
      <c r="K2254" s="10">
        <f>E2254/'По разделам'!$B$21</f>
        <v/>
      </c>
      <c r="L2254" s="4">
        <f>L2253+K2254</f>
        <v/>
      </c>
      <c r="M2254" s="2" t="inlineStr">
        <is>
          <t>06611</t>
        </is>
      </c>
      <c r="N2254" s="2" t="inlineStr">
        <is>
          <t>https://app.redstat.kz/niche/06611?event_date=2026-08-01</t>
        </is>
      </c>
      <c r="O2254" s="2" t="inlineStr"/>
    </row>
    <row r="2255">
      <c r="A2255" s="2" t="n">
        <v>2254</v>
      </c>
      <c r="B2255" s="2" t="inlineStr">
        <is>
          <t>Скалки</t>
        </is>
      </c>
      <c r="C2255" s="2" t="inlineStr">
        <is>
          <t>Товары для дома и дачи</t>
        </is>
      </c>
      <c r="D2255" s="2" t="inlineStr">
        <is>
          <t>Товары для дома и дачи → … → Скалки</t>
        </is>
      </c>
      <c r="E2255" s="3" t="n">
        <v>1470</v>
      </c>
      <c r="F2255" s="3" t="n">
        <v>2</v>
      </c>
      <c r="G2255" s="3">
        <f>IFERROR(E2255/F2255,0)</f>
        <v/>
      </c>
      <c r="H2255" s="3" t="n">
        <v>1</v>
      </c>
      <c r="I2255" s="2" t="n">
        <v>1</v>
      </c>
      <c r="J2255" s="3">
        <f>IFERROR(E2255/H2255,0)</f>
        <v/>
      </c>
      <c r="K2255" s="10">
        <f>E2255/'По разделам'!$B$21</f>
        <v/>
      </c>
      <c r="L2255" s="4">
        <f>L2254+K2255</f>
        <v/>
      </c>
      <c r="M2255" s="2" t="inlineStr">
        <is>
          <t>02559</t>
        </is>
      </c>
      <c r="N2255" s="2" t="inlineStr">
        <is>
          <t>https://app.redstat.kz/niche/02559?event_date=2026-08-01</t>
        </is>
      </c>
      <c r="O2255" s="2" t="inlineStr"/>
    </row>
    <row r="2256">
      <c r="A2256" s="2" t="n">
        <v>2255</v>
      </c>
      <c r="B2256" s="2" t="inlineStr">
        <is>
          <t>Кабельные стяжки</t>
        </is>
      </c>
      <c r="C2256" s="2" t="inlineStr">
        <is>
          <t>Строительство, ремонт</t>
        </is>
      </c>
      <c r="D2256" s="2" t="inlineStr">
        <is>
          <t>Строительство, ремонт → … → Кабельные стяжки</t>
        </is>
      </c>
      <c r="E2256" s="3" t="n">
        <v>1460</v>
      </c>
      <c r="F2256" s="3" t="n">
        <v>2</v>
      </c>
      <c r="G2256" s="3">
        <f>IFERROR(E2256/F2256,0)</f>
        <v/>
      </c>
      <c r="H2256" s="3" t="n">
        <v>1</v>
      </c>
      <c r="I2256" s="2" t="n">
        <v>1</v>
      </c>
      <c r="J2256" s="3">
        <f>IFERROR(E2256/H2256,0)</f>
        <v/>
      </c>
      <c r="K2256" s="10">
        <f>E2256/'По разделам'!$B$21</f>
        <v/>
      </c>
      <c r="L2256" s="4">
        <f>L2255+K2256</f>
        <v/>
      </c>
      <c r="M2256" s="2" t="inlineStr">
        <is>
          <t>04109</t>
        </is>
      </c>
      <c r="N2256" s="2" t="inlineStr">
        <is>
          <t>https://app.redstat.kz/niche/04109?event_date=2026-08-01</t>
        </is>
      </c>
      <c r="O2256" s="2" t="inlineStr"/>
    </row>
    <row r="2257">
      <c r="A2257" s="2" t="n">
        <v>2256</v>
      </c>
      <c r="B2257" s="2" t="inlineStr">
        <is>
          <t>Семена полевых культур и сидераты</t>
        </is>
      </c>
      <c r="C2257" s="2" t="inlineStr">
        <is>
          <t>Товары для дома и дачи</t>
        </is>
      </c>
      <c r="D2257" s="2" t="inlineStr">
        <is>
          <t>Товары для дома и дачи → … → Семена полевых культур и сидераты</t>
        </is>
      </c>
      <c r="E2257" s="3" t="n">
        <v>1250</v>
      </c>
      <c r="F2257" s="3" t="n">
        <v>2</v>
      </c>
      <c r="G2257" s="3">
        <f>IFERROR(E2257/F2257,0)</f>
        <v/>
      </c>
      <c r="H2257" s="3" t="n">
        <v>1</v>
      </c>
      <c r="I2257" s="2" t="n">
        <v>0</v>
      </c>
      <c r="J2257" s="3">
        <f>IFERROR(E2257/H2257,0)</f>
        <v/>
      </c>
      <c r="K2257" s="10">
        <f>E2257/'По разделам'!$B$21</f>
        <v/>
      </c>
      <c r="L2257" s="4">
        <f>L2256+K2257</f>
        <v/>
      </c>
      <c r="M2257" s="2" t="inlineStr">
        <is>
          <t>06414</t>
        </is>
      </c>
      <c r="N2257" s="2" t="inlineStr">
        <is>
          <t>https://app.redstat.kz/niche/06414?event_date=2026-08-01</t>
        </is>
      </c>
      <c r="O2257" s="2" t="inlineStr"/>
    </row>
    <row r="2258">
      <c r="A2258" s="2" t="n">
        <v>2257</v>
      </c>
      <c r="B2258" s="2" t="inlineStr">
        <is>
          <t>Лазерные эффекты</t>
        </is>
      </c>
      <c r="C2258" s="2" t="inlineStr">
        <is>
          <t>ТВ, Аудио, Видео</t>
        </is>
      </c>
      <c r="D2258" s="2" t="inlineStr">
        <is>
          <t>ТВ, Аудио, Видео → … → Лазерные эффекты</t>
        </is>
      </c>
      <c r="E2258" s="3" t="n">
        <v>1210</v>
      </c>
      <c r="F2258" s="3" t="n">
        <v>121</v>
      </c>
      <c r="G2258" s="3">
        <f>IFERROR(E2258/F2258,0)</f>
        <v/>
      </c>
      <c r="H2258" s="3" t="n">
        <v>1</v>
      </c>
      <c r="I2258" s="2" t="n">
        <v>0</v>
      </c>
      <c r="J2258" s="3">
        <f>IFERROR(E2258/H2258,0)</f>
        <v/>
      </c>
      <c r="K2258" s="10">
        <f>E2258/'По разделам'!$B$21</f>
        <v/>
      </c>
      <c r="L2258" s="4">
        <f>L2257+K2258</f>
        <v/>
      </c>
      <c r="M2258" s="2" t="inlineStr">
        <is>
          <t>05105</t>
        </is>
      </c>
      <c r="N2258" s="2" t="inlineStr">
        <is>
          <t>https://app.redstat.kz/niche/05105?event_date=2026-08-01</t>
        </is>
      </c>
      <c r="O2258" s="2" t="inlineStr"/>
    </row>
    <row r="2259">
      <c r="A2259" s="2" t="n">
        <v>2258</v>
      </c>
      <c r="B2259" s="2" t="inlineStr">
        <is>
          <t>Пистолеты для герметиков и химических анкеров</t>
        </is>
      </c>
      <c r="C2259" s="2" t="inlineStr">
        <is>
          <t>Строительство, ремонт</t>
        </is>
      </c>
      <c r="D2259" s="2" t="inlineStr">
        <is>
          <t>Строительство, ремонт → … → Пистолеты для герметиков и химических анкеров</t>
        </is>
      </c>
      <c r="E2259" s="3" t="n">
        <v>1200</v>
      </c>
      <c r="F2259" s="3" t="n">
        <v>2</v>
      </c>
      <c r="G2259" s="3">
        <f>IFERROR(E2259/F2259,0)</f>
        <v/>
      </c>
      <c r="H2259" s="3" t="n">
        <v>1</v>
      </c>
      <c r="I2259" s="2" t="n">
        <v>0</v>
      </c>
      <c r="J2259" s="3">
        <f>IFERROR(E2259/H2259,0)</f>
        <v/>
      </c>
      <c r="K2259" s="10">
        <f>E2259/'По разделам'!$B$21</f>
        <v/>
      </c>
      <c r="L2259" s="4">
        <f>L2258+K2259</f>
        <v/>
      </c>
      <c r="M2259" s="2" t="inlineStr">
        <is>
          <t>04059</t>
        </is>
      </c>
      <c r="N2259" s="2" t="inlineStr">
        <is>
          <t>https://app.redstat.kz/niche/04059?event_date=2026-08-01</t>
        </is>
      </c>
      <c r="O2259" s="2" t="inlineStr"/>
    </row>
    <row r="2260">
      <c r="A2260" s="2" t="n">
        <v>2259</v>
      </c>
      <c r="B2260" s="2" t="inlineStr">
        <is>
          <t>DIN-рейки и комплектующие</t>
        </is>
      </c>
      <c r="C2260" s="2" t="inlineStr">
        <is>
          <t>Строительство, ремонт</t>
        </is>
      </c>
      <c r="D2260" s="2" t="inlineStr">
        <is>
          <t>Строительство, ремонт → … → DIN-рейки и комплектующие</t>
        </is>
      </c>
      <c r="E2260" s="3" t="n">
        <v>1041</v>
      </c>
      <c r="F2260" s="3" t="n">
        <v>2</v>
      </c>
      <c r="G2260" s="3">
        <f>IFERROR(E2260/F2260,0)</f>
        <v/>
      </c>
      <c r="H2260" s="3" t="n">
        <v>1</v>
      </c>
      <c r="I2260" s="2" t="n">
        <v>1</v>
      </c>
      <c r="J2260" s="3">
        <f>IFERROR(E2260/H2260,0)</f>
        <v/>
      </c>
      <c r="K2260" s="10">
        <f>E2260/'По разделам'!$B$21</f>
        <v/>
      </c>
      <c r="L2260" s="4">
        <f>L2259+K2260</f>
        <v/>
      </c>
      <c r="M2260" s="2" t="inlineStr">
        <is>
          <t>05254</t>
        </is>
      </c>
      <c r="N2260" s="2" t="inlineStr">
        <is>
          <t>https://app.redstat.kz/niche/05254?event_date=2026-08-01</t>
        </is>
      </c>
      <c r="O2260" s="2" t="inlineStr"/>
    </row>
    <row r="2261">
      <c r="A2261" s="2" t="n">
        <v>2260</v>
      </c>
      <c r="B2261" s="2" t="inlineStr">
        <is>
          <t>Магнитные захваты</t>
        </is>
      </c>
      <c r="C2261" s="2" t="inlineStr">
        <is>
          <t>Строительство, ремонт</t>
        </is>
      </c>
      <c r="D2261" s="2" t="inlineStr">
        <is>
          <t>Строительство, ремонт → … → Магнитные захваты</t>
        </is>
      </c>
      <c r="E2261" s="3" t="n">
        <v>998</v>
      </c>
      <c r="F2261" s="3" t="n">
        <v>2</v>
      </c>
      <c r="G2261" s="3">
        <f>IFERROR(E2261/F2261,0)</f>
        <v/>
      </c>
      <c r="H2261" s="3" t="n">
        <v>1</v>
      </c>
      <c r="I2261" s="2" t="n">
        <v>1</v>
      </c>
      <c r="J2261" s="3">
        <f>IFERROR(E2261/H2261,0)</f>
        <v/>
      </c>
      <c r="K2261" s="10">
        <f>E2261/'По разделам'!$B$21</f>
        <v/>
      </c>
      <c r="L2261" s="4">
        <f>L2260+K2261</f>
        <v/>
      </c>
      <c r="M2261" s="2" t="inlineStr">
        <is>
          <t>05583</t>
        </is>
      </c>
      <c r="N2261" s="2" t="inlineStr">
        <is>
          <t>https://app.redstat.kz/niche/05583?event_date=2026-08-01</t>
        </is>
      </c>
      <c r="O2261" s="2" t="inlineStr"/>
    </row>
    <row r="2262">
      <c r="A2262" s="2" t="n">
        <v>2261</v>
      </c>
      <c r="B2262" s="2" t="inlineStr">
        <is>
          <t>Макетные платы для микрокомпьютеров</t>
        </is>
      </c>
      <c r="C2262" s="2" t="inlineStr">
        <is>
          <t>Компьютеры</t>
        </is>
      </c>
      <c r="D2262" s="2" t="inlineStr">
        <is>
          <t>Компьютеры → … → Макетные платы для микрокомпьютеров</t>
        </is>
      </c>
      <c r="E2262" s="3" t="n">
        <v>976</v>
      </c>
      <c r="F2262" s="3" t="n">
        <v>2</v>
      </c>
      <c r="G2262" s="3">
        <f>IFERROR(E2262/F2262,0)</f>
        <v/>
      </c>
      <c r="H2262" s="3" t="n">
        <v>1</v>
      </c>
      <c r="I2262" s="2" t="n">
        <v>0</v>
      </c>
      <c r="J2262" s="3">
        <f>IFERROR(E2262/H2262,0)</f>
        <v/>
      </c>
      <c r="K2262" s="10">
        <f>E2262/'По разделам'!$B$21</f>
        <v/>
      </c>
      <c r="L2262" s="4">
        <f>L2261+K2262</f>
        <v/>
      </c>
      <c r="M2262" s="2" t="inlineStr">
        <is>
          <t>05641</t>
        </is>
      </c>
      <c r="N2262" s="2" t="inlineStr">
        <is>
          <t>https://app.redstat.kz/niche/05641?event_date=2026-08-01</t>
        </is>
      </c>
      <c r="O2262" s="2" t="inlineStr"/>
    </row>
    <row r="2263">
      <c r="A2263" s="2" t="n">
        <v>2262</v>
      </c>
      <c r="B2263" s="2" t="inlineStr">
        <is>
          <t>Коннекторы</t>
        </is>
      </c>
      <c r="C2263" s="2" t="inlineStr">
        <is>
          <t>Строительство, ремонт</t>
        </is>
      </c>
      <c r="D2263" s="2" t="inlineStr">
        <is>
          <t>Строительство, ремонт → … → Коннекторы</t>
        </is>
      </c>
      <c r="E2263" s="3" t="n">
        <v>950</v>
      </c>
      <c r="F2263" s="3" t="n">
        <v>2</v>
      </c>
      <c r="G2263" s="3">
        <f>IFERROR(E2263/F2263,0)</f>
        <v/>
      </c>
      <c r="H2263" s="3" t="n">
        <v>1</v>
      </c>
      <c r="I2263" s="2" t="n">
        <v>0</v>
      </c>
      <c r="J2263" s="3">
        <f>IFERROR(E2263/H2263,0)</f>
        <v/>
      </c>
      <c r="K2263" s="10">
        <f>E2263/'По разделам'!$B$21</f>
        <v/>
      </c>
      <c r="L2263" s="4">
        <f>L2262+K2263</f>
        <v/>
      </c>
      <c r="M2263" s="2" t="inlineStr">
        <is>
          <t>04352</t>
        </is>
      </c>
      <c r="N2263" s="2" t="inlineStr">
        <is>
          <t>https://app.redstat.kz/niche/04352?event_date=2026-08-01</t>
        </is>
      </c>
      <c r="O2263" s="2" t="inlineStr"/>
    </row>
    <row r="2264">
      <c r="A2264" s="2" t="n">
        <v>2263</v>
      </c>
      <c r="B2264" s="2" t="inlineStr">
        <is>
          <t>Скобы для крепления кабеля</t>
        </is>
      </c>
      <c r="C2264" s="2" t="inlineStr">
        <is>
          <t>Строительство, ремонт</t>
        </is>
      </c>
      <c r="D2264" s="2" t="inlineStr">
        <is>
          <t>Строительство, ремонт → … → Скобы для крепления кабеля</t>
        </is>
      </c>
      <c r="E2264" s="3" t="n">
        <v>741</v>
      </c>
      <c r="F2264" s="3" t="n">
        <v>2</v>
      </c>
      <c r="G2264" s="3">
        <f>IFERROR(E2264/F2264,0)</f>
        <v/>
      </c>
      <c r="H2264" s="3" t="n">
        <v>1</v>
      </c>
      <c r="I2264" s="2" t="n">
        <v>1</v>
      </c>
      <c r="J2264" s="3">
        <f>IFERROR(E2264/H2264,0)</f>
        <v/>
      </c>
      <c r="K2264" s="10">
        <f>E2264/'По разделам'!$B$21</f>
        <v/>
      </c>
      <c r="L2264" s="4">
        <f>L2263+K2264</f>
        <v/>
      </c>
      <c r="M2264" s="2" t="inlineStr">
        <is>
          <t>04345</t>
        </is>
      </c>
      <c r="N2264" s="2" t="inlineStr">
        <is>
          <t>https://app.redstat.kz/niche/04345?event_date=2026-08-01</t>
        </is>
      </c>
      <c r="O2264" s="2" t="inlineStr"/>
    </row>
    <row r="2265">
      <c r="A2265" s="2" t="n">
        <v>2264</v>
      </c>
      <c r="B2265" s="2" t="inlineStr">
        <is>
          <t>Аксессуары для рассады</t>
        </is>
      </c>
      <c r="C2265" s="2" t="inlineStr">
        <is>
          <t>Товары для дома и дачи</t>
        </is>
      </c>
      <c r="D2265" s="2" t="inlineStr">
        <is>
          <t>Товары для дома и дачи → … → Аксессуары для рассады</t>
        </is>
      </c>
      <c r="E2265" s="3" t="n">
        <v>598</v>
      </c>
      <c r="F2265" s="3" t="n">
        <v>2</v>
      </c>
      <c r="G2265" s="3">
        <f>IFERROR(E2265/F2265,0)</f>
        <v/>
      </c>
      <c r="H2265" s="3" t="n">
        <v>1</v>
      </c>
      <c r="I2265" s="2" t="n">
        <v>0</v>
      </c>
      <c r="J2265" s="3">
        <f>IFERROR(E2265/H2265,0)</f>
        <v/>
      </c>
      <c r="K2265" s="10">
        <f>E2265/'По разделам'!$B$21</f>
        <v/>
      </c>
      <c r="L2265" s="4">
        <f>L2264+K2265</f>
        <v/>
      </c>
      <c r="M2265" s="2" t="inlineStr">
        <is>
          <t>06297</t>
        </is>
      </c>
      <c r="N2265" s="2" t="inlineStr">
        <is>
          <t>https://app.redstat.kz/niche/06297?event_date=2026-08-01</t>
        </is>
      </c>
      <c r="O2265" s="2" t="inlineStr"/>
    </row>
    <row r="2266">
      <c r="A2266" s="2" t="n">
        <v>2265</v>
      </c>
      <c r="B2266" s="2" t="inlineStr">
        <is>
          <t>Аксессуары для мытья кистей</t>
        </is>
      </c>
      <c r="C2266" s="2" t="inlineStr">
        <is>
          <t>Красота и здоровье</t>
        </is>
      </c>
      <c r="D2266" s="2" t="inlineStr">
        <is>
          <t>Красота и здоровье → … → Аксессуары для мытья кистей</t>
        </is>
      </c>
      <c r="E2266" s="3" t="n">
        <v>286</v>
      </c>
      <c r="F2266" s="3" t="n">
        <v>2</v>
      </c>
      <c r="G2266" s="3">
        <f>IFERROR(E2266/F2266,0)</f>
        <v/>
      </c>
      <c r="H2266" s="3" t="n">
        <v>1</v>
      </c>
      <c r="I2266" s="2" t="n">
        <v>1</v>
      </c>
      <c r="J2266" s="3">
        <f>IFERROR(E2266/H2266,0)</f>
        <v/>
      </c>
      <c r="K2266" s="10">
        <f>E2266/'По разделам'!$B$21</f>
        <v/>
      </c>
      <c r="L2266" s="4">
        <f>L2265+K2266</f>
        <v/>
      </c>
      <c r="M2266" s="2" t="inlineStr">
        <is>
          <t>06753</t>
        </is>
      </c>
      <c r="N2266" s="2" t="inlineStr">
        <is>
          <t>https://app.redstat.kz/niche/06753?event_date=2026-08-01</t>
        </is>
      </c>
      <c r="O2266" s="2" t="inlineStr"/>
    </row>
    <row r="2267">
      <c r="A2267" s="2" t="n">
        <v>2266</v>
      </c>
      <c r="B2267" s="2" t="inlineStr">
        <is>
          <t>Микросхемы</t>
        </is>
      </c>
      <c r="C2267" s="2" t="inlineStr">
        <is>
          <t>Строительство, ремонт</t>
        </is>
      </c>
      <c r="D2267" s="2" t="inlineStr">
        <is>
          <t>Строительство, ремонт → … → Микросхемы</t>
        </is>
      </c>
      <c r="E2267" s="3" t="n">
        <v>240</v>
      </c>
      <c r="F2267" s="3" t="n">
        <v>2</v>
      </c>
      <c r="G2267" s="3">
        <f>IFERROR(E2267/F2267,0)</f>
        <v/>
      </c>
      <c r="H2267" s="3" t="n">
        <v>1</v>
      </c>
      <c r="I2267" s="2" t="n">
        <v>0</v>
      </c>
      <c r="J2267" s="3">
        <f>IFERROR(E2267/H2267,0)</f>
        <v/>
      </c>
      <c r="K2267" s="10">
        <f>E2267/'По разделам'!$B$21</f>
        <v/>
      </c>
      <c r="L2267" s="4">
        <f>L2266+K2267</f>
        <v/>
      </c>
      <c r="M2267" s="2" t="inlineStr">
        <is>
          <t>09239</t>
        </is>
      </c>
      <c r="N2267" s="2" t="inlineStr">
        <is>
          <t>https://app.redstat.kz/niche/09239?event_date=2026-08-01</t>
        </is>
      </c>
      <c r="O2267" s="2" t="inlineStr"/>
    </row>
  </sheetData>
  <autoFilter ref="A1:O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2026-10-01T14:04:18Z</dcterms:created>
  <dcterms:modified xsi:type="dcterms:W3CDTF">2026-10-01T14:04:18Z</dcterms:modified>
</cp:coreProperties>
</file>